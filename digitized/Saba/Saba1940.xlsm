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Invoer!$A$2:$J$382</definedName>
    <definedName name="Catalogus">Info!$J$3:$S$4</definedName>
    <definedName name="Data">Invoer!$A$3:$J$382</definedName>
    <definedName name="Est">Info!$H$8</definedName>
    <definedName name="Lacking">Info!$H$9</definedName>
    <definedName name="ME">Info!$H$6</definedName>
    <definedName name="MS">Info!$H$7</definedName>
    <definedName name="Ok">Info!$H$5</definedName>
    <definedName name="Parameters">Info!$D$4:$E$7</definedName>
    <definedName name="Stations">Info!$A$4:$B$7</definedName>
  </definedNames>
  <calcPr calcId="145621"/>
</workbook>
</file>

<file path=xl/calcChain.xml><?xml version="1.0" encoding="utf-8"?>
<calcChain xmlns="http://schemas.openxmlformats.org/spreadsheetml/2006/main">
  <c r="A1097" i="3" l="1"/>
  <c r="C1097" i="3"/>
  <c r="A1098" i="3"/>
  <c r="C1098" i="3"/>
  <c r="A1099" i="3"/>
  <c r="C1099" i="3"/>
  <c r="B66" i="1"/>
  <c r="H66" i="1"/>
  <c r="A3" i="3" l="1"/>
  <c r="C3" i="3"/>
  <c r="A4" i="3"/>
  <c r="C4" i="3"/>
  <c r="A5" i="3"/>
  <c r="C5" i="3"/>
  <c r="A6" i="3"/>
  <c r="C6" i="3"/>
  <c r="A7" i="3"/>
  <c r="C7" i="3"/>
  <c r="A8" i="3"/>
  <c r="C8" i="3"/>
  <c r="A9" i="3"/>
  <c r="C9" i="3"/>
  <c r="A10" i="3"/>
  <c r="C10" i="3"/>
  <c r="A11" i="3"/>
  <c r="C11" i="3"/>
  <c r="A12" i="3"/>
  <c r="C12" i="3"/>
  <c r="A13" i="3"/>
  <c r="C13" i="3"/>
  <c r="A14" i="3"/>
  <c r="C14" i="3"/>
  <c r="A15" i="3"/>
  <c r="C15" i="3"/>
  <c r="A16" i="3"/>
  <c r="C16" i="3"/>
  <c r="A17" i="3"/>
  <c r="C17" i="3"/>
  <c r="A18" i="3"/>
  <c r="C18" i="3"/>
  <c r="A19" i="3"/>
  <c r="C19" i="3"/>
  <c r="A20" i="3"/>
  <c r="C20" i="3"/>
  <c r="A21" i="3"/>
  <c r="C21" i="3"/>
  <c r="A22" i="3"/>
  <c r="C22" i="3"/>
  <c r="A23" i="3"/>
  <c r="C23" i="3"/>
  <c r="A24" i="3"/>
  <c r="C24" i="3"/>
  <c r="A25" i="3"/>
  <c r="C25" i="3"/>
  <c r="A26" i="3"/>
  <c r="C26" i="3"/>
  <c r="A27" i="3"/>
  <c r="C27" i="3"/>
  <c r="A28" i="3"/>
  <c r="C28" i="3"/>
  <c r="A29" i="3"/>
  <c r="C29" i="3"/>
  <c r="A30" i="3"/>
  <c r="C30" i="3"/>
  <c r="A31" i="3"/>
  <c r="C31" i="3"/>
  <c r="A32" i="3"/>
  <c r="C32" i="3"/>
  <c r="A33" i="3"/>
  <c r="C33" i="3"/>
  <c r="A34" i="3"/>
  <c r="C34" i="3"/>
  <c r="A35" i="3"/>
  <c r="C35" i="3"/>
  <c r="A36" i="3"/>
  <c r="C36" i="3"/>
  <c r="A37" i="3"/>
  <c r="C37" i="3"/>
  <c r="A38" i="3"/>
  <c r="C38" i="3"/>
  <c r="A39" i="3"/>
  <c r="C39" i="3"/>
  <c r="A40" i="3"/>
  <c r="C40" i="3"/>
  <c r="A41" i="3"/>
  <c r="C41" i="3"/>
  <c r="A42" i="3"/>
  <c r="C42" i="3"/>
  <c r="A43" i="3"/>
  <c r="C43" i="3"/>
  <c r="A44" i="3"/>
  <c r="C44" i="3"/>
  <c r="A45" i="3"/>
  <c r="C45" i="3"/>
  <c r="A46" i="3"/>
  <c r="C46" i="3"/>
  <c r="A47" i="3"/>
  <c r="C47" i="3"/>
  <c r="A48" i="3"/>
  <c r="C48" i="3"/>
  <c r="A49" i="3"/>
  <c r="C49" i="3"/>
  <c r="A50" i="3"/>
  <c r="C50" i="3"/>
  <c r="A51" i="3"/>
  <c r="C51" i="3"/>
  <c r="A52" i="3"/>
  <c r="C52" i="3"/>
  <c r="A53" i="3"/>
  <c r="C53" i="3"/>
  <c r="A54" i="3"/>
  <c r="C54" i="3"/>
  <c r="A55" i="3"/>
  <c r="C55" i="3"/>
  <c r="A56" i="3"/>
  <c r="C56" i="3"/>
  <c r="A57" i="3"/>
  <c r="C57" i="3"/>
  <c r="A58" i="3"/>
  <c r="C58" i="3"/>
  <c r="A59" i="3"/>
  <c r="C59" i="3"/>
  <c r="A60" i="3"/>
  <c r="C60" i="3"/>
  <c r="A61" i="3"/>
  <c r="C61" i="3"/>
  <c r="A62" i="3"/>
  <c r="C62" i="3"/>
  <c r="A63" i="3"/>
  <c r="C63" i="3"/>
  <c r="A64" i="3"/>
  <c r="C64" i="3"/>
  <c r="A65" i="3"/>
  <c r="C65" i="3"/>
  <c r="A66" i="3"/>
  <c r="C66" i="3"/>
  <c r="A67" i="3"/>
  <c r="C67" i="3"/>
  <c r="A68" i="3"/>
  <c r="C68" i="3"/>
  <c r="A69" i="3"/>
  <c r="C69" i="3"/>
  <c r="A70" i="3"/>
  <c r="C70" i="3"/>
  <c r="A71" i="3"/>
  <c r="C71" i="3"/>
  <c r="A72" i="3"/>
  <c r="C72" i="3"/>
  <c r="A73" i="3"/>
  <c r="C73" i="3"/>
  <c r="A74" i="3"/>
  <c r="C74" i="3"/>
  <c r="A75" i="3"/>
  <c r="C75" i="3"/>
  <c r="A76" i="3"/>
  <c r="C76" i="3"/>
  <c r="A77" i="3"/>
  <c r="C77" i="3"/>
  <c r="A78" i="3"/>
  <c r="C78" i="3"/>
  <c r="A79" i="3"/>
  <c r="C79" i="3"/>
  <c r="A80" i="3"/>
  <c r="C80" i="3"/>
  <c r="A81" i="3"/>
  <c r="C81" i="3"/>
  <c r="A82" i="3"/>
  <c r="C82" i="3"/>
  <c r="A83" i="3"/>
  <c r="C83" i="3"/>
  <c r="A84" i="3"/>
  <c r="C84" i="3"/>
  <c r="A85" i="3"/>
  <c r="C85" i="3"/>
  <c r="A86" i="3"/>
  <c r="C86" i="3"/>
  <c r="A87" i="3"/>
  <c r="C87" i="3"/>
  <c r="A88" i="3"/>
  <c r="C88" i="3"/>
  <c r="A89" i="3"/>
  <c r="C89" i="3"/>
  <c r="A90" i="3"/>
  <c r="C90" i="3"/>
  <c r="A91" i="3"/>
  <c r="C91" i="3"/>
  <c r="A92" i="3"/>
  <c r="C92" i="3"/>
  <c r="A93" i="3"/>
  <c r="C93" i="3"/>
  <c r="A94" i="3"/>
  <c r="C94" i="3"/>
  <c r="A95" i="3"/>
  <c r="C95" i="3"/>
  <c r="A96" i="3"/>
  <c r="C96" i="3"/>
  <c r="A97" i="3"/>
  <c r="C97" i="3"/>
  <c r="A98" i="3"/>
  <c r="C98" i="3"/>
  <c r="A99" i="3"/>
  <c r="C99" i="3"/>
  <c r="A100" i="3"/>
  <c r="C100" i="3"/>
  <c r="A101" i="3"/>
  <c r="C101" i="3"/>
  <c r="A102" i="3"/>
  <c r="C102" i="3"/>
  <c r="A103" i="3"/>
  <c r="C103" i="3"/>
  <c r="A104" i="3"/>
  <c r="C104" i="3"/>
  <c r="A105" i="3"/>
  <c r="C105" i="3"/>
  <c r="A106" i="3"/>
  <c r="C106" i="3"/>
  <c r="A107" i="3"/>
  <c r="C107" i="3"/>
  <c r="A108" i="3"/>
  <c r="C108" i="3"/>
  <c r="A109" i="3"/>
  <c r="C109" i="3"/>
  <c r="A110" i="3"/>
  <c r="C110" i="3"/>
  <c r="A111" i="3"/>
  <c r="C111" i="3"/>
  <c r="A112" i="3"/>
  <c r="C112" i="3"/>
  <c r="A113" i="3"/>
  <c r="C113" i="3"/>
  <c r="A114" i="3"/>
  <c r="C114" i="3"/>
  <c r="A115" i="3"/>
  <c r="C115" i="3"/>
  <c r="A116" i="3"/>
  <c r="C116" i="3"/>
  <c r="A117" i="3"/>
  <c r="C117" i="3"/>
  <c r="A118" i="3"/>
  <c r="C118" i="3"/>
  <c r="A119" i="3"/>
  <c r="C119" i="3"/>
  <c r="A120" i="3"/>
  <c r="C120" i="3"/>
  <c r="A121" i="3"/>
  <c r="C121" i="3"/>
  <c r="A122" i="3"/>
  <c r="C122" i="3"/>
  <c r="A123" i="3"/>
  <c r="C123" i="3"/>
  <c r="A124" i="3"/>
  <c r="C124" i="3"/>
  <c r="A125" i="3"/>
  <c r="C125" i="3"/>
  <c r="A126" i="3"/>
  <c r="C126" i="3"/>
  <c r="A127" i="3"/>
  <c r="C127" i="3"/>
  <c r="A128" i="3"/>
  <c r="C128" i="3"/>
  <c r="A129" i="3"/>
  <c r="C129" i="3"/>
  <c r="A130" i="3"/>
  <c r="C130" i="3"/>
  <c r="A131" i="3"/>
  <c r="C131" i="3"/>
  <c r="A132" i="3"/>
  <c r="C132" i="3"/>
  <c r="A133" i="3"/>
  <c r="C133" i="3"/>
  <c r="A134" i="3"/>
  <c r="C134" i="3"/>
  <c r="A135" i="3"/>
  <c r="C135" i="3"/>
  <c r="A136" i="3"/>
  <c r="C136" i="3"/>
  <c r="A137" i="3"/>
  <c r="C137" i="3"/>
  <c r="A138" i="3"/>
  <c r="C138" i="3"/>
  <c r="A139" i="3"/>
  <c r="C139" i="3"/>
  <c r="A140" i="3"/>
  <c r="C140" i="3"/>
  <c r="A141" i="3"/>
  <c r="C141" i="3"/>
  <c r="A142" i="3"/>
  <c r="C142" i="3"/>
  <c r="A143" i="3"/>
  <c r="C143" i="3"/>
  <c r="A144" i="3"/>
  <c r="C144" i="3"/>
  <c r="A145" i="3"/>
  <c r="C145" i="3"/>
  <c r="A146" i="3"/>
  <c r="C146" i="3"/>
  <c r="A147" i="3"/>
  <c r="C147" i="3"/>
  <c r="A148" i="3"/>
  <c r="C148" i="3"/>
  <c r="A149" i="3"/>
  <c r="C149" i="3"/>
  <c r="A150" i="3"/>
  <c r="C150" i="3"/>
  <c r="A151" i="3"/>
  <c r="C151" i="3"/>
  <c r="A152" i="3"/>
  <c r="C152" i="3"/>
  <c r="A153" i="3"/>
  <c r="C153" i="3"/>
  <c r="A154" i="3"/>
  <c r="C154" i="3"/>
  <c r="A155" i="3"/>
  <c r="C155" i="3"/>
  <c r="A156" i="3"/>
  <c r="C156" i="3"/>
  <c r="A157" i="3"/>
  <c r="C157" i="3"/>
  <c r="A158" i="3"/>
  <c r="C158" i="3"/>
  <c r="A159" i="3"/>
  <c r="C159" i="3"/>
  <c r="A160" i="3"/>
  <c r="C160" i="3"/>
  <c r="A161" i="3"/>
  <c r="C161" i="3"/>
  <c r="A162" i="3"/>
  <c r="C162" i="3"/>
  <c r="A163" i="3"/>
  <c r="C163" i="3"/>
  <c r="A164" i="3"/>
  <c r="C164" i="3"/>
  <c r="A165" i="3"/>
  <c r="C165" i="3"/>
  <c r="A166" i="3"/>
  <c r="C166" i="3"/>
  <c r="A167" i="3"/>
  <c r="C167" i="3"/>
  <c r="A168" i="3"/>
  <c r="C168" i="3"/>
  <c r="A169" i="3"/>
  <c r="C169" i="3"/>
  <c r="A170" i="3"/>
  <c r="C170" i="3"/>
  <c r="A171" i="3"/>
  <c r="C171" i="3"/>
  <c r="A172" i="3"/>
  <c r="C172" i="3"/>
  <c r="A173" i="3"/>
  <c r="C173" i="3"/>
  <c r="A174" i="3"/>
  <c r="C174" i="3"/>
  <c r="A175" i="3"/>
  <c r="C175" i="3"/>
  <c r="A176" i="3"/>
  <c r="C176" i="3"/>
  <c r="A177" i="3"/>
  <c r="C177" i="3"/>
  <c r="A178" i="3"/>
  <c r="C178" i="3"/>
  <c r="A179" i="3"/>
  <c r="C179" i="3"/>
  <c r="A180" i="3"/>
  <c r="C180" i="3"/>
  <c r="A181" i="3"/>
  <c r="C181" i="3"/>
  <c r="A182" i="3"/>
  <c r="C182" i="3"/>
  <c r="A183" i="3"/>
  <c r="C183" i="3"/>
  <c r="A184" i="3"/>
  <c r="C184" i="3"/>
  <c r="A185" i="3"/>
  <c r="C185" i="3"/>
  <c r="A186" i="3"/>
  <c r="C186" i="3"/>
  <c r="A187" i="3"/>
  <c r="C187" i="3"/>
  <c r="A188" i="3"/>
  <c r="C188" i="3"/>
  <c r="A189" i="3"/>
  <c r="C189" i="3"/>
  <c r="A190" i="3"/>
  <c r="C190" i="3"/>
  <c r="A191" i="3"/>
  <c r="C191" i="3"/>
  <c r="A192" i="3"/>
  <c r="C192" i="3"/>
  <c r="A193" i="3"/>
  <c r="C193" i="3"/>
  <c r="A194" i="3"/>
  <c r="C194" i="3"/>
  <c r="A195" i="3"/>
  <c r="C195" i="3"/>
  <c r="A196" i="3"/>
  <c r="C196" i="3"/>
  <c r="A197" i="3"/>
  <c r="C197" i="3"/>
  <c r="A198" i="3"/>
  <c r="C198" i="3"/>
  <c r="A199" i="3"/>
  <c r="C199" i="3"/>
  <c r="A200" i="3"/>
  <c r="C200" i="3"/>
  <c r="A201" i="3"/>
  <c r="C201" i="3"/>
  <c r="A202" i="3"/>
  <c r="C202" i="3"/>
  <c r="A203" i="3"/>
  <c r="C203" i="3"/>
  <c r="A204" i="3"/>
  <c r="C204" i="3"/>
  <c r="A205" i="3"/>
  <c r="C205" i="3"/>
  <c r="A206" i="3"/>
  <c r="C206" i="3"/>
  <c r="A207" i="3"/>
  <c r="C207" i="3"/>
  <c r="A208" i="3"/>
  <c r="C208" i="3"/>
  <c r="A209" i="3"/>
  <c r="C209" i="3"/>
  <c r="A210" i="3"/>
  <c r="C210" i="3"/>
  <c r="A211" i="3"/>
  <c r="C211" i="3"/>
  <c r="A212" i="3"/>
  <c r="C212" i="3"/>
  <c r="A213" i="3"/>
  <c r="C213" i="3"/>
  <c r="A214" i="3"/>
  <c r="C214" i="3"/>
  <c r="A215" i="3"/>
  <c r="C215" i="3"/>
  <c r="A216" i="3"/>
  <c r="C216" i="3"/>
  <c r="A217" i="3"/>
  <c r="C217" i="3"/>
  <c r="A218" i="3"/>
  <c r="C218" i="3"/>
  <c r="A219" i="3"/>
  <c r="C219" i="3"/>
  <c r="A220" i="3"/>
  <c r="C220" i="3"/>
  <c r="A221" i="3"/>
  <c r="C221" i="3"/>
  <c r="A222" i="3"/>
  <c r="C222" i="3"/>
  <c r="A223" i="3"/>
  <c r="C223" i="3"/>
  <c r="A224" i="3"/>
  <c r="C224" i="3"/>
  <c r="A225" i="3"/>
  <c r="C225" i="3"/>
  <c r="A226" i="3"/>
  <c r="C226" i="3"/>
  <c r="A227" i="3"/>
  <c r="C227" i="3"/>
  <c r="A228" i="3"/>
  <c r="C228" i="3"/>
  <c r="A229" i="3"/>
  <c r="C229" i="3"/>
  <c r="A230" i="3"/>
  <c r="C230" i="3"/>
  <c r="A231" i="3"/>
  <c r="C231" i="3"/>
  <c r="A232" i="3"/>
  <c r="C232" i="3"/>
  <c r="A233" i="3"/>
  <c r="C233" i="3"/>
  <c r="A234" i="3"/>
  <c r="C234" i="3"/>
  <c r="A235" i="3"/>
  <c r="C235" i="3"/>
  <c r="A236" i="3"/>
  <c r="C236" i="3"/>
  <c r="A237" i="3"/>
  <c r="C237" i="3"/>
  <c r="A238" i="3"/>
  <c r="C238" i="3"/>
  <c r="A239" i="3"/>
  <c r="C239" i="3"/>
  <c r="A240" i="3"/>
  <c r="C240" i="3"/>
  <c r="A241" i="3"/>
  <c r="C241" i="3"/>
  <c r="A242" i="3"/>
  <c r="C242" i="3"/>
  <c r="A243" i="3"/>
  <c r="C243" i="3"/>
  <c r="A244" i="3"/>
  <c r="C244" i="3"/>
  <c r="A245" i="3"/>
  <c r="C245" i="3"/>
  <c r="A246" i="3"/>
  <c r="C246" i="3"/>
  <c r="A247" i="3"/>
  <c r="C247" i="3"/>
  <c r="A248" i="3"/>
  <c r="C248" i="3"/>
  <c r="A249" i="3"/>
  <c r="C249" i="3"/>
  <c r="A250" i="3"/>
  <c r="C250" i="3"/>
  <c r="A251" i="3"/>
  <c r="C251" i="3"/>
  <c r="A252" i="3"/>
  <c r="C252" i="3"/>
  <c r="A253" i="3"/>
  <c r="C253" i="3"/>
  <c r="A254" i="3"/>
  <c r="C254" i="3"/>
  <c r="A255" i="3"/>
  <c r="C255" i="3"/>
  <c r="A256" i="3"/>
  <c r="C256" i="3"/>
  <c r="A257" i="3"/>
  <c r="C257" i="3"/>
  <c r="A258" i="3"/>
  <c r="C258" i="3"/>
  <c r="A259" i="3"/>
  <c r="C259" i="3"/>
  <c r="A260" i="3"/>
  <c r="C260" i="3"/>
  <c r="A261" i="3"/>
  <c r="C261" i="3"/>
  <c r="A262" i="3"/>
  <c r="C262" i="3"/>
  <c r="A263" i="3"/>
  <c r="C263" i="3"/>
  <c r="A264" i="3"/>
  <c r="C264" i="3"/>
  <c r="A265" i="3"/>
  <c r="C265" i="3"/>
  <c r="A266" i="3"/>
  <c r="C266" i="3"/>
  <c r="A267" i="3"/>
  <c r="C267" i="3"/>
  <c r="A268" i="3"/>
  <c r="C268" i="3"/>
  <c r="A269" i="3"/>
  <c r="C269" i="3"/>
  <c r="A270" i="3"/>
  <c r="C270" i="3"/>
  <c r="A271" i="3"/>
  <c r="C271" i="3"/>
  <c r="A272" i="3"/>
  <c r="C272" i="3"/>
  <c r="A273" i="3"/>
  <c r="C273" i="3"/>
  <c r="A274" i="3"/>
  <c r="C274" i="3"/>
  <c r="A275" i="3"/>
  <c r="C275" i="3"/>
  <c r="A276" i="3"/>
  <c r="C276" i="3"/>
  <c r="A277" i="3"/>
  <c r="C277" i="3"/>
  <c r="A278" i="3"/>
  <c r="C278" i="3"/>
  <c r="A279" i="3"/>
  <c r="C279" i="3"/>
  <c r="A280" i="3"/>
  <c r="C280" i="3"/>
  <c r="A281" i="3"/>
  <c r="C281" i="3"/>
  <c r="A282" i="3"/>
  <c r="C282" i="3"/>
  <c r="A283" i="3"/>
  <c r="C283" i="3"/>
  <c r="A284" i="3"/>
  <c r="C284" i="3"/>
  <c r="A285" i="3"/>
  <c r="C285" i="3"/>
  <c r="A286" i="3"/>
  <c r="C286" i="3"/>
  <c r="A287" i="3"/>
  <c r="C287" i="3"/>
  <c r="A288" i="3"/>
  <c r="C288" i="3"/>
  <c r="A289" i="3"/>
  <c r="C289" i="3"/>
  <c r="A290" i="3"/>
  <c r="C290" i="3"/>
  <c r="A291" i="3"/>
  <c r="C291" i="3"/>
  <c r="A292" i="3"/>
  <c r="C292" i="3"/>
  <c r="A293" i="3"/>
  <c r="C293" i="3"/>
  <c r="A294" i="3"/>
  <c r="C294" i="3"/>
  <c r="A295" i="3"/>
  <c r="C295" i="3"/>
  <c r="A296" i="3"/>
  <c r="C296" i="3"/>
  <c r="A297" i="3"/>
  <c r="C297" i="3"/>
  <c r="A298" i="3"/>
  <c r="C298" i="3"/>
  <c r="A299" i="3"/>
  <c r="C299" i="3"/>
  <c r="A300" i="3"/>
  <c r="C300" i="3"/>
  <c r="A301" i="3"/>
  <c r="C301" i="3"/>
  <c r="A302" i="3"/>
  <c r="C302" i="3"/>
  <c r="A303" i="3"/>
  <c r="C303" i="3"/>
  <c r="A304" i="3"/>
  <c r="C304" i="3"/>
  <c r="A305" i="3"/>
  <c r="C305" i="3"/>
  <c r="A306" i="3"/>
  <c r="C306" i="3"/>
  <c r="A307" i="3"/>
  <c r="C307" i="3"/>
  <c r="A308" i="3"/>
  <c r="C308" i="3"/>
  <c r="A309" i="3"/>
  <c r="C309" i="3"/>
  <c r="A310" i="3"/>
  <c r="C310" i="3"/>
  <c r="A311" i="3"/>
  <c r="C311" i="3"/>
  <c r="A312" i="3"/>
  <c r="C312" i="3"/>
  <c r="A313" i="3"/>
  <c r="C313" i="3"/>
  <c r="A314" i="3"/>
  <c r="C314" i="3"/>
  <c r="A315" i="3"/>
  <c r="C315" i="3"/>
  <c r="A316" i="3"/>
  <c r="C316" i="3"/>
  <c r="A317" i="3"/>
  <c r="C317" i="3"/>
  <c r="A318" i="3"/>
  <c r="C318" i="3"/>
  <c r="A319" i="3"/>
  <c r="C319" i="3"/>
  <c r="A320" i="3"/>
  <c r="C320" i="3"/>
  <c r="A321" i="3"/>
  <c r="C321" i="3"/>
  <c r="A322" i="3"/>
  <c r="C322" i="3"/>
  <c r="A323" i="3"/>
  <c r="C323" i="3"/>
  <c r="A324" i="3"/>
  <c r="C324" i="3"/>
  <c r="A325" i="3"/>
  <c r="C325" i="3"/>
  <c r="A326" i="3"/>
  <c r="C326" i="3"/>
  <c r="A327" i="3"/>
  <c r="C327" i="3"/>
  <c r="A328" i="3"/>
  <c r="C328" i="3"/>
  <c r="A329" i="3"/>
  <c r="C329" i="3"/>
  <c r="A330" i="3"/>
  <c r="C330" i="3"/>
  <c r="A331" i="3"/>
  <c r="C331" i="3"/>
  <c r="A332" i="3"/>
  <c r="C332" i="3"/>
  <c r="A333" i="3"/>
  <c r="C333" i="3"/>
  <c r="A334" i="3"/>
  <c r="C334" i="3"/>
  <c r="A335" i="3"/>
  <c r="C335" i="3"/>
  <c r="A336" i="3"/>
  <c r="C336" i="3"/>
  <c r="A337" i="3"/>
  <c r="C337" i="3"/>
  <c r="A338" i="3"/>
  <c r="C338" i="3"/>
  <c r="A339" i="3"/>
  <c r="C339" i="3"/>
  <c r="A340" i="3"/>
  <c r="C340" i="3"/>
  <c r="A341" i="3"/>
  <c r="C341" i="3"/>
  <c r="A342" i="3"/>
  <c r="C342" i="3"/>
  <c r="A343" i="3"/>
  <c r="C343" i="3"/>
  <c r="A344" i="3"/>
  <c r="C344" i="3"/>
  <c r="A345" i="3"/>
  <c r="C345" i="3"/>
  <c r="A346" i="3"/>
  <c r="C346" i="3"/>
  <c r="A347" i="3"/>
  <c r="C347" i="3"/>
  <c r="A348" i="3"/>
  <c r="C348" i="3"/>
  <c r="A349" i="3"/>
  <c r="C349" i="3"/>
  <c r="A350" i="3"/>
  <c r="C350" i="3"/>
  <c r="A351" i="3"/>
  <c r="C351" i="3"/>
  <c r="A352" i="3"/>
  <c r="C352" i="3"/>
  <c r="A353" i="3"/>
  <c r="C353" i="3"/>
  <c r="A354" i="3"/>
  <c r="C354" i="3"/>
  <c r="A355" i="3"/>
  <c r="C355" i="3"/>
  <c r="A356" i="3"/>
  <c r="C356" i="3"/>
  <c r="A357" i="3"/>
  <c r="C357" i="3"/>
  <c r="A358" i="3"/>
  <c r="C358" i="3"/>
  <c r="A359" i="3"/>
  <c r="C359" i="3"/>
  <c r="A360" i="3"/>
  <c r="C360" i="3"/>
  <c r="A361" i="3"/>
  <c r="C361" i="3"/>
  <c r="A362" i="3"/>
  <c r="C362" i="3"/>
  <c r="A363" i="3"/>
  <c r="C363" i="3"/>
  <c r="A364" i="3"/>
  <c r="C364" i="3"/>
  <c r="A365" i="3"/>
  <c r="C365" i="3"/>
  <c r="A366" i="3"/>
  <c r="C366" i="3"/>
  <c r="A367" i="3"/>
  <c r="C367" i="3"/>
  <c r="A368" i="3"/>
  <c r="C368" i="3"/>
  <c r="A369" i="3"/>
  <c r="C369" i="3"/>
  <c r="A370" i="3"/>
  <c r="C370" i="3"/>
  <c r="A371" i="3"/>
  <c r="C371" i="3"/>
  <c r="A372" i="3"/>
  <c r="C372" i="3"/>
  <c r="A373" i="3"/>
  <c r="C373" i="3"/>
  <c r="A374" i="3"/>
  <c r="C374" i="3"/>
  <c r="A375" i="3"/>
  <c r="C375" i="3"/>
  <c r="A376" i="3"/>
  <c r="C376" i="3"/>
  <c r="A377" i="3"/>
  <c r="C377" i="3"/>
  <c r="A378" i="3"/>
  <c r="C378" i="3"/>
  <c r="A379" i="3"/>
  <c r="C379" i="3"/>
  <c r="A380" i="3"/>
  <c r="C380" i="3"/>
  <c r="A381" i="3"/>
  <c r="C381" i="3"/>
  <c r="A382" i="3"/>
  <c r="C382" i="3"/>
  <c r="A383" i="3"/>
  <c r="C383" i="3"/>
  <c r="A384" i="3"/>
  <c r="C384" i="3"/>
  <c r="A385" i="3"/>
  <c r="C385" i="3"/>
  <c r="A386" i="3"/>
  <c r="C386" i="3"/>
  <c r="A387" i="3"/>
  <c r="C387" i="3"/>
  <c r="A388" i="3"/>
  <c r="C388" i="3"/>
  <c r="A389" i="3"/>
  <c r="C389" i="3"/>
  <c r="A390" i="3"/>
  <c r="C390" i="3"/>
  <c r="A391" i="3"/>
  <c r="C391" i="3"/>
  <c r="A392" i="3"/>
  <c r="C392" i="3"/>
  <c r="A393" i="3"/>
  <c r="C393" i="3"/>
  <c r="A394" i="3"/>
  <c r="C394" i="3"/>
  <c r="A395" i="3"/>
  <c r="C395" i="3"/>
  <c r="A396" i="3"/>
  <c r="C396" i="3"/>
  <c r="A397" i="3"/>
  <c r="C397" i="3"/>
  <c r="A398" i="3"/>
  <c r="C398" i="3"/>
  <c r="A399" i="3"/>
  <c r="C399" i="3"/>
  <c r="A400" i="3"/>
  <c r="C400" i="3"/>
  <c r="A401" i="3"/>
  <c r="C401" i="3"/>
  <c r="A402" i="3"/>
  <c r="C402" i="3"/>
  <c r="A403" i="3"/>
  <c r="C403" i="3"/>
  <c r="A404" i="3"/>
  <c r="C404" i="3"/>
  <c r="A405" i="3"/>
  <c r="C405" i="3"/>
  <c r="A406" i="3"/>
  <c r="C406" i="3"/>
  <c r="A407" i="3"/>
  <c r="C407" i="3"/>
  <c r="A408" i="3"/>
  <c r="C408" i="3"/>
  <c r="A409" i="3"/>
  <c r="C409" i="3"/>
  <c r="A410" i="3"/>
  <c r="C410" i="3"/>
  <c r="A411" i="3"/>
  <c r="C411" i="3"/>
  <c r="A412" i="3"/>
  <c r="C412" i="3"/>
  <c r="A413" i="3"/>
  <c r="C413" i="3"/>
  <c r="A414" i="3"/>
  <c r="C414" i="3"/>
  <c r="A415" i="3"/>
  <c r="C415" i="3"/>
  <c r="A416" i="3"/>
  <c r="C416" i="3"/>
  <c r="A417" i="3"/>
  <c r="C417" i="3"/>
  <c r="A418" i="3"/>
  <c r="C418" i="3"/>
  <c r="A419" i="3"/>
  <c r="C419" i="3"/>
  <c r="A420" i="3"/>
  <c r="C420" i="3"/>
  <c r="A421" i="3"/>
  <c r="C421" i="3"/>
  <c r="A422" i="3"/>
  <c r="C422" i="3"/>
  <c r="A423" i="3"/>
  <c r="C423" i="3"/>
  <c r="A424" i="3"/>
  <c r="C424" i="3"/>
  <c r="A425" i="3"/>
  <c r="C425" i="3"/>
  <c r="A426" i="3"/>
  <c r="C426" i="3"/>
  <c r="A427" i="3"/>
  <c r="C427" i="3"/>
  <c r="A428" i="3"/>
  <c r="C428" i="3"/>
  <c r="A429" i="3"/>
  <c r="C429" i="3"/>
  <c r="A430" i="3"/>
  <c r="C430" i="3"/>
  <c r="A431" i="3"/>
  <c r="C431" i="3"/>
  <c r="A432" i="3"/>
  <c r="C432" i="3"/>
  <c r="A433" i="3"/>
  <c r="C433" i="3"/>
  <c r="A434" i="3"/>
  <c r="C434" i="3"/>
  <c r="A435" i="3"/>
  <c r="C435" i="3"/>
  <c r="A436" i="3"/>
  <c r="C436" i="3"/>
  <c r="A437" i="3"/>
  <c r="C437" i="3"/>
  <c r="A438" i="3"/>
  <c r="C438" i="3"/>
  <c r="A439" i="3"/>
  <c r="C439" i="3"/>
  <c r="A440" i="3"/>
  <c r="C440" i="3"/>
  <c r="A441" i="3"/>
  <c r="C441" i="3"/>
  <c r="A442" i="3"/>
  <c r="C442" i="3"/>
  <c r="A443" i="3"/>
  <c r="C443" i="3"/>
  <c r="A444" i="3"/>
  <c r="C444" i="3"/>
  <c r="A445" i="3"/>
  <c r="C445" i="3"/>
  <c r="A446" i="3"/>
  <c r="C446" i="3"/>
  <c r="A447" i="3"/>
  <c r="C447" i="3"/>
  <c r="A448" i="3"/>
  <c r="C448" i="3"/>
  <c r="A449" i="3"/>
  <c r="C449" i="3"/>
  <c r="A450" i="3"/>
  <c r="C450" i="3"/>
  <c r="A451" i="3"/>
  <c r="C451" i="3"/>
  <c r="A452" i="3"/>
  <c r="C452" i="3"/>
  <c r="A453" i="3"/>
  <c r="C453" i="3"/>
  <c r="A454" i="3"/>
  <c r="C454" i="3"/>
  <c r="A455" i="3"/>
  <c r="C455" i="3"/>
  <c r="A456" i="3"/>
  <c r="C456" i="3"/>
  <c r="A457" i="3"/>
  <c r="C457" i="3"/>
  <c r="A458" i="3"/>
  <c r="C458" i="3"/>
  <c r="A459" i="3"/>
  <c r="C459" i="3"/>
  <c r="A460" i="3"/>
  <c r="C460" i="3"/>
  <c r="A461" i="3"/>
  <c r="C461" i="3"/>
  <c r="A462" i="3"/>
  <c r="C462" i="3"/>
  <c r="A463" i="3"/>
  <c r="C463" i="3"/>
  <c r="A464" i="3"/>
  <c r="C464" i="3"/>
  <c r="A465" i="3"/>
  <c r="C465" i="3"/>
  <c r="A466" i="3"/>
  <c r="C466" i="3"/>
  <c r="A467" i="3"/>
  <c r="C467" i="3"/>
  <c r="A468" i="3"/>
  <c r="C468" i="3"/>
  <c r="A469" i="3"/>
  <c r="C469" i="3"/>
  <c r="A470" i="3"/>
  <c r="C470" i="3"/>
  <c r="A471" i="3"/>
  <c r="C471" i="3"/>
  <c r="A472" i="3"/>
  <c r="C472" i="3"/>
  <c r="A473" i="3"/>
  <c r="C473" i="3"/>
  <c r="A474" i="3"/>
  <c r="C474" i="3"/>
  <c r="A475" i="3"/>
  <c r="C475" i="3"/>
  <c r="A476" i="3"/>
  <c r="C476" i="3"/>
  <c r="A477" i="3"/>
  <c r="C477" i="3"/>
  <c r="A478" i="3"/>
  <c r="C478" i="3"/>
  <c r="A479" i="3"/>
  <c r="C479" i="3"/>
  <c r="A480" i="3"/>
  <c r="C480" i="3"/>
  <c r="A481" i="3"/>
  <c r="C481" i="3"/>
  <c r="A482" i="3"/>
  <c r="C482" i="3"/>
  <c r="A483" i="3"/>
  <c r="C483" i="3"/>
  <c r="A484" i="3"/>
  <c r="C484" i="3"/>
  <c r="A485" i="3"/>
  <c r="C485" i="3"/>
  <c r="A486" i="3"/>
  <c r="C486" i="3"/>
  <c r="A487" i="3"/>
  <c r="C487" i="3"/>
  <c r="A488" i="3"/>
  <c r="C488" i="3"/>
  <c r="A489" i="3"/>
  <c r="C489" i="3"/>
  <c r="A490" i="3"/>
  <c r="C490" i="3"/>
  <c r="A491" i="3"/>
  <c r="C491" i="3"/>
  <c r="A492" i="3"/>
  <c r="C492" i="3"/>
  <c r="A493" i="3"/>
  <c r="C493" i="3"/>
  <c r="A494" i="3"/>
  <c r="C494" i="3"/>
  <c r="A495" i="3"/>
  <c r="C495" i="3"/>
  <c r="A496" i="3"/>
  <c r="C496" i="3"/>
  <c r="A497" i="3"/>
  <c r="C497" i="3"/>
  <c r="A498" i="3"/>
  <c r="C498" i="3"/>
  <c r="A499" i="3"/>
  <c r="C499" i="3"/>
  <c r="A500" i="3"/>
  <c r="C500" i="3"/>
  <c r="A501" i="3"/>
  <c r="C501" i="3"/>
  <c r="A502" i="3"/>
  <c r="C502" i="3"/>
  <c r="A503" i="3"/>
  <c r="C503" i="3"/>
  <c r="A504" i="3"/>
  <c r="C504" i="3"/>
  <c r="A505" i="3"/>
  <c r="C505" i="3"/>
  <c r="A506" i="3"/>
  <c r="C506" i="3"/>
  <c r="A507" i="3"/>
  <c r="C507" i="3"/>
  <c r="A508" i="3"/>
  <c r="C508" i="3"/>
  <c r="A509" i="3"/>
  <c r="C509" i="3"/>
  <c r="A510" i="3"/>
  <c r="C510" i="3"/>
  <c r="A511" i="3"/>
  <c r="C511" i="3"/>
  <c r="A512" i="3"/>
  <c r="C512" i="3"/>
  <c r="A513" i="3"/>
  <c r="C513" i="3"/>
  <c r="A514" i="3"/>
  <c r="C514" i="3"/>
  <c r="A515" i="3"/>
  <c r="C515" i="3"/>
  <c r="A516" i="3"/>
  <c r="C516" i="3"/>
  <c r="A517" i="3"/>
  <c r="C517" i="3"/>
  <c r="A518" i="3"/>
  <c r="C518" i="3"/>
  <c r="A519" i="3"/>
  <c r="C519" i="3"/>
  <c r="A520" i="3"/>
  <c r="C520" i="3"/>
  <c r="A521" i="3"/>
  <c r="C521" i="3"/>
  <c r="A522" i="3"/>
  <c r="C522" i="3"/>
  <c r="A523" i="3"/>
  <c r="C523" i="3"/>
  <c r="A524" i="3"/>
  <c r="C524" i="3"/>
  <c r="A525" i="3"/>
  <c r="C525" i="3"/>
  <c r="A526" i="3"/>
  <c r="C526" i="3"/>
  <c r="A527" i="3"/>
  <c r="C527" i="3"/>
  <c r="A528" i="3"/>
  <c r="C528" i="3"/>
  <c r="A529" i="3"/>
  <c r="C529" i="3"/>
  <c r="A530" i="3"/>
  <c r="C530" i="3"/>
  <c r="A531" i="3"/>
  <c r="C531" i="3"/>
  <c r="A532" i="3"/>
  <c r="C532" i="3"/>
  <c r="A533" i="3"/>
  <c r="C533" i="3"/>
  <c r="A534" i="3"/>
  <c r="C534" i="3"/>
  <c r="A535" i="3"/>
  <c r="C535" i="3"/>
  <c r="A536" i="3"/>
  <c r="C536" i="3"/>
  <c r="A537" i="3"/>
  <c r="C537" i="3"/>
  <c r="A538" i="3"/>
  <c r="C538" i="3"/>
  <c r="A539" i="3"/>
  <c r="C539" i="3"/>
  <c r="A540" i="3"/>
  <c r="C540" i="3"/>
  <c r="A541" i="3"/>
  <c r="C541" i="3"/>
  <c r="A542" i="3"/>
  <c r="C542" i="3"/>
  <c r="A543" i="3"/>
  <c r="C543" i="3"/>
  <c r="A544" i="3"/>
  <c r="C544" i="3"/>
  <c r="A545" i="3"/>
  <c r="C545" i="3"/>
  <c r="A546" i="3"/>
  <c r="C546" i="3"/>
  <c r="A547" i="3"/>
  <c r="C547" i="3"/>
  <c r="A548" i="3"/>
  <c r="C548" i="3"/>
  <c r="A549" i="3"/>
  <c r="C549" i="3"/>
  <c r="A550" i="3"/>
  <c r="C550" i="3"/>
  <c r="A551" i="3"/>
  <c r="C551" i="3"/>
  <c r="A552" i="3"/>
  <c r="C552" i="3"/>
  <c r="A553" i="3"/>
  <c r="C553" i="3"/>
  <c r="A554" i="3"/>
  <c r="C554" i="3"/>
  <c r="A555" i="3"/>
  <c r="C555" i="3"/>
  <c r="A556" i="3"/>
  <c r="C556" i="3"/>
  <c r="A557" i="3"/>
  <c r="C557" i="3"/>
  <c r="A558" i="3"/>
  <c r="C558" i="3"/>
  <c r="A559" i="3"/>
  <c r="C559" i="3"/>
  <c r="A560" i="3"/>
  <c r="C560" i="3"/>
  <c r="A561" i="3"/>
  <c r="C561" i="3"/>
  <c r="A562" i="3"/>
  <c r="C562" i="3"/>
  <c r="A563" i="3"/>
  <c r="C563" i="3"/>
  <c r="A564" i="3"/>
  <c r="C564" i="3"/>
  <c r="A565" i="3"/>
  <c r="C565" i="3"/>
  <c r="A566" i="3"/>
  <c r="C566" i="3"/>
  <c r="A567" i="3"/>
  <c r="C567" i="3"/>
  <c r="A568" i="3"/>
  <c r="C568" i="3"/>
  <c r="A569" i="3"/>
  <c r="C569" i="3"/>
  <c r="A570" i="3"/>
  <c r="C570" i="3"/>
  <c r="A571" i="3"/>
  <c r="C571" i="3"/>
  <c r="A572" i="3"/>
  <c r="C572" i="3"/>
  <c r="A573" i="3"/>
  <c r="C573" i="3"/>
  <c r="A574" i="3"/>
  <c r="C574" i="3"/>
  <c r="A575" i="3"/>
  <c r="C575" i="3"/>
  <c r="A576" i="3"/>
  <c r="C576" i="3"/>
  <c r="A577" i="3"/>
  <c r="C577" i="3"/>
  <c r="A578" i="3"/>
  <c r="C578" i="3"/>
  <c r="A579" i="3"/>
  <c r="C579" i="3"/>
  <c r="A580" i="3"/>
  <c r="C580" i="3"/>
  <c r="A581" i="3"/>
  <c r="C581" i="3"/>
  <c r="A582" i="3"/>
  <c r="C582" i="3"/>
  <c r="A583" i="3"/>
  <c r="C583" i="3"/>
  <c r="A584" i="3"/>
  <c r="C584" i="3"/>
  <c r="A585" i="3"/>
  <c r="C585" i="3"/>
  <c r="A586" i="3"/>
  <c r="C586" i="3"/>
  <c r="A587" i="3"/>
  <c r="C587" i="3"/>
  <c r="A588" i="3"/>
  <c r="C588" i="3"/>
  <c r="A589" i="3"/>
  <c r="C589" i="3"/>
  <c r="A590" i="3"/>
  <c r="C590" i="3"/>
  <c r="A591" i="3"/>
  <c r="C591" i="3"/>
  <c r="A592" i="3"/>
  <c r="C592" i="3"/>
  <c r="A593" i="3"/>
  <c r="C593" i="3"/>
  <c r="A594" i="3"/>
  <c r="C594" i="3"/>
  <c r="A595" i="3"/>
  <c r="C595" i="3"/>
  <c r="A596" i="3"/>
  <c r="C596" i="3"/>
  <c r="A597" i="3"/>
  <c r="C597" i="3"/>
  <c r="A598" i="3"/>
  <c r="C598" i="3"/>
  <c r="A599" i="3"/>
  <c r="C599" i="3"/>
  <c r="A600" i="3"/>
  <c r="C600" i="3"/>
  <c r="A601" i="3"/>
  <c r="C601" i="3"/>
  <c r="A602" i="3"/>
  <c r="C602" i="3"/>
  <c r="A603" i="3"/>
  <c r="C603" i="3"/>
  <c r="A604" i="3"/>
  <c r="C604" i="3"/>
  <c r="A605" i="3"/>
  <c r="C605" i="3"/>
  <c r="A606" i="3"/>
  <c r="C606" i="3"/>
  <c r="A607" i="3"/>
  <c r="C607" i="3"/>
  <c r="A608" i="3"/>
  <c r="C608" i="3"/>
  <c r="A609" i="3"/>
  <c r="C609" i="3"/>
  <c r="A610" i="3"/>
  <c r="C610" i="3"/>
  <c r="A611" i="3"/>
  <c r="C611" i="3"/>
  <c r="A612" i="3"/>
  <c r="C612" i="3"/>
  <c r="A613" i="3"/>
  <c r="C613" i="3"/>
  <c r="A614" i="3"/>
  <c r="C614" i="3"/>
  <c r="A615" i="3"/>
  <c r="C615" i="3"/>
  <c r="A616" i="3"/>
  <c r="C616" i="3"/>
  <c r="A617" i="3"/>
  <c r="C617" i="3"/>
  <c r="A618" i="3"/>
  <c r="C618" i="3"/>
  <c r="A619" i="3"/>
  <c r="C619" i="3"/>
  <c r="A620" i="3"/>
  <c r="C620" i="3"/>
  <c r="A621" i="3"/>
  <c r="C621" i="3"/>
  <c r="A622" i="3"/>
  <c r="C622" i="3"/>
  <c r="A623" i="3"/>
  <c r="C623" i="3"/>
  <c r="A624" i="3"/>
  <c r="C624" i="3"/>
  <c r="A625" i="3"/>
  <c r="C625" i="3"/>
  <c r="A626" i="3"/>
  <c r="C626" i="3"/>
  <c r="A627" i="3"/>
  <c r="C627" i="3"/>
  <c r="A628" i="3"/>
  <c r="C628" i="3"/>
  <c r="A629" i="3"/>
  <c r="C629" i="3"/>
  <c r="A630" i="3"/>
  <c r="C630" i="3"/>
  <c r="A631" i="3"/>
  <c r="C631" i="3"/>
  <c r="A632" i="3"/>
  <c r="C632" i="3"/>
  <c r="A633" i="3"/>
  <c r="C633" i="3"/>
  <c r="A634" i="3"/>
  <c r="C634" i="3"/>
  <c r="A635" i="3"/>
  <c r="C635" i="3"/>
  <c r="A636" i="3"/>
  <c r="C636" i="3"/>
  <c r="A637" i="3"/>
  <c r="C637" i="3"/>
  <c r="A638" i="3"/>
  <c r="C638" i="3"/>
  <c r="A639" i="3"/>
  <c r="C639" i="3"/>
  <c r="A640" i="3"/>
  <c r="C640" i="3"/>
  <c r="A641" i="3"/>
  <c r="C641" i="3"/>
  <c r="A642" i="3"/>
  <c r="C642" i="3"/>
  <c r="A643" i="3"/>
  <c r="C643" i="3"/>
  <c r="A644" i="3"/>
  <c r="C644" i="3"/>
  <c r="A645" i="3"/>
  <c r="C645" i="3"/>
  <c r="A646" i="3"/>
  <c r="C646" i="3"/>
  <c r="A647" i="3"/>
  <c r="C647" i="3"/>
  <c r="A648" i="3"/>
  <c r="C648" i="3"/>
  <c r="A649" i="3"/>
  <c r="C649" i="3"/>
  <c r="A650" i="3"/>
  <c r="C650" i="3"/>
  <c r="A651" i="3"/>
  <c r="C651" i="3"/>
  <c r="A652" i="3"/>
  <c r="C652" i="3"/>
  <c r="A653" i="3"/>
  <c r="C653" i="3"/>
  <c r="A654" i="3"/>
  <c r="C654" i="3"/>
  <c r="A655" i="3"/>
  <c r="C655" i="3"/>
  <c r="A656" i="3"/>
  <c r="C656" i="3"/>
  <c r="A657" i="3"/>
  <c r="C657" i="3"/>
  <c r="A658" i="3"/>
  <c r="C658" i="3"/>
  <c r="A659" i="3"/>
  <c r="C659" i="3"/>
  <c r="A660" i="3"/>
  <c r="C660" i="3"/>
  <c r="A661" i="3"/>
  <c r="C661" i="3"/>
  <c r="A662" i="3"/>
  <c r="C662" i="3"/>
  <c r="A663" i="3"/>
  <c r="C663" i="3"/>
  <c r="A664" i="3"/>
  <c r="C664" i="3"/>
  <c r="A665" i="3"/>
  <c r="C665" i="3"/>
  <c r="A666" i="3"/>
  <c r="C666" i="3"/>
  <c r="A667" i="3"/>
  <c r="C667" i="3"/>
  <c r="A668" i="3"/>
  <c r="C668" i="3"/>
  <c r="A669" i="3"/>
  <c r="C669" i="3"/>
  <c r="A670" i="3"/>
  <c r="C670" i="3"/>
  <c r="A671" i="3"/>
  <c r="C671" i="3"/>
  <c r="A672" i="3"/>
  <c r="C672" i="3"/>
  <c r="A673" i="3"/>
  <c r="C673" i="3"/>
  <c r="A674" i="3"/>
  <c r="C674" i="3"/>
  <c r="A675" i="3"/>
  <c r="C675" i="3"/>
  <c r="A676" i="3"/>
  <c r="C676" i="3"/>
  <c r="A677" i="3"/>
  <c r="C677" i="3"/>
  <c r="A678" i="3"/>
  <c r="C678" i="3"/>
  <c r="A679" i="3"/>
  <c r="C679" i="3"/>
  <c r="A680" i="3"/>
  <c r="C680" i="3"/>
  <c r="A681" i="3"/>
  <c r="C681" i="3"/>
  <c r="A682" i="3"/>
  <c r="C682" i="3"/>
  <c r="A683" i="3"/>
  <c r="C683" i="3"/>
  <c r="A684" i="3"/>
  <c r="C684" i="3"/>
  <c r="A685" i="3"/>
  <c r="C685" i="3"/>
  <c r="A686" i="3"/>
  <c r="C686" i="3"/>
  <c r="A687" i="3"/>
  <c r="C687" i="3"/>
  <c r="A688" i="3"/>
  <c r="C688" i="3"/>
  <c r="A689" i="3"/>
  <c r="C689" i="3"/>
  <c r="A690" i="3"/>
  <c r="C690" i="3"/>
  <c r="A691" i="3"/>
  <c r="C691" i="3"/>
  <c r="A692" i="3"/>
  <c r="C692" i="3"/>
  <c r="A693" i="3"/>
  <c r="C693" i="3"/>
  <c r="A694" i="3"/>
  <c r="C694" i="3"/>
  <c r="A695" i="3"/>
  <c r="C695" i="3"/>
  <c r="A696" i="3"/>
  <c r="C696" i="3"/>
  <c r="A697" i="3"/>
  <c r="C697" i="3"/>
  <c r="A698" i="3"/>
  <c r="C698" i="3"/>
  <c r="A699" i="3"/>
  <c r="C699" i="3"/>
  <c r="A700" i="3"/>
  <c r="C700" i="3"/>
  <c r="A701" i="3"/>
  <c r="C701" i="3"/>
  <c r="A702" i="3"/>
  <c r="C702" i="3"/>
  <c r="A703" i="3"/>
  <c r="C703" i="3"/>
  <c r="A704" i="3"/>
  <c r="C704" i="3"/>
  <c r="A705" i="3"/>
  <c r="C705" i="3"/>
  <c r="A706" i="3"/>
  <c r="C706" i="3"/>
  <c r="A707" i="3"/>
  <c r="C707" i="3"/>
  <c r="A708" i="3"/>
  <c r="C708" i="3"/>
  <c r="A709" i="3"/>
  <c r="C709" i="3"/>
  <c r="A710" i="3"/>
  <c r="C710" i="3"/>
  <c r="A711" i="3"/>
  <c r="C711" i="3"/>
  <c r="A712" i="3"/>
  <c r="C712" i="3"/>
  <c r="A713" i="3"/>
  <c r="C713" i="3"/>
  <c r="A714" i="3"/>
  <c r="C714" i="3"/>
  <c r="A715" i="3"/>
  <c r="C715" i="3"/>
  <c r="A716" i="3"/>
  <c r="C716" i="3"/>
  <c r="A717" i="3"/>
  <c r="C717" i="3"/>
  <c r="A718" i="3"/>
  <c r="C718" i="3"/>
  <c r="A719" i="3"/>
  <c r="C719" i="3"/>
  <c r="A720" i="3"/>
  <c r="C720" i="3"/>
  <c r="A721" i="3"/>
  <c r="C721" i="3"/>
  <c r="A722" i="3"/>
  <c r="C722" i="3"/>
  <c r="A723" i="3"/>
  <c r="C723" i="3"/>
  <c r="A724" i="3"/>
  <c r="C724" i="3"/>
  <c r="A725" i="3"/>
  <c r="C725" i="3"/>
  <c r="A726" i="3"/>
  <c r="C726" i="3"/>
  <c r="A727" i="3"/>
  <c r="C727" i="3"/>
  <c r="A728" i="3"/>
  <c r="C728" i="3"/>
  <c r="A729" i="3"/>
  <c r="C729" i="3"/>
  <c r="A730" i="3"/>
  <c r="C730" i="3"/>
  <c r="A731" i="3"/>
  <c r="C731" i="3"/>
  <c r="A732" i="3"/>
  <c r="C732" i="3"/>
  <c r="A733" i="3"/>
  <c r="C733" i="3"/>
  <c r="A734" i="3"/>
  <c r="C734" i="3"/>
  <c r="A735" i="3"/>
  <c r="C735" i="3"/>
  <c r="A736" i="3"/>
  <c r="C736" i="3"/>
  <c r="A737" i="3"/>
  <c r="C737" i="3"/>
  <c r="A738" i="3"/>
  <c r="C738" i="3"/>
  <c r="A739" i="3"/>
  <c r="C739" i="3"/>
  <c r="A740" i="3"/>
  <c r="C740" i="3"/>
  <c r="A741" i="3"/>
  <c r="C741" i="3"/>
  <c r="A742" i="3"/>
  <c r="C742" i="3"/>
  <c r="A743" i="3"/>
  <c r="C743" i="3"/>
  <c r="A744" i="3"/>
  <c r="C744" i="3"/>
  <c r="A745" i="3"/>
  <c r="C745" i="3"/>
  <c r="A746" i="3"/>
  <c r="C746" i="3"/>
  <c r="A747" i="3"/>
  <c r="C747" i="3"/>
  <c r="A748" i="3"/>
  <c r="C748" i="3"/>
  <c r="A749" i="3"/>
  <c r="C749" i="3"/>
  <c r="A750" i="3"/>
  <c r="C750" i="3"/>
  <c r="A751" i="3"/>
  <c r="C751" i="3"/>
  <c r="A752" i="3"/>
  <c r="C752" i="3"/>
  <c r="A753" i="3"/>
  <c r="C753" i="3"/>
  <c r="A754" i="3"/>
  <c r="C754" i="3"/>
  <c r="A755" i="3"/>
  <c r="C755" i="3"/>
  <c r="A756" i="3"/>
  <c r="C756" i="3"/>
  <c r="A757" i="3"/>
  <c r="C757" i="3"/>
  <c r="A758" i="3"/>
  <c r="C758" i="3"/>
  <c r="A759" i="3"/>
  <c r="C759" i="3"/>
  <c r="A760" i="3"/>
  <c r="C760" i="3"/>
  <c r="A761" i="3"/>
  <c r="C761" i="3"/>
  <c r="A762" i="3"/>
  <c r="C762" i="3"/>
  <c r="A763" i="3"/>
  <c r="C763" i="3"/>
  <c r="A764" i="3"/>
  <c r="C764" i="3"/>
  <c r="A765" i="3"/>
  <c r="C765" i="3"/>
  <c r="A766" i="3"/>
  <c r="C766" i="3"/>
  <c r="A767" i="3"/>
  <c r="C767" i="3"/>
  <c r="A768" i="3"/>
  <c r="C768" i="3"/>
  <c r="A769" i="3"/>
  <c r="C769" i="3"/>
  <c r="A770" i="3"/>
  <c r="C770" i="3"/>
  <c r="A771" i="3"/>
  <c r="C771" i="3"/>
  <c r="A772" i="3"/>
  <c r="C772" i="3"/>
  <c r="A773" i="3"/>
  <c r="C773" i="3"/>
  <c r="A774" i="3"/>
  <c r="C774" i="3"/>
  <c r="A775" i="3"/>
  <c r="C775" i="3"/>
  <c r="A776" i="3"/>
  <c r="C776" i="3"/>
  <c r="A777" i="3"/>
  <c r="C777" i="3"/>
  <c r="A778" i="3"/>
  <c r="C778" i="3"/>
  <c r="A779" i="3"/>
  <c r="C779" i="3"/>
  <c r="A780" i="3"/>
  <c r="C780" i="3"/>
  <c r="A781" i="3"/>
  <c r="C781" i="3"/>
  <c r="A782" i="3"/>
  <c r="C782" i="3"/>
  <c r="A783" i="3"/>
  <c r="C783" i="3"/>
  <c r="A784" i="3"/>
  <c r="C784" i="3"/>
  <c r="A785" i="3"/>
  <c r="C785" i="3"/>
  <c r="A786" i="3"/>
  <c r="C786" i="3"/>
  <c r="A787" i="3"/>
  <c r="C787" i="3"/>
  <c r="A788" i="3"/>
  <c r="C788" i="3"/>
  <c r="A789" i="3"/>
  <c r="C789" i="3"/>
  <c r="A790" i="3"/>
  <c r="C790" i="3"/>
  <c r="A791" i="3"/>
  <c r="C791" i="3"/>
  <c r="A792" i="3"/>
  <c r="C792" i="3"/>
  <c r="A793" i="3"/>
  <c r="C793" i="3"/>
  <c r="A794" i="3"/>
  <c r="C794" i="3"/>
  <c r="A795" i="3"/>
  <c r="C795" i="3"/>
  <c r="A796" i="3"/>
  <c r="C796" i="3"/>
  <c r="A797" i="3"/>
  <c r="C797" i="3"/>
  <c r="A798" i="3"/>
  <c r="C798" i="3"/>
  <c r="A799" i="3"/>
  <c r="C799" i="3"/>
  <c r="A800" i="3"/>
  <c r="C800" i="3"/>
  <c r="A801" i="3"/>
  <c r="C801" i="3"/>
  <c r="A802" i="3"/>
  <c r="C802" i="3"/>
  <c r="A803" i="3"/>
  <c r="C803" i="3"/>
  <c r="A804" i="3"/>
  <c r="C804" i="3"/>
  <c r="A805" i="3"/>
  <c r="C805" i="3"/>
  <c r="A806" i="3"/>
  <c r="C806" i="3"/>
  <c r="A807" i="3"/>
  <c r="C807" i="3"/>
  <c r="A808" i="3"/>
  <c r="C808" i="3"/>
  <c r="A809" i="3"/>
  <c r="C809" i="3"/>
  <c r="A810" i="3"/>
  <c r="C810" i="3"/>
  <c r="A811" i="3"/>
  <c r="C811" i="3"/>
  <c r="A812" i="3"/>
  <c r="C812" i="3"/>
  <c r="A813" i="3"/>
  <c r="C813" i="3"/>
  <c r="A814" i="3"/>
  <c r="C814" i="3"/>
  <c r="A815" i="3"/>
  <c r="C815" i="3"/>
  <c r="A816" i="3"/>
  <c r="C816" i="3"/>
  <c r="A817" i="3"/>
  <c r="C817" i="3"/>
  <c r="A818" i="3"/>
  <c r="C818" i="3"/>
  <c r="A819" i="3"/>
  <c r="C819" i="3"/>
  <c r="A820" i="3"/>
  <c r="C820" i="3"/>
  <c r="A821" i="3"/>
  <c r="C821" i="3"/>
  <c r="A822" i="3"/>
  <c r="C822" i="3"/>
  <c r="A823" i="3"/>
  <c r="C823" i="3"/>
  <c r="A824" i="3"/>
  <c r="C824" i="3"/>
  <c r="A825" i="3"/>
  <c r="C825" i="3"/>
  <c r="A826" i="3"/>
  <c r="C826" i="3"/>
  <c r="A827" i="3"/>
  <c r="C827" i="3"/>
  <c r="A828" i="3"/>
  <c r="C828" i="3"/>
  <c r="A829" i="3"/>
  <c r="C829" i="3"/>
  <c r="A830" i="3"/>
  <c r="C830" i="3"/>
  <c r="A831" i="3"/>
  <c r="C831" i="3"/>
  <c r="A832" i="3"/>
  <c r="C832" i="3"/>
  <c r="A833" i="3"/>
  <c r="C833" i="3"/>
  <c r="A834" i="3"/>
  <c r="C834" i="3"/>
  <c r="A835" i="3"/>
  <c r="C835" i="3"/>
  <c r="A836" i="3"/>
  <c r="C836" i="3"/>
  <c r="A837" i="3"/>
  <c r="C837" i="3"/>
  <c r="A838" i="3"/>
  <c r="C838" i="3"/>
  <c r="A839" i="3"/>
  <c r="C839" i="3"/>
  <c r="A840" i="3"/>
  <c r="C840" i="3"/>
  <c r="A841" i="3"/>
  <c r="C841" i="3"/>
  <c r="A842" i="3"/>
  <c r="C842" i="3"/>
  <c r="A843" i="3"/>
  <c r="C843" i="3"/>
  <c r="A844" i="3"/>
  <c r="C844" i="3"/>
  <c r="A845" i="3"/>
  <c r="C845" i="3"/>
  <c r="A846" i="3"/>
  <c r="C846" i="3"/>
  <c r="A847" i="3"/>
  <c r="C847" i="3"/>
  <c r="A848" i="3"/>
  <c r="C848" i="3"/>
  <c r="A849" i="3"/>
  <c r="C849" i="3"/>
  <c r="A850" i="3"/>
  <c r="C850" i="3"/>
  <c r="A851" i="3"/>
  <c r="C851" i="3"/>
  <c r="A852" i="3"/>
  <c r="C852" i="3"/>
  <c r="A853" i="3"/>
  <c r="C853" i="3"/>
  <c r="A854" i="3"/>
  <c r="C854" i="3"/>
  <c r="A855" i="3"/>
  <c r="C855" i="3"/>
  <c r="A856" i="3"/>
  <c r="C856" i="3"/>
  <c r="A857" i="3"/>
  <c r="C857" i="3"/>
  <c r="A858" i="3"/>
  <c r="C858" i="3"/>
  <c r="A859" i="3"/>
  <c r="C859" i="3"/>
  <c r="A860" i="3"/>
  <c r="C860" i="3"/>
  <c r="A861" i="3"/>
  <c r="C861" i="3"/>
  <c r="A862" i="3"/>
  <c r="C862" i="3"/>
  <c r="A863" i="3"/>
  <c r="C863" i="3"/>
  <c r="A864" i="3"/>
  <c r="C864" i="3"/>
  <c r="A865" i="3"/>
  <c r="C865" i="3"/>
  <c r="A866" i="3"/>
  <c r="C866" i="3"/>
  <c r="A867" i="3"/>
  <c r="C867" i="3"/>
  <c r="A868" i="3"/>
  <c r="C868" i="3"/>
  <c r="A869" i="3"/>
  <c r="C869" i="3"/>
  <c r="A870" i="3"/>
  <c r="C870" i="3"/>
  <c r="A871" i="3"/>
  <c r="C871" i="3"/>
  <c r="A872" i="3"/>
  <c r="C872" i="3"/>
  <c r="A873" i="3"/>
  <c r="C873" i="3"/>
  <c r="A874" i="3"/>
  <c r="C874" i="3"/>
  <c r="A875" i="3"/>
  <c r="C875" i="3"/>
  <c r="A876" i="3"/>
  <c r="C876" i="3"/>
  <c r="A877" i="3"/>
  <c r="C877" i="3"/>
  <c r="A878" i="3"/>
  <c r="C878" i="3"/>
  <c r="A879" i="3"/>
  <c r="C879" i="3"/>
  <c r="A880" i="3"/>
  <c r="C880" i="3"/>
  <c r="A881" i="3"/>
  <c r="C881" i="3"/>
  <c r="A882" i="3"/>
  <c r="C882" i="3"/>
  <c r="A883" i="3"/>
  <c r="C883" i="3"/>
  <c r="A884" i="3"/>
  <c r="C884" i="3"/>
  <c r="A885" i="3"/>
  <c r="C885" i="3"/>
  <c r="A886" i="3"/>
  <c r="C886" i="3"/>
  <c r="A887" i="3"/>
  <c r="C887" i="3"/>
  <c r="A888" i="3"/>
  <c r="C888" i="3"/>
  <c r="A889" i="3"/>
  <c r="C889" i="3"/>
  <c r="A890" i="3"/>
  <c r="C890" i="3"/>
  <c r="A891" i="3"/>
  <c r="C891" i="3"/>
  <c r="A892" i="3"/>
  <c r="C892" i="3"/>
  <c r="A893" i="3"/>
  <c r="C893" i="3"/>
  <c r="A894" i="3"/>
  <c r="C894" i="3"/>
  <c r="A895" i="3"/>
  <c r="C895" i="3"/>
  <c r="A896" i="3"/>
  <c r="C896" i="3"/>
  <c r="A897" i="3"/>
  <c r="C897" i="3"/>
  <c r="A898" i="3"/>
  <c r="C898" i="3"/>
  <c r="A899" i="3"/>
  <c r="C899" i="3"/>
  <c r="A900" i="3"/>
  <c r="C900" i="3"/>
  <c r="A901" i="3"/>
  <c r="C901" i="3"/>
  <c r="A902" i="3"/>
  <c r="C902" i="3"/>
  <c r="A903" i="3"/>
  <c r="C903" i="3"/>
  <c r="A904" i="3"/>
  <c r="C904" i="3"/>
  <c r="A905" i="3"/>
  <c r="C905" i="3"/>
  <c r="A906" i="3"/>
  <c r="C906" i="3"/>
  <c r="A907" i="3"/>
  <c r="C907" i="3"/>
  <c r="A908" i="3"/>
  <c r="C908" i="3"/>
  <c r="A909" i="3"/>
  <c r="C909" i="3"/>
  <c r="A910" i="3"/>
  <c r="C910" i="3"/>
  <c r="A911" i="3"/>
  <c r="C911" i="3"/>
  <c r="A912" i="3"/>
  <c r="C912" i="3"/>
  <c r="A913" i="3"/>
  <c r="C913" i="3"/>
  <c r="A914" i="3"/>
  <c r="C914" i="3"/>
  <c r="A915" i="3"/>
  <c r="C915" i="3"/>
  <c r="A916" i="3"/>
  <c r="C916" i="3"/>
  <c r="A917" i="3"/>
  <c r="C917" i="3"/>
  <c r="A918" i="3"/>
  <c r="C918" i="3"/>
  <c r="A919" i="3"/>
  <c r="C919" i="3"/>
  <c r="A920" i="3"/>
  <c r="C920" i="3"/>
  <c r="A921" i="3"/>
  <c r="C921" i="3"/>
  <c r="A922" i="3"/>
  <c r="C922" i="3"/>
  <c r="A923" i="3"/>
  <c r="C923" i="3"/>
  <c r="A924" i="3"/>
  <c r="C924" i="3"/>
  <c r="A925" i="3"/>
  <c r="C925" i="3"/>
  <c r="A926" i="3"/>
  <c r="C926" i="3"/>
  <c r="A927" i="3"/>
  <c r="C927" i="3"/>
  <c r="A928" i="3"/>
  <c r="C928" i="3"/>
  <c r="A929" i="3"/>
  <c r="C929" i="3"/>
  <c r="A930" i="3"/>
  <c r="C930" i="3"/>
  <c r="A931" i="3"/>
  <c r="C931" i="3"/>
  <c r="A932" i="3"/>
  <c r="C932" i="3"/>
  <c r="A933" i="3"/>
  <c r="C933" i="3"/>
  <c r="A934" i="3"/>
  <c r="C934" i="3"/>
  <c r="A935" i="3"/>
  <c r="C935" i="3"/>
  <c r="A936" i="3"/>
  <c r="C936" i="3"/>
  <c r="A937" i="3"/>
  <c r="C937" i="3"/>
  <c r="A938" i="3"/>
  <c r="C938" i="3"/>
  <c r="A939" i="3"/>
  <c r="C939" i="3"/>
  <c r="A940" i="3"/>
  <c r="C940" i="3"/>
  <c r="A941" i="3"/>
  <c r="C941" i="3"/>
  <c r="A942" i="3"/>
  <c r="C942" i="3"/>
  <c r="A943" i="3"/>
  <c r="C943" i="3"/>
  <c r="A944" i="3"/>
  <c r="C944" i="3"/>
  <c r="A945" i="3"/>
  <c r="C945" i="3"/>
  <c r="A946" i="3"/>
  <c r="C946" i="3"/>
  <c r="A947" i="3"/>
  <c r="C947" i="3"/>
  <c r="A948" i="3"/>
  <c r="C948" i="3"/>
  <c r="A949" i="3"/>
  <c r="C949" i="3"/>
  <c r="A950" i="3"/>
  <c r="C950" i="3"/>
  <c r="A951" i="3"/>
  <c r="C951" i="3"/>
  <c r="A952" i="3"/>
  <c r="C952" i="3"/>
  <c r="A953" i="3"/>
  <c r="C953" i="3"/>
  <c r="A954" i="3"/>
  <c r="C954" i="3"/>
  <c r="A955" i="3"/>
  <c r="C955" i="3"/>
  <c r="A956" i="3"/>
  <c r="C956" i="3"/>
  <c r="A957" i="3"/>
  <c r="C957" i="3"/>
  <c r="A958" i="3"/>
  <c r="C958" i="3"/>
  <c r="A959" i="3"/>
  <c r="C959" i="3"/>
  <c r="A960" i="3"/>
  <c r="C960" i="3"/>
  <c r="A961" i="3"/>
  <c r="C961" i="3"/>
  <c r="A962" i="3"/>
  <c r="C962" i="3"/>
  <c r="A963" i="3"/>
  <c r="C963" i="3"/>
  <c r="A964" i="3"/>
  <c r="C964" i="3"/>
  <c r="A965" i="3"/>
  <c r="C965" i="3"/>
  <c r="A966" i="3"/>
  <c r="C966" i="3"/>
  <c r="A967" i="3"/>
  <c r="C967" i="3"/>
  <c r="A968" i="3"/>
  <c r="C968" i="3"/>
  <c r="A969" i="3"/>
  <c r="C969" i="3"/>
  <c r="A970" i="3"/>
  <c r="C970" i="3"/>
  <c r="A971" i="3"/>
  <c r="C971" i="3"/>
  <c r="A972" i="3"/>
  <c r="C972" i="3"/>
  <c r="A973" i="3"/>
  <c r="C973" i="3"/>
  <c r="A974" i="3"/>
  <c r="C974" i="3"/>
  <c r="A975" i="3"/>
  <c r="C975" i="3"/>
  <c r="A976" i="3"/>
  <c r="C976" i="3"/>
  <c r="A977" i="3"/>
  <c r="C977" i="3"/>
  <c r="A978" i="3"/>
  <c r="C978" i="3"/>
  <c r="A979" i="3"/>
  <c r="C979" i="3"/>
  <c r="A980" i="3"/>
  <c r="C980" i="3"/>
  <c r="A981" i="3"/>
  <c r="C981" i="3"/>
  <c r="A982" i="3"/>
  <c r="C982" i="3"/>
  <c r="A983" i="3"/>
  <c r="C983" i="3"/>
  <c r="A984" i="3"/>
  <c r="C984" i="3"/>
  <c r="A985" i="3"/>
  <c r="C985" i="3"/>
  <c r="A986" i="3"/>
  <c r="C986" i="3"/>
  <c r="A987" i="3"/>
  <c r="C987" i="3"/>
  <c r="A988" i="3"/>
  <c r="C988" i="3"/>
  <c r="A989" i="3"/>
  <c r="C989" i="3"/>
  <c r="A990" i="3"/>
  <c r="C990" i="3"/>
  <c r="A991" i="3"/>
  <c r="C991" i="3"/>
  <c r="A992" i="3"/>
  <c r="C992" i="3"/>
  <c r="A993" i="3"/>
  <c r="C993" i="3"/>
  <c r="A994" i="3"/>
  <c r="C994" i="3"/>
  <c r="A995" i="3"/>
  <c r="C995" i="3"/>
  <c r="A996" i="3"/>
  <c r="C996" i="3"/>
  <c r="A997" i="3"/>
  <c r="C997" i="3"/>
  <c r="A998" i="3"/>
  <c r="C998" i="3"/>
  <c r="A999" i="3"/>
  <c r="C999" i="3"/>
  <c r="A1000" i="3"/>
  <c r="C1000" i="3"/>
  <c r="A1001" i="3"/>
  <c r="C1001" i="3"/>
  <c r="A1002" i="3"/>
  <c r="C1002" i="3"/>
  <c r="A1003" i="3"/>
  <c r="C1003" i="3"/>
  <c r="A1004" i="3"/>
  <c r="C1004" i="3"/>
  <c r="A1005" i="3"/>
  <c r="C1005" i="3"/>
  <c r="A1006" i="3"/>
  <c r="C1006" i="3"/>
  <c r="A1007" i="3"/>
  <c r="C1007" i="3"/>
  <c r="A1008" i="3"/>
  <c r="C1008" i="3"/>
  <c r="A1009" i="3"/>
  <c r="C1009" i="3"/>
  <c r="A1010" i="3"/>
  <c r="C1010" i="3"/>
  <c r="A1011" i="3"/>
  <c r="C1011" i="3"/>
  <c r="A1012" i="3"/>
  <c r="C1012" i="3"/>
  <c r="A1013" i="3"/>
  <c r="C1013" i="3"/>
  <c r="A1014" i="3"/>
  <c r="C1014" i="3"/>
  <c r="A1015" i="3"/>
  <c r="C1015" i="3"/>
  <c r="A1016" i="3"/>
  <c r="C1016" i="3"/>
  <c r="A1017" i="3"/>
  <c r="C1017" i="3"/>
  <c r="A1018" i="3"/>
  <c r="C1018" i="3"/>
  <c r="A1019" i="3"/>
  <c r="C1019" i="3"/>
  <c r="A1020" i="3"/>
  <c r="C1020" i="3"/>
  <c r="A1021" i="3"/>
  <c r="C1021" i="3"/>
  <c r="A1022" i="3"/>
  <c r="C1022" i="3"/>
  <c r="A1023" i="3"/>
  <c r="C1023" i="3"/>
  <c r="A1024" i="3"/>
  <c r="C1024" i="3"/>
  <c r="A1025" i="3"/>
  <c r="C1025" i="3"/>
  <c r="A1026" i="3"/>
  <c r="C1026" i="3"/>
  <c r="A1027" i="3"/>
  <c r="C1027" i="3"/>
  <c r="A1028" i="3"/>
  <c r="C1028" i="3"/>
  <c r="A1029" i="3"/>
  <c r="C1029" i="3"/>
  <c r="A1030" i="3"/>
  <c r="C1030" i="3"/>
  <c r="A1031" i="3"/>
  <c r="C1031" i="3"/>
  <c r="A1032" i="3"/>
  <c r="C1032" i="3"/>
  <c r="A1033" i="3"/>
  <c r="C1033" i="3"/>
  <c r="A1034" i="3"/>
  <c r="C1034" i="3"/>
  <c r="A1035" i="3"/>
  <c r="C1035" i="3"/>
  <c r="A1036" i="3"/>
  <c r="C1036" i="3"/>
  <c r="A1037" i="3"/>
  <c r="C1037" i="3"/>
  <c r="A1038" i="3"/>
  <c r="C1038" i="3"/>
  <c r="A1039" i="3"/>
  <c r="C1039" i="3"/>
  <c r="A1040" i="3"/>
  <c r="C1040" i="3"/>
  <c r="A1041" i="3"/>
  <c r="C1041" i="3"/>
  <c r="A1042" i="3"/>
  <c r="C1042" i="3"/>
  <c r="A1043" i="3"/>
  <c r="C1043" i="3"/>
  <c r="A1044" i="3"/>
  <c r="C1044" i="3"/>
  <c r="A1045" i="3"/>
  <c r="C1045" i="3"/>
  <c r="A1046" i="3"/>
  <c r="C1046" i="3"/>
  <c r="A1047" i="3"/>
  <c r="C1047" i="3"/>
  <c r="A1048" i="3"/>
  <c r="C1048" i="3"/>
  <c r="A1049" i="3"/>
  <c r="C1049" i="3"/>
  <c r="A1050" i="3"/>
  <c r="C1050" i="3"/>
  <c r="A1051" i="3"/>
  <c r="C1051" i="3"/>
  <c r="A1052" i="3"/>
  <c r="C1052" i="3"/>
  <c r="A1053" i="3"/>
  <c r="C1053" i="3"/>
  <c r="A1054" i="3"/>
  <c r="C1054" i="3"/>
  <c r="A1055" i="3"/>
  <c r="C1055" i="3"/>
  <c r="A1056" i="3"/>
  <c r="C1056" i="3"/>
  <c r="A1057" i="3"/>
  <c r="C1057" i="3"/>
  <c r="A1058" i="3"/>
  <c r="C1058" i="3"/>
  <c r="A1059" i="3"/>
  <c r="C1059" i="3"/>
  <c r="A1060" i="3"/>
  <c r="C1060" i="3"/>
  <c r="A1061" i="3"/>
  <c r="C1061" i="3"/>
  <c r="A1062" i="3"/>
  <c r="C1062" i="3"/>
  <c r="A1063" i="3"/>
  <c r="C1063" i="3"/>
  <c r="A1064" i="3"/>
  <c r="C1064" i="3"/>
  <c r="A1065" i="3"/>
  <c r="C1065" i="3"/>
  <c r="A1066" i="3"/>
  <c r="C1066" i="3"/>
  <c r="A1067" i="3"/>
  <c r="C1067" i="3"/>
  <c r="A1068" i="3"/>
  <c r="C1068" i="3"/>
  <c r="A1069" i="3"/>
  <c r="C1069" i="3"/>
  <c r="A1070" i="3"/>
  <c r="C1070" i="3"/>
  <c r="A1071" i="3"/>
  <c r="C1071" i="3"/>
  <c r="A1072" i="3"/>
  <c r="C1072" i="3"/>
  <c r="A1073" i="3"/>
  <c r="C1073" i="3"/>
  <c r="A1074" i="3"/>
  <c r="C1074" i="3"/>
  <c r="A1075" i="3"/>
  <c r="C1075" i="3"/>
  <c r="A1076" i="3"/>
  <c r="C1076" i="3"/>
  <c r="A1077" i="3"/>
  <c r="C1077" i="3"/>
  <c r="A1078" i="3"/>
  <c r="C1078" i="3"/>
  <c r="A1079" i="3"/>
  <c r="C1079" i="3"/>
  <c r="A1080" i="3"/>
  <c r="C1080" i="3"/>
  <c r="A1081" i="3"/>
  <c r="C1081" i="3"/>
  <c r="A1082" i="3"/>
  <c r="C1082" i="3"/>
  <c r="A1083" i="3"/>
  <c r="C1083" i="3"/>
  <c r="A1084" i="3"/>
  <c r="C1084" i="3"/>
  <c r="A1085" i="3"/>
  <c r="C1085" i="3"/>
  <c r="A1086" i="3"/>
  <c r="C1086" i="3"/>
  <c r="A1087" i="3"/>
  <c r="C1087" i="3"/>
  <c r="A1088" i="3"/>
  <c r="C1088" i="3"/>
  <c r="A1089" i="3"/>
  <c r="C1089" i="3"/>
  <c r="A1090" i="3"/>
  <c r="C1090" i="3"/>
  <c r="A1091" i="3"/>
  <c r="C1091" i="3"/>
  <c r="A1092" i="3"/>
  <c r="C1092" i="3"/>
  <c r="A1093" i="3"/>
  <c r="C1093" i="3"/>
  <c r="A1094" i="3"/>
  <c r="C1094" i="3"/>
  <c r="A1095" i="3"/>
  <c r="C1095" i="3"/>
  <c r="A1096" i="3"/>
  <c r="C1096" i="3"/>
  <c r="A1" i="6" l="1"/>
  <c r="C2" i="3" l="1"/>
  <c r="A2" i="3"/>
  <c r="J382" i="1" l="1"/>
  <c r="I382" i="1"/>
  <c r="H382" i="1"/>
  <c r="J350" i="1"/>
  <c r="I350" i="1"/>
  <c r="H350" i="1"/>
  <c r="J319" i="1"/>
  <c r="I319" i="1"/>
  <c r="H319" i="1"/>
  <c r="J287" i="1"/>
  <c r="I287" i="1"/>
  <c r="H287" i="1"/>
  <c r="J256" i="1"/>
  <c r="I256" i="1"/>
  <c r="H256" i="1"/>
  <c r="J224" i="1"/>
  <c r="I224" i="1"/>
  <c r="H224" i="1"/>
  <c r="J192" i="1"/>
  <c r="I192" i="1"/>
  <c r="H192" i="1"/>
  <c r="J161" i="1"/>
  <c r="I161" i="1"/>
  <c r="H161" i="1"/>
  <c r="J129" i="1"/>
  <c r="I129" i="1"/>
  <c r="H129" i="1"/>
  <c r="J98" i="1"/>
  <c r="I98" i="1"/>
  <c r="H98" i="1"/>
  <c r="J66" i="1"/>
  <c r="I66" i="1"/>
  <c r="J36" i="1"/>
  <c r="I36" i="1"/>
  <c r="H36" i="1"/>
  <c r="A1" i="5" l="1"/>
  <c r="G350" i="1" l="1"/>
  <c r="F350" i="1"/>
  <c r="E350" i="1"/>
  <c r="D350" i="1"/>
  <c r="C350" i="1"/>
  <c r="B350" i="1"/>
  <c r="G287" i="1"/>
  <c r="F287" i="1"/>
  <c r="E287" i="1"/>
  <c r="D287" i="1"/>
  <c r="C287" i="1"/>
  <c r="B287" i="1"/>
  <c r="G192" i="1"/>
  <c r="F192" i="1"/>
  <c r="E192" i="1"/>
  <c r="D192" i="1"/>
  <c r="C192" i="1"/>
  <c r="B192" i="1"/>
  <c r="G129" i="1"/>
  <c r="F129" i="1"/>
  <c r="E129" i="1"/>
  <c r="D129" i="1"/>
  <c r="C129" i="1"/>
  <c r="B129" i="1"/>
  <c r="G98" i="1"/>
  <c r="F98" i="1"/>
  <c r="E98" i="1"/>
  <c r="D98" i="1"/>
  <c r="C98" i="1"/>
  <c r="B98" i="1"/>
  <c r="G66" i="1"/>
  <c r="F66" i="1"/>
  <c r="E66" i="1"/>
  <c r="D66" i="1"/>
  <c r="C66" i="1"/>
  <c r="G382" i="1"/>
  <c r="F382" i="1"/>
  <c r="E382" i="1"/>
  <c r="D382" i="1"/>
  <c r="C382" i="1"/>
  <c r="B382" i="1"/>
  <c r="G319" i="1"/>
  <c r="F319" i="1"/>
  <c r="E319" i="1"/>
  <c r="D319" i="1"/>
  <c r="C319" i="1"/>
  <c r="B319" i="1"/>
  <c r="G256" i="1"/>
  <c r="F256" i="1"/>
  <c r="E256" i="1"/>
  <c r="D256" i="1"/>
  <c r="C256" i="1"/>
  <c r="B256" i="1"/>
  <c r="G224" i="1"/>
  <c r="F224" i="1"/>
  <c r="E224" i="1"/>
  <c r="D224" i="1"/>
  <c r="C224" i="1"/>
  <c r="B224" i="1"/>
  <c r="G161" i="1"/>
  <c r="F161" i="1"/>
  <c r="E161" i="1"/>
  <c r="D161" i="1"/>
  <c r="C161" i="1"/>
  <c r="B161" i="1"/>
  <c r="C36" i="1"/>
  <c r="D36" i="1"/>
  <c r="E36" i="1"/>
  <c r="F36" i="1"/>
  <c r="G36" i="1"/>
  <c r="B36" i="1"/>
  <c r="A5" i="1"/>
  <c r="B1097" i="3" l="1"/>
  <c r="B1099" i="3"/>
  <c r="B1098" i="3"/>
  <c r="B1097" i="2"/>
  <c r="B1098" i="2"/>
  <c r="B1099" i="2"/>
  <c r="A1098" i="2"/>
  <c r="A1099" i="2"/>
  <c r="A1097" i="2"/>
  <c r="B4" i="3"/>
  <c r="B8" i="3"/>
  <c r="B12" i="3"/>
  <c r="B16" i="3"/>
  <c r="B20" i="3"/>
  <c r="B24" i="3"/>
  <c r="B28" i="3"/>
  <c r="B32" i="3"/>
  <c r="B36" i="3"/>
  <c r="B40" i="3"/>
  <c r="B44" i="3"/>
  <c r="B48" i="3"/>
  <c r="B52" i="3"/>
  <c r="B56" i="3"/>
  <c r="B3" i="3"/>
  <c r="B7" i="3"/>
  <c r="B11" i="3"/>
  <c r="B15" i="3"/>
  <c r="B19" i="3"/>
  <c r="B23" i="3"/>
  <c r="B27" i="3"/>
  <c r="B31" i="3"/>
  <c r="B35" i="3"/>
  <c r="B39" i="3"/>
  <c r="B43" i="3"/>
  <c r="B47" i="3"/>
  <c r="B51" i="3"/>
  <c r="B55" i="3"/>
  <c r="B59" i="3"/>
  <c r="B63" i="3"/>
  <c r="B67" i="3"/>
  <c r="B6" i="3"/>
  <c r="B10" i="3"/>
  <c r="B14" i="3"/>
  <c r="B18" i="3"/>
  <c r="B22" i="3"/>
  <c r="B26" i="3"/>
  <c r="B30" i="3"/>
  <c r="B34" i="3"/>
  <c r="B38" i="3"/>
  <c r="B42" i="3"/>
  <c r="B46" i="3"/>
  <c r="B50" i="3"/>
  <c r="B5" i="3"/>
  <c r="B9" i="3"/>
  <c r="B13" i="3"/>
  <c r="B17" i="3"/>
  <c r="B21" i="3"/>
  <c r="B25" i="3"/>
  <c r="B29" i="3"/>
  <c r="B33" i="3"/>
  <c r="B37" i="3"/>
  <c r="B41" i="3"/>
  <c r="B45" i="3"/>
  <c r="B49" i="3"/>
  <c r="B53" i="3"/>
  <c r="B57" i="3"/>
  <c r="B61" i="3"/>
  <c r="B65" i="3"/>
  <c r="B69" i="3"/>
  <c r="B58" i="3"/>
  <c r="B66" i="3"/>
  <c r="B71" i="3"/>
  <c r="B75" i="3"/>
  <c r="B79" i="3"/>
  <c r="B83" i="3"/>
  <c r="B87" i="3"/>
  <c r="B91" i="3"/>
  <c r="B95" i="3"/>
  <c r="B99" i="3"/>
  <c r="B103" i="3"/>
  <c r="B60" i="3"/>
  <c r="B68" i="3"/>
  <c r="B74" i="3"/>
  <c r="B78" i="3"/>
  <c r="B82" i="3"/>
  <c r="B86" i="3"/>
  <c r="B90" i="3"/>
  <c r="B94" i="3"/>
  <c r="B98" i="3"/>
  <c r="B102" i="3"/>
  <c r="B106" i="3"/>
  <c r="B110" i="3"/>
  <c r="B114" i="3"/>
  <c r="B118" i="3"/>
  <c r="B122" i="3"/>
  <c r="B126" i="3"/>
  <c r="B130" i="3"/>
  <c r="B54" i="3"/>
  <c r="B62" i="3"/>
  <c r="B70" i="3"/>
  <c r="B73" i="3"/>
  <c r="B77" i="3"/>
  <c r="B81" i="3"/>
  <c r="B85" i="3"/>
  <c r="B89" i="3"/>
  <c r="B93" i="3"/>
  <c r="B97" i="3"/>
  <c r="B101" i="3"/>
  <c r="B64" i="3"/>
  <c r="B72" i="3"/>
  <c r="B76" i="3"/>
  <c r="B80" i="3"/>
  <c r="B84" i="3"/>
  <c r="B88" i="3"/>
  <c r="B92" i="3"/>
  <c r="B96" i="3"/>
  <c r="B100" i="3"/>
  <c r="B104" i="3"/>
  <c r="B108" i="3"/>
  <c r="B112" i="3"/>
  <c r="B116" i="3"/>
  <c r="B120" i="3"/>
  <c r="B124" i="3"/>
  <c r="B128" i="3"/>
  <c r="B105" i="3"/>
  <c r="B113" i="3"/>
  <c r="B121" i="3"/>
  <c r="B129" i="3"/>
  <c r="B134" i="3"/>
  <c r="B138" i="3"/>
  <c r="B142" i="3"/>
  <c r="B146" i="3"/>
  <c r="B150" i="3"/>
  <c r="B154" i="3"/>
  <c r="B158" i="3"/>
  <c r="B162" i="3"/>
  <c r="B166" i="3"/>
  <c r="B170" i="3"/>
  <c r="B174" i="3"/>
  <c r="B178" i="3"/>
  <c r="B182" i="3"/>
  <c r="B107" i="3"/>
  <c r="B115" i="3"/>
  <c r="B123" i="3"/>
  <c r="B131" i="3"/>
  <c r="B133" i="3"/>
  <c r="B137" i="3"/>
  <c r="B141" i="3"/>
  <c r="B145" i="3"/>
  <c r="B149" i="3"/>
  <c r="B153" i="3"/>
  <c r="B157" i="3"/>
  <c r="B161" i="3"/>
  <c r="B165" i="3"/>
  <c r="B169" i="3"/>
  <c r="B173" i="3"/>
  <c r="B177" i="3"/>
  <c r="B181" i="3"/>
  <c r="B185" i="3"/>
  <c r="B189" i="3"/>
  <c r="B109" i="3"/>
  <c r="B117" i="3"/>
  <c r="B125" i="3"/>
  <c r="B132" i="3"/>
  <c r="B136" i="3"/>
  <c r="B140" i="3"/>
  <c r="B144" i="3"/>
  <c r="B148" i="3"/>
  <c r="B152" i="3"/>
  <c r="B156" i="3"/>
  <c r="B160" i="3"/>
  <c r="B164" i="3"/>
  <c r="B168" i="3"/>
  <c r="B172" i="3"/>
  <c r="B176" i="3"/>
  <c r="B180" i="3"/>
  <c r="B184" i="3"/>
  <c r="B111" i="3"/>
  <c r="B119" i="3"/>
  <c r="B127" i="3"/>
  <c r="B135" i="3"/>
  <c r="B139" i="3"/>
  <c r="B143" i="3"/>
  <c r="B147" i="3"/>
  <c r="B151" i="3"/>
  <c r="B155" i="3"/>
  <c r="B159" i="3"/>
  <c r="B163" i="3"/>
  <c r="B167" i="3"/>
  <c r="B171" i="3"/>
  <c r="B175" i="3"/>
  <c r="B179" i="3"/>
  <c r="B183" i="3"/>
  <c r="B187" i="3"/>
  <c r="B191" i="3"/>
  <c r="B196" i="3"/>
  <c r="B200" i="3"/>
  <c r="B204" i="3"/>
  <c r="B208" i="3"/>
  <c r="B212" i="3"/>
  <c r="B216" i="3"/>
  <c r="B220" i="3"/>
  <c r="B224" i="3"/>
  <c r="B228" i="3"/>
  <c r="B232" i="3"/>
  <c r="B236" i="3"/>
  <c r="B240" i="3"/>
  <c r="B244" i="3"/>
  <c r="B248" i="3"/>
  <c r="B252" i="3"/>
  <c r="B256" i="3"/>
  <c r="B186" i="3"/>
  <c r="B192" i="3"/>
  <c r="B195" i="3"/>
  <c r="B199" i="3"/>
  <c r="B203" i="3"/>
  <c r="B207" i="3"/>
  <c r="B211" i="3"/>
  <c r="B215" i="3"/>
  <c r="B219" i="3"/>
  <c r="B223" i="3"/>
  <c r="B227" i="3"/>
  <c r="B231" i="3"/>
  <c r="B235" i="3"/>
  <c r="B239" i="3"/>
  <c r="B243" i="3"/>
  <c r="B247" i="3"/>
  <c r="B251" i="3"/>
  <c r="B255" i="3"/>
  <c r="B259" i="3"/>
  <c r="B263" i="3"/>
  <c r="B267" i="3"/>
  <c r="B271" i="3"/>
  <c r="B275" i="3"/>
  <c r="B279" i="3"/>
  <c r="B283" i="3"/>
  <c r="B287" i="3"/>
  <c r="B291" i="3"/>
  <c r="B188" i="3"/>
  <c r="B194" i="3"/>
  <c r="B198" i="3"/>
  <c r="B202" i="3"/>
  <c r="B206" i="3"/>
  <c r="B210" i="3"/>
  <c r="B214" i="3"/>
  <c r="B218" i="3"/>
  <c r="B222" i="3"/>
  <c r="B226" i="3"/>
  <c r="B230" i="3"/>
  <c r="B234" i="3"/>
  <c r="B238" i="3"/>
  <c r="B242" i="3"/>
  <c r="B246" i="3"/>
  <c r="B250" i="3"/>
  <c r="B254" i="3"/>
  <c r="B258" i="3"/>
  <c r="B190" i="3"/>
  <c r="B193" i="3"/>
  <c r="B197" i="3"/>
  <c r="B201" i="3"/>
  <c r="B205" i="3"/>
  <c r="B209" i="3"/>
  <c r="B213" i="3"/>
  <c r="B217" i="3"/>
  <c r="B221" i="3"/>
  <c r="B225" i="3"/>
  <c r="B229" i="3"/>
  <c r="B233" i="3"/>
  <c r="B237" i="3"/>
  <c r="B241" i="3"/>
  <c r="B245" i="3"/>
  <c r="B249" i="3"/>
  <c r="B253" i="3"/>
  <c r="B257" i="3"/>
  <c r="B261" i="3"/>
  <c r="B265" i="3"/>
  <c r="B269" i="3"/>
  <c r="B273" i="3"/>
  <c r="B277" i="3"/>
  <c r="B281" i="3"/>
  <c r="B285" i="3"/>
  <c r="B289" i="3"/>
  <c r="B260" i="3"/>
  <c r="B268" i="3"/>
  <c r="B276" i="3"/>
  <c r="B284" i="3"/>
  <c r="B292" i="3"/>
  <c r="B295" i="3"/>
  <c r="B299" i="3"/>
  <c r="B303" i="3"/>
  <c r="B307" i="3"/>
  <c r="B311" i="3"/>
  <c r="B315" i="3"/>
  <c r="B319" i="3"/>
  <c r="B323" i="3"/>
  <c r="B327" i="3"/>
  <c r="B331" i="3"/>
  <c r="B335" i="3"/>
  <c r="B339" i="3"/>
  <c r="B343" i="3"/>
  <c r="B347" i="3"/>
  <c r="B351" i="3"/>
  <c r="B355" i="3"/>
  <c r="B359" i="3"/>
  <c r="B363" i="3"/>
  <c r="B367" i="3"/>
  <c r="B371" i="3"/>
  <c r="B375" i="3"/>
  <c r="B379" i="3"/>
  <c r="B383" i="3"/>
  <c r="B387" i="3"/>
  <c r="B391" i="3"/>
  <c r="B395" i="3"/>
  <c r="B399" i="3"/>
  <c r="B262" i="3"/>
  <c r="B270" i="3"/>
  <c r="B278" i="3"/>
  <c r="B286" i="3"/>
  <c r="B294" i="3"/>
  <c r="B298" i="3"/>
  <c r="B302" i="3"/>
  <c r="B306" i="3"/>
  <c r="B310" i="3"/>
  <c r="B314" i="3"/>
  <c r="B318" i="3"/>
  <c r="B322" i="3"/>
  <c r="B326" i="3"/>
  <c r="B330" i="3"/>
  <c r="B334" i="3"/>
  <c r="B338" i="3"/>
  <c r="B342" i="3"/>
  <c r="B346" i="3"/>
  <c r="B350" i="3"/>
  <c r="B354" i="3"/>
  <c r="B358" i="3"/>
  <c r="B362" i="3"/>
  <c r="B366" i="3"/>
  <c r="B370" i="3"/>
  <c r="B374" i="3"/>
  <c r="B378" i="3"/>
  <c r="B382" i="3"/>
  <c r="B386" i="3"/>
  <c r="B390" i="3"/>
  <c r="B394" i="3"/>
  <c r="B398" i="3"/>
  <c r="B402" i="3"/>
  <c r="B406" i="3"/>
  <c r="B410" i="3"/>
  <c r="B264" i="3"/>
  <c r="B272" i="3"/>
  <c r="B280" i="3"/>
  <c r="B288" i="3"/>
  <c r="B293" i="3"/>
  <c r="B297" i="3"/>
  <c r="B301" i="3"/>
  <c r="B305" i="3"/>
  <c r="B309" i="3"/>
  <c r="B313" i="3"/>
  <c r="B317" i="3"/>
  <c r="B321" i="3"/>
  <c r="B325" i="3"/>
  <c r="B329" i="3"/>
  <c r="B333" i="3"/>
  <c r="B337" i="3"/>
  <c r="B341" i="3"/>
  <c r="B345" i="3"/>
  <c r="B349" i="3"/>
  <c r="B353" i="3"/>
  <c r="B357" i="3"/>
  <c r="B361" i="3"/>
  <c r="B365" i="3"/>
  <c r="B369" i="3"/>
  <c r="B373" i="3"/>
  <c r="B377" i="3"/>
  <c r="B381" i="3"/>
  <c r="B385" i="3"/>
  <c r="B389" i="3"/>
  <c r="B393" i="3"/>
  <c r="B397" i="3"/>
  <c r="B266" i="3"/>
  <c r="B274" i="3"/>
  <c r="B282" i="3"/>
  <c r="B290" i="3"/>
  <c r="B296" i="3"/>
  <c r="B300" i="3"/>
  <c r="B304" i="3"/>
  <c r="B308" i="3"/>
  <c r="B312" i="3"/>
  <c r="B316" i="3"/>
  <c r="B320" i="3"/>
  <c r="B324" i="3"/>
  <c r="B328" i="3"/>
  <c r="B332" i="3"/>
  <c r="B336" i="3"/>
  <c r="B340" i="3"/>
  <c r="B344" i="3"/>
  <c r="B348" i="3"/>
  <c r="B352" i="3"/>
  <c r="B356" i="3"/>
  <c r="B360" i="3"/>
  <c r="B364" i="3"/>
  <c r="B368" i="3"/>
  <c r="B372" i="3"/>
  <c r="B376" i="3"/>
  <c r="B380" i="3"/>
  <c r="B384" i="3"/>
  <c r="B388" i="3"/>
  <c r="B392" i="3"/>
  <c r="B396" i="3"/>
  <c r="B400" i="3"/>
  <c r="B404" i="3"/>
  <c r="B408" i="3"/>
  <c r="B407" i="3"/>
  <c r="B411" i="3"/>
  <c r="B415" i="3"/>
  <c r="B419" i="3"/>
  <c r="B423" i="3"/>
  <c r="B427" i="3"/>
  <c r="B431" i="3"/>
  <c r="B435" i="3"/>
  <c r="B439" i="3"/>
  <c r="B443" i="3"/>
  <c r="B447" i="3"/>
  <c r="B451" i="3"/>
  <c r="B455" i="3"/>
  <c r="B459" i="3"/>
  <c r="B463" i="3"/>
  <c r="B467" i="3"/>
  <c r="B471" i="3"/>
  <c r="B475" i="3"/>
  <c r="B479" i="3"/>
  <c r="B483" i="3"/>
  <c r="B487" i="3"/>
  <c r="B491" i="3"/>
  <c r="B495" i="3"/>
  <c r="B499" i="3"/>
  <c r="B503" i="3"/>
  <c r="B507" i="3"/>
  <c r="B511" i="3"/>
  <c r="B515" i="3"/>
  <c r="B519" i="3"/>
  <c r="B523" i="3"/>
  <c r="B527" i="3"/>
  <c r="B531" i="3"/>
  <c r="B535" i="3"/>
  <c r="B539" i="3"/>
  <c r="B401" i="3"/>
  <c r="B409" i="3"/>
  <c r="B414" i="3"/>
  <c r="B418" i="3"/>
  <c r="B422" i="3"/>
  <c r="B426" i="3"/>
  <c r="B430" i="3"/>
  <c r="B434" i="3"/>
  <c r="B438" i="3"/>
  <c r="B442" i="3"/>
  <c r="B446" i="3"/>
  <c r="B450" i="3"/>
  <c r="B454" i="3"/>
  <c r="B458" i="3"/>
  <c r="B462" i="3"/>
  <c r="B466" i="3"/>
  <c r="B470" i="3"/>
  <c r="B474" i="3"/>
  <c r="B478" i="3"/>
  <c r="B482" i="3"/>
  <c r="B486" i="3"/>
  <c r="B490" i="3"/>
  <c r="B494" i="3"/>
  <c r="B498" i="3"/>
  <c r="B502" i="3"/>
  <c r="B506" i="3"/>
  <c r="B510" i="3"/>
  <c r="B403" i="3"/>
  <c r="B413" i="3"/>
  <c r="B417" i="3"/>
  <c r="B421" i="3"/>
  <c r="B425" i="3"/>
  <c r="B429" i="3"/>
  <c r="B433" i="3"/>
  <c r="B437" i="3"/>
  <c r="B441" i="3"/>
  <c r="B445" i="3"/>
  <c r="B449" i="3"/>
  <c r="B453" i="3"/>
  <c r="B457" i="3"/>
  <c r="B461" i="3"/>
  <c r="B465" i="3"/>
  <c r="B469" i="3"/>
  <c r="B473" i="3"/>
  <c r="B477" i="3"/>
  <c r="B481" i="3"/>
  <c r="B485" i="3"/>
  <c r="B489" i="3"/>
  <c r="B493" i="3"/>
  <c r="B497" i="3"/>
  <c r="B501" i="3"/>
  <c r="B505" i="3"/>
  <c r="B509" i="3"/>
  <c r="B513" i="3"/>
  <c r="B517" i="3"/>
  <c r="B521" i="3"/>
  <c r="B525" i="3"/>
  <c r="B529" i="3"/>
  <c r="B533" i="3"/>
  <c r="B537" i="3"/>
  <c r="B405" i="3"/>
  <c r="B412" i="3"/>
  <c r="B416" i="3"/>
  <c r="B420" i="3"/>
  <c r="B424" i="3"/>
  <c r="B428" i="3"/>
  <c r="B432" i="3"/>
  <c r="B436" i="3"/>
  <c r="B440" i="3"/>
  <c r="B444" i="3"/>
  <c r="B448" i="3"/>
  <c r="B452" i="3"/>
  <c r="B456" i="3"/>
  <c r="B460" i="3"/>
  <c r="B464" i="3"/>
  <c r="B468" i="3"/>
  <c r="B472" i="3"/>
  <c r="B476" i="3"/>
  <c r="B480" i="3"/>
  <c r="B484" i="3"/>
  <c r="B488" i="3"/>
  <c r="B492" i="3"/>
  <c r="B496" i="3"/>
  <c r="B500" i="3"/>
  <c r="B504" i="3"/>
  <c r="B508" i="3"/>
  <c r="B512" i="3"/>
  <c r="B518" i="3"/>
  <c r="B526" i="3"/>
  <c r="B534" i="3"/>
  <c r="B541" i="3"/>
  <c r="B545" i="3"/>
  <c r="B549" i="3"/>
  <c r="B553" i="3"/>
  <c r="B557" i="3"/>
  <c r="B561" i="3"/>
  <c r="B565" i="3"/>
  <c r="B569" i="3"/>
  <c r="B573" i="3"/>
  <c r="B577" i="3"/>
  <c r="B581" i="3"/>
  <c r="B585" i="3"/>
  <c r="B589" i="3"/>
  <c r="B593" i="3"/>
  <c r="B597" i="3"/>
  <c r="B601" i="3"/>
  <c r="B605" i="3"/>
  <c r="B609" i="3"/>
  <c r="B613" i="3"/>
  <c r="B617" i="3"/>
  <c r="B621" i="3"/>
  <c r="B520" i="3"/>
  <c r="B528" i="3"/>
  <c r="B536" i="3"/>
  <c r="B540" i="3"/>
  <c r="B544" i="3"/>
  <c r="B548" i="3"/>
  <c r="B552" i="3"/>
  <c r="B556" i="3"/>
  <c r="B560" i="3"/>
  <c r="B564" i="3"/>
  <c r="B568" i="3"/>
  <c r="B572" i="3"/>
  <c r="B576" i="3"/>
  <c r="B580" i="3"/>
  <c r="B584" i="3"/>
  <c r="B588" i="3"/>
  <c r="B592" i="3"/>
  <c r="B596" i="3"/>
  <c r="B600" i="3"/>
  <c r="B604" i="3"/>
  <c r="B608" i="3"/>
  <c r="B612" i="3"/>
  <c r="B616" i="3"/>
  <c r="B620" i="3"/>
  <c r="B624" i="3"/>
  <c r="B628" i="3"/>
  <c r="B632" i="3"/>
  <c r="B636" i="3"/>
  <c r="B640" i="3"/>
  <c r="B644" i="3"/>
  <c r="B648" i="3"/>
  <c r="B652" i="3"/>
  <c r="B656" i="3"/>
  <c r="B660" i="3"/>
  <c r="B522" i="3"/>
  <c r="B530" i="3"/>
  <c r="B538" i="3"/>
  <c r="B543" i="3"/>
  <c r="B547" i="3"/>
  <c r="B551" i="3"/>
  <c r="B555" i="3"/>
  <c r="B559" i="3"/>
  <c r="B563" i="3"/>
  <c r="B567" i="3"/>
  <c r="B571" i="3"/>
  <c r="B575" i="3"/>
  <c r="B579" i="3"/>
  <c r="B583" i="3"/>
  <c r="B587" i="3"/>
  <c r="B591" i="3"/>
  <c r="B595" i="3"/>
  <c r="B599" i="3"/>
  <c r="B603" i="3"/>
  <c r="B607" i="3"/>
  <c r="B611" i="3"/>
  <c r="B615" i="3"/>
  <c r="B619" i="3"/>
  <c r="B623" i="3"/>
  <c r="B514" i="3"/>
  <c r="B516" i="3"/>
  <c r="B524" i="3"/>
  <c r="B532" i="3"/>
  <c r="B542" i="3"/>
  <c r="B546" i="3"/>
  <c r="B550" i="3"/>
  <c r="B554" i="3"/>
  <c r="B558" i="3"/>
  <c r="B562" i="3"/>
  <c r="B566" i="3"/>
  <c r="B570" i="3"/>
  <c r="B574" i="3"/>
  <c r="B578" i="3"/>
  <c r="B582" i="3"/>
  <c r="B586" i="3"/>
  <c r="B590" i="3"/>
  <c r="B594" i="3"/>
  <c r="B598" i="3"/>
  <c r="B602" i="3"/>
  <c r="B606" i="3"/>
  <c r="B610" i="3"/>
  <c r="B614" i="3"/>
  <c r="B618" i="3"/>
  <c r="B622" i="3"/>
  <c r="B626" i="3"/>
  <c r="B630" i="3"/>
  <c r="B634" i="3"/>
  <c r="B638" i="3"/>
  <c r="B642" i="3"/>
  <c r="B646" i="3"/>
  <c r="B650" i="3"/>
  <c r="B654" i="3"/>
  <c r="B658" i="3"/>
  <c r="B662" i="3"/>
  <c r="B627" i="3"/>
  <c r="B635" i="3"/>
  <c r="B643" i="3"/>
  <c r="B651" i="3"/>
  <c r="B659" i="3"/>
  <c r="B663" i="3"/>
  <c r="B667" i="3"/>
  <c r="B671" i="3"/>
  <c r="B675" i="3"/>
  <c r="B679" i="3"/>
  <c r="B683" i="3"/>
  <c r="B687" i="3"/>
  <c r="B691" i="3"/>
  <c r="B695" i="3"/>
  <c r="B699" i="3"/>
  <c r="B703" i="3"/>
  <c r="B707" i="3"/>
  <c r="B711" i="3"/>
  <c r="B715" i="3"/>
  <c r="B719" i="3"/>
  <c r="B723" i="3"/>
  <c r="B727" i="3"/>
  <c r="B731" i="3"/>
  <c r="B735" i="3"/>
  <c r="B739" i="3"/>
  <c r="B743" i="3"/>
  <c r="B747" i="3"/>
  <c r="B751" i="3"/>
  <c r="B755" i="3"/>
  <c r="B759" i="3"/>
  <c r="B763" i="3"/>
  <c r="B767" i="3"/>
  <c r="B771" i="3"/>
  <c r="B775" i="3"/>
  <c r="B629" i="3"/>
  <c r="B637" i="3"/>
  <c r="B645" i="3"/>
  <c r="B653" i="3"/>
  <c r="B661" i="3"/>
  <c r="B666" i="3"/>
  <c r="B670" i="3"/>
  <c r="B674" i="3"/>
  <c r="B678" i="3"/>
  <c r="B682" i="3"/>
  <c r="B686" i="3"/>
  <c r="B690" i="3"/>
  <c r="B694" i="3"/>
  <c r="B698" i="3"/>
  <c r="B702" i="3"/>
  <c r="B706" i="3"/>
  <c r="B710" i="3"/>
  <c r="B714" i="3"/>
  <c r="B718" i="3"/>
  <c r="B722" i="3"/>
  <c r="B726" i="3"/>
  <c r="B730" i="3"/>
  <c r="B734" i="3"/>
  <c r="B738" i="3"/>
  <c r="B742" i="3"/>
  <c r="B746" i="3"/>
  <c r="B750" i="3"/>
  <c r="B754" i="3"/>
  <c r="B758" i="3"/>
  <c r="B762" i="3"/>
  <c r="B766" i="3"/>
  <c r="B770" i="3"/>
  <c r="B774" i="3"/>
  <c r="B778" i="3"/>
  <c r="B782" i="3"/>
  <c r="B786" i="3"/>
  <c r="B790" i="3"/>
  <c r="B794" i="3"/>
  <c r="B798" i="3"/>
  <c r="B802" i="3"/>
  <c r="B631" i="3"/>
  <c r="B639" i="3"/>
  <c r="B647" i="3"/>
  <c r="B655" i="3"/>
  <c r="B665" i="3"/>
  <c r="B669" i="3"/>
  <c r="B673" i="3"/>
  <c r="B677" i="3"/>
  <c r="B681" i="3"/>
  <c r="B685" i="3"/>
  <c r="B689" i="3"/>
  <c r="B693" i="3"/>
  <c r="B697" i="3"/>
  <c r="B701" i="3"/>
  <c r="B705" i="3"/>
  <c r="B709" i="3"/>
  <c r="B713" i="3"/>
  <c r="B717" i="3"/>
  <c r="B721" i="3"/>
  <c r="B725" i="3"/>
  <c r="B729" i="3"/>
  <c r="B733" i="3"/>
  <c r="B737" i="3"/>
  <c r="B741" i="3"/>
  <c r="B745" i="3"/>
  <c r="B749" i="3"/>
  <c r="B753" i="3"/>
  <c r="B757" i="3"/>
  <c r="B761" i="3"/>
  <c r="B765" i="3"/>
  <c r="B769" i="3"/>
  <c r="B773" i="3"/>
  <c r="B777" i="3"/>
  <c r="B625" i="3"/>
  <c r="B633" i="3"/>
  <c r="B641" i="3"/>
  <c r="B649" i="3"/>
  <c r="B657" i="3"/>
  <c r="B664" i="3"/>
  <c r="B668" i="3"/>
  <c r="B672" i="3"/>
  <c r="B676" i="3"/>
  <c r="B680" i="3"/>
  <c r="B684" i="3"/>
  <c r="B688" i="3"/>
  <c r="B692" i="3"/>
  <c r="B696" i="3"/>
  <c r="B700" i="3"/>
  <c r="B704" i="3"/>
  <c r="B708" i="3"/>
  <c r="B712" i="3"/>
  <c r="B716" i="3"/>
  <c r="B720" i="3"/>
  <c r="B724" i="3"/>
  <c r="B728" i="3"/>
  <c r="B732" i="3"/>
  <c r="B736" i="3"/>
  <c r="B740" i="3"/>
  <c r="B744" i="3"/>
  <c r="B748" i="3"/>
  <c r="B752" i="3"/>
  <c r="B756" i="3"/>
  <c r="B760" i="3"/>
  <c r="B764" i="3"/>
  <c r="B768" i="3"/>
  <c r="B772" i="3"/>
  <c r="B776" i="3"/>
  <c r="B780" i="3"/>
  <c r="B784" i="3"/>
  <c r="B788" i="3"/>
  <c r="B792" i="3"/>
  <c r="B796" i="3"/>
  <c r="B800" i="3"/>
  <c r="B804" i="3"/>
  <c r="B785" i="3"/>
  <c r="B793" i="3"/>
  <c r="B801" i="3"/>
  <c r="B807" i="3"/>
  <c r="B811" i="3"/>
  <c r="B815" i="3"/>
  <c r="B819" i="3"/>
  <c r="B823" i="3"/>
  <c r="B827" i="3"/>
  <c r="B831" i="3"/>
  <c r="B835" i="3"/>
  <c r="B839" i="3"/>
  <c r="B843" i="3"/>
  <c r="B847" i="3"/>
  <c r="B851" i="3"/>
  <c r="B855" i="3"/>
  <c r="B859" i="3"/>
  <c r="B863" i="3"/>
  <c r="B867" i="3"/>
  <c r="B871" i="3"/>
  <c r="B875" i="3"/>
  <c r="B879" i="3"/>
  <c r="B883" i="3"/>
  <c r="B887" i="3"/>
  <c r="B891" i="3"/>
  <c r="B895" i="3"/>
  <c r="B899" i="3"/>
  <c r="B903" i="3"/>
  <c r="B907" i="3"/>
  <c r="B911" i="3"/>
  <c r="B915" i="3"/>
  <c r="B919" i="3"/>
  <c r="B923" i="3"/>
  <c r="B927" i="3"/>
  <c r="B931" i="3"/>
  <c r="B935" i="3"/>
  <c r="B939" i="3"/>
  <c r="B943" i="3"/>
  <c r="B947" i="3"/>
  <c r="B951" i="3"/>
  <c r="B955" i="3"/>
  <c r="B959" i="3"/>
  <c r="B963" i="3"/>
  <c r="B967" i="3"/>
  <c r="B971" i="3"/>
  <c r="B975" i="3"/>
  <c r="B979" i="3"/>
  <c r="B983" i="3"/>
  <c r="B987" i="3"/>
  <c r="B991" i="3"/>
  <c r="B995" i="3"/>
  <c r="B999" i="3"/>
  <c r="B1003" i="3"/>
  <c r="B1007" i="3"/>
  <c r="B1011" i="3"/>
  <c r="B1015" i="3"/>
  <c r="B779" i="3"/>
  <c r="B787" i="3"/>
  <c r="B795" i="3"/>
  <c r="B803" i="3"/>
  <c r="B806" i="3"/>
  <c r="B810" i="3"/>
  <c r="B814" i="3"/>
  <c r="B818" i="3"/>
  <c r="B822" i="3"/>
  <c r="B826" i="3"/>
  <c r="B830" i="3"/>
  <c r="B834" i="3"/>
  <c r="B838" i="3"/>
  <c r="B842" i="3"/>
  <c r="B846" i="3"/>
  <c r="B850" i="3"/>
  <c r="B854" i="3"/>
  <c r="B858" i="3"/>
  <c r="B862" i="3"/>
  <c r="B866" i="3"/>
  <c r="B870" i="3"/>
  <c r="B874" i="3"/>
  <c r="B878" i="3"/>
  <c r="B882" i="3"/>
  <c r="B886" i="3"/>
  <c r="B890" i="3"/>
  <c r="B894" i="3"/>
  <c r="B898" i="3"/>
  <c r="B902" i="3"/>
  <c r="B906" i="3"/>
  <c r="B910" i="3"/>
  <c r="B914" i="3"/>
  <c r="B918" i="3"/>
  <c r="B922" i="3"/>
  <c r="B926" i="3"/>
  <c r="B930" i="3"/>
  <c r="B934" i="3"/>
  <c r="B938" i="3"/>
  <c r="B942" i="3"/>
  <c r="B946" i="3"/>
  <c r="B950" i="3"/>
  <c r="B954" i="3"/>
  <c r="B958" i="3"/>
  <c r="B962" i="3"/>
  <c r="B966" i="3"/>
  <c r="B970" i="3"/>
  <c r="B974" i="3"/>
  <c r="B978" i="3"/>
  <c r="B982" i="3"/>
  <c r="B986" i="3"/>
  <c r="B990" i="3"/>
  <c r="B994" i="3"/>
  <c r="B998" i="3"/>
  <c r="B1002" i="3"/>
  <c r="B1006" i="3"/>
  <c r="B1010" i="3"/>
  <c r="B1014" i="3"/>
  <c r="B1018" i="3"/>
  <c r="B1022" i="3"/>
  <c r="B1026" i="3"/>
  <c r="B1030" i="3"/>
  <c r="B1034" i="3"/>
  <c r="B1038" i="3"/>
  <c r="B1042" i="3"/>
  <c r="B1046" i="3"/>
  <c r="B1050" i="3"/>
  <c r="B1054" i="3"/>
  <c r="B1058" i="3"/>
  <c r="B1062" i="3"/>
  <c r="B781" i="3"/>
  <c r="B789" i="3"/>
  <c r="B797" i="3"/>
  <c r="B805" i="3"/>
  <c r="B809" i="3"/>
  <c r="B813" i="3"/>
  <c r="B817" i="3"/>
  <c r="B821" i="3"/>
  <c r="B825" i="3"/>
  <c r="B829" i="3"/>
  <c r="B833" i="3"/>
  <c r="B837" i="3"/>
  <c r="B841" i="3"/>
  <c r="B845" i="3"/>
  <c r="B849" i="3"/>
  <c r="B853" i="3"/>
  <c r="B857" i="3"/>
  <c r="B861" i="3"/>
  <c r="B865" i="3"/>
  <c r="B869" i="3"/>
  <c r="B873" i="3"/>
  <c r="B877" i="3"/>
  <c r="B881" i="3"/>
  <c r="B885" i="3"/>
  <c r="B889" i="3"/>
  <c r="B893" i="3"/>
  <c r="B897" i="3"/>
  <c r="B901" i="3"/>
  <c r="B905" i="3"/>
  <c r="B909" i="3"/>
  <c r="B913" i="3"/>
  <c r="B917" i="3"/>
  <c r="B921" i="3"/>
  <c r="B925" i="3"/>
  <c r="B929" i="3"/>
  <c r="B933" i="3"/>
  <c r="B937" i="3"/>
  <c r="B941" i="3"/>
  <c r="B945" i="3"/>
  <c r="B949" i="3"/>
  <c r="B953" i="3"/>
  <c r="B957" i="3"/>
  <c r="B961" i="3"/>
  <c r="B965" i="3"/>
  <c r="B969" i="3"/>
  <c r="B973" i="3"/>
  <c r="B977" i="3"/>
  <c r="B981" i="3"/>
  <c r="B985" i="3"/>
  <c r="B989" i="3"/>
  <c r="B993" i="3"/>
  <c r="B997" i="3"/>
  <c r="B1001" i="3"/>
  <c r="B1005" i="3"/>
  <c r="B1009" i="3"/>
  <c r="B1013" i="3"/>
  <c r="B783" i="3"/>
  <c r="B791" i="3"/>
  <c r="B799" i="3"/>
  <c r="B808" i="3"/>
  <c r="B812" i="3"/>
  <c r="B816" i="3"/>
  <c r="B820" i="3"/>
  <c r="B824" i="3"/>
  <c r="B828" i="3"/>
  <c r="B832" i="3"/>
  <c r="B836" i="3"/>
  <c r="B840" i="3"/>
  <c r="B844" i="3"/>
  <c r="B848" i="3"/>
  <c r="B852" i="3"/>
  <c r="B856" i="3"/>
  <c r="B860" i="3"/>
  <c r="B864" i="3"/>
  <c r="B868" i="3"/>
  <c r="B872" i="3"/>
  <c r="B876" i="3"/>
  <c r="B880" i="3"/>
  <c r="B884" i="3"/>
  <c r="B888" i="3"/>
  <c r="B892" i="3"/>
  <c r="B896" i="3"/>
  <c r="B900" i="3"/>
  <c r="B904" i="3"/>
  <c r="B908" i="3"/>
  <c r="B912" i="3"/>
  <c r="B916" i="3"/>
  <c r="B920" i="3"/>
  <c r="B924" i="3"/>
  <c r="B928" i="3"/>
  <c r="B932" i="3"/>
  <c r="B936" i="3"/>
  <c r="B940" i="3"/>
  <c r="B944" i="3"/>
  <c r="B948" i="3"/>
  <c r="B952" i="3"/>
  <c r="B956" i="3"/>
  <c r="B960" i="3"/>
  <c r="B964" i="3"/>
  <c r="B968" i="3"/>
  <c r="B972" i="3"/>
  <c r="B976" i="3"/>
  <c r="B980" i="3"/>
  <c r="B984" i="3"/>
  <c r="B988" i="3"/>
  <c r="B992" i="3"/>
  <c r="B996" i="3"/>
  <c r="B1000" i="3"/>
  <c r="B1004" i="3"/>
  <c r="B1008" i="3"/>
  <c r="B1012" i="3"/>
  <c r="B1016" i="3"/>
  <c r="B1020" i="3"/>
  <c r="B1024" i="3"/>
  <c r="B1028" i="3"/>
  <c r="B1032" i="3"/>
  <c r="B1036" i="3"/>
  <c r="B1040" i="3"/>
  <c r="B1044" i="3"/>
  <c r="B1048" i="3"/>
  <c r="B1052" i="3"/>
  <c r="B1056" i="3"/>
  <c r="B1060" i="3"/>
  <c r="B1023" i="3"/>
  <c r="B1031" i="3"/>
  <c r="B1039" i="3"/>
  <c r="B1063" i="3"/>
  <c r="B1070" i="3"/>
  <c r="B1082" i="3"/>
  <c r="B1086" i="3"/>
  <c r="B1090" i="3"/>
  <c r="B1094" i="3"/>
  <c r="B1025" i="3"/>
  <c r="B1033" i="3"/>
  <c r="B1041" i="3"/>
  <c r="B1049" i="3"/>
  <c r="B1057" i="3"/>
  <c r="B1065" i="3"/>
  <c r="B1069" i="3"/>
  <c r="B1073" i="3"/>
  <c r="B1077" i="3"/>
  <c r="B1081" i="3"/>
  <c r="B1085" i="3"/>
  <c r="B1089" i="3"/>
  <c r="B1093" i="3"/>
  <c r="B1051" i="3"/>
  <c r="B1072" i="3"/>
  <c r="B1092" i="3"/>
  <c r="B1017" i="3"/>
  <c r="B1019" i="3"/>
  <c r="B1027" i="3"/>
  <c r="B1035" i="3"/>
  <c r="B1043" i="3"/>
  <c r="B1059" i="3"/>
  <c r="B1064" i="3"/>
  <c r="B1068" i="3"/>
  <c r="B1076" i="3"/>
  <c r="B1080" i="3"/>
  <c r="B1084" i="3"/>
  <c r="B1088" i="3"/>
  <c r="B1021" i="3"/>
  <c r="B1029" i="3"/>
  <c r="B1037" i="3"/>
  <c r="B1045" i="3"/>
  <c r="B1053" i="3"/>
  <c r="B1061" i="3"/>
  <c r="B1067" i="3"/>
  <c r="B1071" i="3"/>
  <c r="B1075" i="3"/>
  <c r="B1079" i="3"/>
  <c r="B1083" i="3"/>
  <c r="B1087" i="3"/>
  <c r="B1091" i="3"/>
  <c r="B1095" i="3"/>
  <c r="B1047" i="3"/>
  <c r="B1055" i="3"/>
  <c r="B1066" i="3"/>
  <c r="B1074" i="3"/>
  <c r="B1078" i="3"/>
  <c r="B1096" i="3"/>
  <c r="B2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2" i="2"/>
  <c r="A2" i="2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G1098" i="3" l="1"/>
  <c r="D1098" i="3"/>
  <c r="E1098" i="3"/>
  <c r="F1098" i="3"/>
  <c r="D1099" i="3"/>
  <c r="E1099" i="3"/>
  <c r="F1099" i="3"/>
  <c r="G1099" i="3"/>
  <c r="F1097" i="3"/>
  <c r="G1097" i="3"/>
  <c r="D1097" i="3"/>
  <c r="E1097" i="3"/>
  <c r="D1099" i="2"/>
  <c r="E1099" i="2"/>
  <c r="D1098" i="2"/>
  <c r="E1098" i="2"/>
  <c r="D1097" i="2"/>
  <c r="E1097" i="2"/>
  <c r="G5" i="3"/>
  <c r="D5" i="3"/>
  <c r="E5" i="3"/>
  <c r="F5" i="3"/>
  <c r="D6" i="3"/>
  <c r="E6" i="3"/>
  <c r="F6" i="3"/>
  <c r="G6" i="3"/>
  <c r="E7" i="3"/>
  <c r="F7" i="3"/>
  <c r="G7" i="3"/>
  <c r="D7" i="3"/>
  <c r="E3" i="3"/>
  <c r="F3" i="3"/>
  <c r="G3" i="3"/>
  <c r="D3" i="3"/>
  <c r="F4" i="3"/>
  <c r="G4" i="3"/>
  <c r="D4" i="3"/>
  <c r="E4" i="3"/>
  <c r="E2" i="3"/>
  <c r="G2" i="3"/>
  <c r="D2" i="3"/>
  <c r="F2" i="3"/>
  <c r="D3" i="2"/>
  <c r="E3" i="2"/>
  <c r="E2" i="2"/>
  <c r="E368" i="2"/>
  <c r="D368" i="2"/>
  <c r="D2" i="2"/>
  <c r="A1098" i="5" l="1"/>
  <c r="A1098" i="6"/>
  <c r="A1097" i="5"/>
  <c r="A1097" i="6"/>
  <c r="A1099" i="5"/>
  <c r="A1099" i="6"/>
  <c r="D8" i="3"/>
  <c r="E8" i="3"/>
  <c r="F8" i="3"/>
  <c r="G8" i="3"/>
  <c r="D10" i="3"/>
  <c r="G9" i="3"/>
  <c r="G10" i="3"/>
  <c r="F9" i="3"/>
  <c r="F10" i="3"/>
  <c r="E9" i="3"/>
  <c r="E10" i="3"/>
  <c r="D9" i="3"/>
  <c r="A5" i="6"/>
  <c r="A7" i="6"/>
  <c r="A3" i="6"/>
  <c r="A4" i="6"/>
  <c r="A6" i="6"/>
  <c r="A2" i="6"/>
  <c r="A368" i="5"/>
  <c r="A3" i="5"/>
  <c r="D734" i="2"/>
  <c r="E369" i="2"/>
  <c r="E734" i="2"/>
  <c r="D369" i="2"/>
  <c r="E4" i="2"/>
  <c r="D4" i="2"/>
  <c r="A2" i="5"/>
  <c r="A369" i="5" l="1"/>
  <c r="D11" i="3"/>
  <c r="G11" i="3"/>
  <c r="D13" i="3"/>
  <c r="F13" i="3"/>
  <c r="F12" i="3"/>
  <c r="D12" i="3"/>
  <c r="E12" i="3"/>
  <c r="G12" i="3"/>
  <c r="F11" i="3"/>
  <c r="E11" i="3"/>
  <c r="G13" i="3"/>
  <c r="E13" i="3"/>
  <c r="A8" i="6"/>
  <c r="A10" i="6"/>
  <c r="A9" i="6"/>
  <c r="A4" i="5"/>
  <c r="A734" i="5"/>
  <c r="E5" i="2"/>
  <c r="E735" i="2"/>
  <c r="D370" i="2"/>
  <c r="D735" i="2"/>
  <c r="E370" i="2"/>
  <c r="D5" i="2"/>
  <c r="A5" i="5" l="1"/>
  <c r="E16" i="3"/>
  <c r="F16" i="3"/>
  <c r="G15" i="3"/>
  <c r="E15" i="3"/>
  <c r="F14" i="3"/>
  <c r="D14" i="3"/>
  <c r="F15" i="3"/>
  <c r="G16" i="3"/>
  <c r="E14" i="3"/>
  <c r="G14" i="3"/>
  <c r="D16" i="3"/>
  <c r="D15" i="3"/>
  <c r="A13" i="6"/>
  <c r="A12" i="6"/>
  <c r="A11" i="6"/>
  <c r="A735" i="5"/>
  <c r="A370" i="5"/>
  <c r="E736" i="2"/>
  <c r="E6" i="2"/>
  <c r="D736" i="2"/>
  <c r="D371" i="2"/>
  <c r="D6" i="2"/>
  <c r="E371" i="2"/>
  <c r="G18" i="3" l="1"/>
  <c r="D18" i="3"/>
  <c r="F19" i="3"/>
  <c r="G19" i="3"/>
  <c r="D17" i="3"/>
  <c r="E18" i="3"/>
  <c r="D19" i="3"/>
  <c r="F18" i="3"/>
  <c r="G17" i="3"/>
  <c r="E17" i="3"/>
  <c r="F17" i="3"/>
  <c r="E19" i="3"/>
  <c r="A14" i="6"/>
  <c r="A736" i="5"/>
  <c r="A16" i="6"/>
  <c r="A15" i="6"/>
  <c r="A6" i="5"/>
  <c r="A371" i="5"/>
  <c r="E372" i="2"/>
  <c r="D7" i="2"/>
  <c r="E737" i="2"/>
  <c r="E7" i="2"/>
  <c r="D372" i="2"/>
  <c r="D737" i="2"/>
  <c r="A372" i="5" l="1"/>
  <c r="A17" i="6"/>
  <c r="A18" i="6"/>
  <c r="A19" i="6"/>
  <c r="A737" i="5"/>
  <c r="A7" i="5"/>
  <c r="D732" i="2" l="1"/>
  <c r="E367" i="2"/>
  <c r="E733" i="2"/>
  <c r="D733" i="2"/>
  <c r="E732" i="2"/>
  <c r="D367" i="2"/>
  <c r="A367" i="5" s="1"/>
  <c r="F510" i="3"/>
  <c r="E581" i="3"/>
  <c r="F205" i="3"/>
  <c r="D865" i="3"/>
  <c r="G538" i="3"/>
  <c r="E420" i="3"/>
  <c r="D597" i="3"/>
  <c r="E900" i="3"/>
  <c r="E396" i="3"/>
  <c r="G745" i="3"/>
  <c r="F831" i="3"/>
  <c r="E870" i="3"/>
  <c r="D70" i="3"/>
  <c r="E515" i="3"/>
  <c r="F641" i="3"/>
  <c r="E907" i="3"/>
  <c r="G300" i="3"/>
  <c r="G631" i="3"/>
  <c r="D1065" i="3"/>
  <c r="G23" i="3"/>
  <c r="G389" i="3"/>
  <c r="F499" i="3"/>
  <c r="E757" i="3"/>
  <c r="G875" i="3"/>
  <c r="E65" i="3"/>
  <c r="F312" i="3"/>
  <c r="F57" i="3"/>
  <c r="D120" i="3"/>
  <c r="G83" i="3"/>
  <c r="F919" i="3"/>
  <c r="E577" i="3"/>
  <c r="D504" i="3"/>
  <c r="D158" i="3"/>
  <c r="E211" i="3"/>
  <c r="F692" i="3"/>
  <c r="D963" i="3"/>
  <c r="G954" i="3"/>
  <c r="D177" i="3"/>
  <c r="E203" i="3"/>
  <c r="D508" i="3"/>
  <c r="E559" i="3"/>
  <c r="F853" i="3"/>
  <c r="G148" i="3"/>
  <c r="F867" i="3"/>
  <c r="E858" i="3"/>
  <c r="G150" i="3"/>
  <c r="G494" i="3"/>
  <c r="E835" i="3"/>
  <c r="D826" i="3"/>
  <c r="D837" i="3"/>
  <c r="D189" i="3"/>
  <c r="F513" i="3"/>
  <c r="G564" i="3"/>
  <c r="D918" i="3"/>
  <c r="D154" i="3"/>
  <c r="D756" i="3"/>
  <c r="E466" i="3"/>
  <c r="E372" i="3"/>
  <c r="F29" i="3"/>
  <c r="G804" i="3"/>
  <c r="E59" i="3"/>
  <c r="D418" i="3"/>
  <c r="D271" i="3"/>
  <c r="D985" i="3"/>
  <c r="F1038" i="3"/>
  <c r="E343" i="3"/>
  <c r="G1092" i="3"/>
  <c r="E673" i="3"/>
  <c r="G695" i="3"/>
  <c r="F410" i="3"/>
  <c r="E299" i="3"/>
  <c r="E988" i="3"/>
  <c r="F989" i="3"/>
  <c r="D610" i="3"/>
  <c r="F331" i="3"/>
  <c r="F760" i="3"/>
  <c r="F748" i="3"/>
  <c r="E492" i="3"/>
  <c r="D163" i="3"/>
  <c r="D949" i="3"/>
  <c r="D425" i="3"/>
  <c r="E597" i="3"/>
  <c r="G611" i="3"/>
  <c r="D311" i="3"/>
  <c r="F1048" i="3"/>
  <c r="D776" i="3"/>
  <c r="F802" i="3"/>
  <c r="E699" i="3"/>
  <c r="G318" i="3"/>
  <c r="G1093" i="3"/>
  <c r="D928" i="3"/>
  <c r="F731" i="3"/>
  <c r="E44" i="3"/>
  <c r="E792" i="3"/>
  <c r="D655" i="3"/>
  <c r="D312" i="3"/>
  <c r="F71" i="3"/>
  <c r="G1075" i="3"/>
  <c r="G1024" i="3"/>
  <c r="G694" i="3"/>
  <c r="D59" i="3"/>
  <c r="F624" i="3"/>
  <c r="D202" i="3"/>
  <c r="G159" i="3"/>
  <c r="G833" i="3"/>
  <c r="G608" i="3"/>
  <c r="G381" i="3"/>
  <c r="F61" i="3"/>
  <c r="F887" i="3"/>
  <c r="F403" i="3"/>
  <c r="D415" i="3"/>
  <c r="F30" i="3"/>
  <c r="E172" i="3"/>
  <c r="F466" i="3"/>
  <c r="G356" i="3"/>
  <c r="D46" i="3"/>
  <c r="E804" i="3"/>
  <c r="E523" i="3"/>
  <c r="D365" i="3"/>
  <c r="E274" i="3"/>
  <c r="D790" i="3"/>
  <c r="F1033" i="3"/>
  <c r="D48" i="3"/>
  <c r="G373" i="3"/>
  <c r="F483" i="3"/>
  <c r="E741" i="3"/>
  <c r="G859" i="3"/>
  <c r="E49" i="3"/>
  <c r="F296" i="3"/>
  <c r="G816" i="3"/>
  <c r="D1036" i="3"/>
  <c r="G347" i="3"/>
  <c r="E610" i="3"/>
  <c r="G1005" i="3"/>
  <c r="F1004" i="3"/>
  <c r="E1096" i="3"/>
  <c r="F330" i="3"/>
  <c r="D711" i="3"/>
  <c r="F689" i="3"/>
  <c r="F1094" i="3"/>
  <c r="E620" i="3"/>
  <c r="D1054" i="3"/>
  <c r="E88" i="3"/>
  <c r="G639" i="3"/>
  <c r="G304" i="3"/>
  <c r="E342" i="3"/>
  <c r="G1064" i="3"/>
  <c r="E794" i="3"/>
  <c r="F504" i="3"/>
  <c r="G256" i="3"/>
  <c r="D961" i="3"/>
  <c r="F524" i="3"/>
  <c r="E209" i="3"/>
  <c r="E175" i="3"/>
  <c r="F27" i="3"/>
  <c r="E587" i="3"/>
  <c r="G225" i="3"/>
  <c r="F191" i="3"/>
  <c r="G865" i="3"/>
  <c r="E640" i="3"/>
  <c r="G349" i="3"/>
  <c r="F287" i="3"/>
  <c r="F604" i="3"/>
  <c r="E1022" i="3"/>
  <c r="F969" i="3"/>
  <c r="D255" i="3"/>
  <c r="F295" i="3"/>
  <c r="E579" i="3"/>
  <c r="G723" i="3"/>
  <c r="E920" i="3"/>
  <c r="G194" i="3"/>
  <c r="F963" i="3"/>
  <c r="E954" i="3"/>
  <c r="F177" i="3"/>
  <c r="F485" i="3"/>
  <c r="E931" i="3"/>
  <c r="D922" i="3"/>
  <c r="D933" i="3"/>
  <c r="D147" i="3"/>
  <c r="E476" i="3"/>
  <c r="E660" i="3"/>
  <c r="D1014" i="3"/>
  <c r="F503" i="3"/>
  <c r="D720" i="3"/>
  <c r="G927" i="3"/>
  <c r="E149" i="3"/>
  <c r="F31" i="3"/>
  <c r="G756" i="3"/>
  <c r="D434" i="3"/>
  <c r="D308" i="3"/>
  <c r="D339" i="3"/>
  <c r="E849" i="3"/>
  <c r="D555" i="3"/>
  <c r="G234" i="3"/>
  <c r="F119" i="3"/>
  <c r="G1042" i="3"/>
  <c r="F138" i="3"/>
  <c r="G351" i="3"/>
  <c r="D263" i="3"/>
  <c r="G820" i="3"/>
  <c r="F614" i="3"/>
  <c r="G402" i="3"/>
  <c r="E261" i="3"/>
  <c r="D421" i="3"/>
  <c r="G867" i="3"/>
  <c r="F858" i="3"/>
  <c r="D134" i="3"/>
  <c r="D494" i="3"/>
  <c r="G492" i="3"/>
  <c r="D732" i="3"/>
  <c r="G987" i="3"/>
  <c r="E126" i="3"/>
  <c r="E419" i="3"/>
  <c r="G944" i="3"/>
  <c r="D1017" i="3"/>
  <c r="F350" i="3"/>
  <c r="D715" i="3"/>
  <c r="F912" i="3"/>
  <c r="E1077" i="3"/>
  <c r="E321" i="3"/>
  <c r="G706" i="3"/>
  <c r="E680" i="3"/>
  <c r="F1045" i="3"/>
  <c r="D615" i="3"/>
  <c r="E909" i="3"/>
  <c r="D908" i="3"/>
  <c r="D36" i="3"/>
  <c r="G887" i="3"/>
  <c r="D441" i="3"/>
  <c r="G422" i="3"/>
  <c r="E99" i="3"/>
  <c r="D871" i="3"/>
  <c r="D95" i="3"/>
  <c r="F381" i="3"/>
  <c r="E31" i="3"/>
  <c r="F724" i="3"/>
  <c r="D443" i="3"/>
  <c r="D280" i="3"/>
  <c r="D102" i="3"/>
  <c r="D676" i="3"/>
  <c r="D473" i="3"/>
  <c r="G511" i="3"/>
  <c r="F66" i="3"/>
  <c r="D839" i="3"/>
  <c r="D1024" i="3"/>
  <c r="D1075" i="3"/>
  <c r="E293" i="3"/>
  <c r="F661" i="3"/>
  <c r="F992" i="3"/>
  <c r="E935" i="3"/>
  <c r="E138" i="3"/>
  <c r="G132" i="3"/>
  <c r="F837" i="3"/>
  <c r="E543" i="3"/>
  <c r="G522" i="3"/>
  <c r="D265" i="3"/>
  <c r="D207" i="3"/>
  <c r="F921" i="3"/>
  <c r="G974" i="3"/>
  <c r="F556" i="3"/>
  <c r="E239" i="3"/>
  <c r="E707" i="3"/>
  <c r="G563" i="3"/>
  <c r="E281" i="3"/>
  <c r="D1000" i="3"/>
  <c r="E766" i="3"/>
  <c r="D654" i="3"/>
  <c r="G652" i="3"/>
  <c r="F230" i="3"/>
  <c r="G335" i="3"/>
  <c r="D320" i="3"/>
  <c r="F294" i="3"/>
  <c r="G1027" i="3"/>
  <c r="G717" i="3"/>
  <c r="E304" i="3"/>
  <c r="G342" i="3"/>
  <c r="E977" i="3"/>
  <c r="G582" i="3"/>
  <c r="G289" i="3"/>
  <c r="E256" i="3"/>
  <c r="F897" i="3"/>
  <c r="D275" i="3"/>
  <c r="D241" i="3"/>
  <c r="G208" i="3"/>
  <c r="D913" i="3"/>
  <c r="G587" i="3"/>
  <c r="F234" i="3"/>
  <c r="D119" i="3"/>
  <c r="E588" i="3"/>
  <c r="D1022" i="3"/>
  <c r="E969" i="3"/>
  <c r="G239" i="3"/>
  <c r="D556" i="3"/>
  <c r="G558" i="3"/>
  <c r="E670" i="3"/>
  <c r="D904" i="3"/>
  <c r="D258" i="3"/>
  <c r="D600" i="3"/>
  <c r="G634" i="3"/>
  <c r="E161" i="3"/>
  <c r="E485" i="3"/>
  <c r="D915" i="3"/>
  <c r="G906" i="3"/>
  <c r="D131" i="3"/>
  <c r="F228" i="3"/>
  <c r="D460" i="3"/>
  <c r="D644" i="3"/>
  <c r="F805" i="3"/>
  <c r="D173" i="3"/>
  <c r="G704" i="3"/>
  <c r="F911" i="3"/>
  <c r="E77" i="3"/>
  <c r="G518" i="3"/>
  <c r="D493" i="3"/>
  <c r="F174" i="3"/>
  <c r="D914" i="3"/>
  <c r="E500" i="3"/>
  <c r="D424" i="3"/>
  <c r="G40" i="3"/>
  <c r="G708" i="3"/>
  <c r="E459" i="3"/>
  <c r="G301" i="3"/>
  <c r="E1083" i="3"/>
  <c r="F227" i="3"/>
  <c r="G411" i="3"/>
  <c r="F390" i="3"/>
  <c r="G1047" i="3"/>
  <c r="G749" i="3"/>
  <c r="E336" i="3"/>
  <c r="G310" i="3"/>
  <c r="F471" i="3"/>
  <c r="D688" i="3"/>
  <c r="G895" i="3"/>
  <c r="F60" i="3"/>
  <c r="E439" i="3"/>
  <c r="D433" i="3"/>
  <c r="F796" i="3"/>
  <c r="F822" i="3"/>
  <c r="E80" i="3"/>
  <c r="E483" i="3"/>
  <c r="G1008" i="3"/>
  <c r="E1053" i="3"/>
  <c r="E264" i="3"/>
  <c r="F629" i="3"/>
  <c r="F976" i="3"/>
  <c r="D1076" i="3"/>
  <c r="G33" i="3"/>
  <c r="E385" i="3"/>
  <c r="G770" i="3"/>
  <c r="E744" i="3"/>
  <c r="D1096" i="3"/>
  <c r="G578" i="3"/>
  <c r="E973" i="3"/>
  <c r="D972" i="3"/>
  <c r="F113" i="3"/>
  <c r="E833" i="3"/>
  <c r="E538" i="3"/>
  <c r="F452" i="3"/>
  <c r="E502" i="3"/>
  <c r="F97" i="3"/>
  <c r="E733" i="3"/>
  <c r="G384" i="3"/>
  <c r="E358" i="3"/>
  <c r="G1084" i="3"/>
  <c r="D639" i="3"/>
  <c r="F424" i="3"/>
  <c r="E113" i="3"/>
  <c r="D63" i="3"/>
  <c r="D788" i="3"/>
  <c r="G539" i="3"/>
  <c r="G470" i="3"/>
  <c r="G74" i="3"/>
  <c r="F715" i="3"/>
  <c r="D912" i="3"/>
  <c r="G1077" i="3"/>
  <c r="G302" i="3"/>
  <c r="E683" i="3"/>
  <c r="F786" i="3"/>
  <c r="F798" i="3"/>
  <c r="F1032" i="3"/>
  <c r="D295" i="3"/>
  <c r="G595" i="3"/>
  <c r="E739" i="3"/>
  <c r="G151" i="3"/>
  <c r="D480" i="3"/>
  <c r="G814" i="3"/>
  <c r="G1034" i="3"/>
  <c r="F184" i="3"/>
  <c r="F283" i="3"/>
  <c r="G601" i="3"/>
  <c r="E532" i="3"/>
  <c r="F933" i="3"/>
  <c r="F163" i="3"/>
  <c r="F819" i="3"/>
  <c r="E810" i="3"/>
  <c r="F116" i="3"/>
  <c r="D252" i="3"/>
  <c r="D582" i="3"/>
  <c r="F303" i="3"/>
  <c r="F279" i="3"/>
  <c r="F799" i="3"/>
  <c r="E566" i="3"/>
  <c r="E447" i="3"/>
  <c r="E119" i="3"/>
  <c r="D833" i="3"/>
  <c r="G640" i="3"/>
  <c r="E259" i="3"/>
  <c r="D185" i="3"/>
  <c r="D41" i="3"/>
  <c r="F592" i="3"/>
  <c r="F335" i="3"/>
  <c r="E247" i="3"/>
  <c r="G993" i="3"/>
  <c r="D524" i="3"/>
  <c r="F356" i="3"/>
  <c r="F232" i="3"/>
  <c r="G573" i="3"/>
  <c r="G894" i="3"/>
  <c r="F841" i="3"/>
  <c r="E200" i="3"/>
  <c r="D351" i="3"/>
  <c r="E441" i="3"/>
  <c r="E1073" i="3"/>
  <c r="F721" i="3"/>
  <c r="D743" i="3"/>
  <c r="D360" i="3"/>
  <c r="E78" i="3"/>
  <c r="G285" i="3"/>
  <c r="E956" i="3"/>
  <c r="F957" i="3"/>
  <c r="D578" i="3"/>
  <c r="F299" i="3"/>
  <c r="G673" i="3"/>
  <c r="E695" i="3"/>
  <c r="G394" i="3"/>
  <c r="E1087" i="3"/>
  <c r="G728" i="3"/>
  <c r="E754" i="3"/>
  <c r="F643" i="3"/>
  <c r="D395" i="3"/>
  <c r="G36" i="3"/>
  <c r="F59" i="3"/>
  <c r="G121" i="3"/>
  <c r="E898" i="3"/>
  <c r="E593" i="3"/>
  <c r="D440" i="3"/>
  <c r="D174" i="3"/>
  <c r="D724" i="3"/>
  <c r="F507" i="3"/>
  <c r="F365" i="3"/>
  <c r="E40" i="3"/>
  <c r="D625" i="3"/>
  <c r="G252" i="3"/>
  <c r="E181" i="3"/>
  <c r="G1078" i="3"/>
  <c r="G657" i="3"/>
  <c r="E411" i="3"/>
  <c r="D390" i="3"/>
  <c r="F1084" i="3"/>
  <c r="G672" i="3"/>
  <c r="F879" i="3"/>
  <c r="E60" i="3"/>
  <c r="D423" i="3"/>
  <c r="D777" i="3"/>
  <c r="G879" i="3"/>
  <c r="E902" i="3"/>
  <c r="E101" i="3"/>
  <c r="G409" i="3"/>
  <c r="F684" i="3"/>
  <c r="E939" i="3"/>
  <c r="E398" i="3"/>
  <c r="E629" i="3"/>
  <c r="E960" i="3"/>
  <c r="D1043" i="3"/>
  <c r="D366" i="3"/>
  <c r="G344" i="3"/>
  <c r="F754" i="3"/>
  <c r="D728" i="3"/>
  <c r="G410" i="3"/>
  <c r="D957" i="3"/>
  <c r="G956" i="3"/>
  <c r="E133" i="3"/>
  <c r="F386" i="3"/>
  <c r="D245" i="3"/>
  <c r="G980" i="3"/>
  <c r="D682" i="3"/>
  <c r="G370" i="3"/>
  <c r="F324" i="3"/>
  <c r="F74" i="3"/>
  <c r="F951" i="3"/>
  <c r="G473" i="3"/>
  <c r="G495" i="3"/>
  <c r="E45" i="3"/>
  <c r="F181" i="3"/>
  <c r="E425" i="3"/>
  <c r="D447" i="3"/>
  <c r="D61" i="3"/>
  <c r="E855" i="3"/>
  <c r="G450" i="3"/>
  <c r="E340" i="3"/>
  <c r="D341" i="3"/>
  <c r="F726" i="3"/>
  <c r="E1040" i="3"/>
  <c r="F1091" i="3"/>
  <c r="G309" i="3"/>
  <c r="F419" i="3"/>
  <c r="E677" i="3"/>
  <c r="G785" i="3"/>
  <c r="F34" i="3"/>
  <c r="G353" i="3"/>
  <c r="D973" i="3"/>
  <c r="G972" i="3"/>
  <c r="E276" i="3"/>
  <c r="E546" i="3"/>
  <c r="G941" i="3"/>
  <c r="F940" i="3"/>
  <c r="E1045" i="3"/>
  <c r="G391" i="3"/>
  <c r="D635" i="3"/>
  <c r="E782" i="3"/>
  <c r="G1032" i="3"/>
  <c r="E556" i="3"/>
  <c r="F990" i="3"/>
  <c r="E937" i="3"/>
  <c r="F41" i="3"/>
  <c r="D868" i="3"/>
  <c r="F671" i="3"/>
  <c r="D322" i="3"/>
  <c r="G254" i="3"/>
  <c r="E852" i="3"/>
  <c r="F400" i="3"/>
  <c r="D472" i="3"/>
  <c r="G115" i="3"/>
  <c r="D930" i="3"/>
  <c r="D518" i="3"/>
  <c r="E493" i="3"/>
  <c r="E104" i="3"/>
  <c r="E865" i="3"/>
  <c r="D571" i="3"/>
  <c r="G250" i="3"/>
  <c r="G222" i="3"/>
  <c r="E820" i="3"/>
  <c r="E814" i="3"/>
  <c r="F1034" i="3"/>
  <c r="E184" i="3"/>
  <c r="E432" i="3"/>
  <c r="E1011" i="3"/>
  <c r="D1002" i="3"/>
  <c r="F1030" i="3"/>
  <c r="G178" i="3"/>
  <c r="F433" i="3"/>
  <c r="F793" i="3"/>
  <c r="D838" i="3"/>
  <c r="D389" i="3"/>
  <c r="F774" i="3"/>
  <c r="E1086" i="3"/>
  <c r="D32" i="3"/>
  <c r="G357" i="3"/>
  <c r="F467" i="3"/>
  <c r="E725" i="3"/>
  <c r="G843" i="3"/>
  <c r="E33" i="3"/>
  <c r="F266" i="3"/>
  <c r="G864" i="3"/>
  <c r="G1082" i="3"/>
  <c r="G395" i="3"/>
  <c r="G204" i="3"/>
  <c r="G507" i="3"/>
  <c r="D349" i="3"/>
  <c r="F339" i="3"/>
  <c r="G1060" i="3"/>
  <c r="G666" i="3"/>
  <c r="G461" i="3"/>
  <c r="E206" i="3"/>
  <c r="G868" i="3"/>
  <c r="D662" i="3"/>
  <c r="D319" i="3"/>
  <c r="G231" i="3"/>
  <c r="G211" i="3"/>
  <c r="D614" i="3"/>
  <c r="D329" i="3"/>
  <c r="F307" i="3"/>
  <c r="G1028" i="3"/>
  <c r="D767" i="3"/>
  <c r="D470" i="3"/>
  <c r="F182" i="3"/>
  <c r="E437" i="3"/>
  <c r="D867" i="3"/>
  <c r="G858" i="3"/>
  <c r="E150" i="3"/>
  <c r="F719" i="3"/>
  <c r="G181" i="3"/>
  <c r="E585" i="3"/>
  <c r="G251" i="3"/>
  <c r="E1013" i="3"/>
  <c r="E647" i="3"/>
  <c r="F679" i="3"/>
  <c r="G567" i="3"/>
  <c r="E205" i="3"/>
  <c r="D892" i="3"/>
  <c r="E893" i="3"/>
  <c r="D599" i="3"/>
  <c r="F1070" i="3"/>
  <c r="F673" i="3"/>
  <c r="D695" i="3"/>
  <c r="F314" i="3"/>
  <c r="G1055" i="3"/>
  <c r="F988" i="3"/>
  <c r="G989" i="3"/>
  <c r="E594" i="3"/>
  <c r="D104" i="3"/>
  <c r="D452" i="3"/>
  <c r="E413" i="3"/>
  <c r="D124" i="3"/>
  <c r="D850" i="3"/>
  <c r="E436" i="3"/>
  <c r="F477" i="3"/>
  <c r="E1047" i="3"/>
  <c r="G625" i="3"/>
  <c r="G400" i="3"/>
  <c r="D374" i="3"/>
  <c r="F1064" i="3"/>
  <c r="D598" i="3"/>
  <c r="D352" i="3"/>
  <c r="F326" i="3"/>
  <c r="D1084" i="3"/>
  <c r="G685" i="3"/>
  <c r="F393" i="3"/>
  <c r="D371" i="3"/>
  <c r="F535" i="3"/>
  <c r="D752" i="3"/>
  <c r="G959" i="3"/>
  <c r="E130" i="3"/>
  <c r="E503" i="3"/>
  <c r="D497" i="3"/>
  <c r="G847" i="3"/>
  <c r="F886" i="3"/>
  <c r="D129" i="3"/>
  <c r="D409" i="3"/>
  <c r="G1039" i="3"/>
  <c r="F991" i="3"/>
  <c r="E64" i="3"/>
  <c r="E535" i="3"/>
  <c r="F752" i="3"/>
  <c r="E959" i="3"/>
  <c r="E1014" i="3"/>
  <c r="G162" i="3"/>
  <c r="F417" i="3"/>
  <c r="E796" i="3"/>
  <c r="D822" i="3"/>
  <c r="G316" i="3"/>
  <c r="E665" i="3"/>
  <c r="D107" i="3"/>
  <c r="D1042" i="3"/>
  <c r="E608" i="3"/>
  <c r="G218" i="3"/>
  <c r="G176" i="3"/>
  <c r="G1026" i="3"/>
  <c r="G88" i="3"/>
  <c r="F415" i="3"/>
  <c r="G45" i="3"/>
  <c r="E839" i="3"/>
  <c r="G434" i="3"/>
  <c r="G308" i="3"/>
  <c r="E25" i="3"/>
  <c r="F804" i="3"/>
  <c r="E450" i="3"/>
  <c r="G340" i="3"/>
  <c r="G63" i="3"/>
  <c r="E724" i="3"/>
  <c r="G1051" i="3"/>
  <c r="E55" i="3"/>
  <c r="D300" i="3"/>
  <c r="E790" i="3"/>
  <c r="E1065" i="3"/>
  <c r="D23" i="3"/>
  <c r="F126" i="3"/>
  <c r="F408" i="3"/>
  <c r="F757" i="3"/>
  <c r="D875" i="3"/>
  <c r="G502" i="3"/>
  <c r="D81" i="3"/>
  <c r="E999" i="3"/>
  <c r="E676" i="3"/>
  <c r="D685" i="3"/>
  <c r="F98" i="3"/>
  <c r="G161" i="3"/>
  <c r="G485" i="3"/>
  <c r="F601" i="3"/>
  <c r="G532" i="3"/>
  <c r="E837" i="3"/>
  <c r="E147" i="3"/>
  <c r="E529" i="3"/>
  <c r="D580" i="3"/>
  <c r="F134" i="3"/>
  <c r="F494" i="3"/>
  <c r="D819" i="3"/>
  <c r="G810" i="3"/>
  <c r="E116" i="3"/>
  <c r="G127" i="3"/>
  <c r="E497" i="3"/>
  <c r="F548" i="3"/>
  <c r="G982" i="3"/>
  <c r="E146" i="3"/>
  <c r="E403" i="3"/>
  <c r="D304" i="3"/>
  <c r="F342" i="3"/>
  <c r="E1037" i="3"/>
  <c r="E807" i="3"/>
  <c r="G466" i="3"/>
  <c r="D356" i="3"/>
  <c r="G807" i="3"/>
  <c r="D475" i="3"/>
  <c r="E636" i="3"/>
  <c r="F789" i="3"/>
  <c r="F783" i="3"/>
  <c r="G1070" i="3"/>
  <c r="F265" i="3"/>
  <c r="D514" i="3"/>
  <c r="D771" i="3"/>
  <c r="F888" i="3"/>
  <c r="E540" i="3"/>
  <c r="F974" i="3"/>
  <c r="E921" i="3"/>
  <c r="F192" i="3"/>
  <c r="E605" i="3"/>
  <c r="D611" i="3"/>
  <c r="F755" i="3"/>
  <c r="D856" i="3"/>
  <c r="F210" i="3"/>
  <c r="D552" i="3"/>
  <c r="F586" i="3"/>
  <c r="D68" i="3"/>
  <c r="F1044" i="3"/>
  <c r="F778" i="3"/>
  <c r="G361" i="3"/>
  <c r="D262" i="3"/>
  <c r="E1090" i="3"/>
  <c r="E603" i="3"/>
  <c r="D461" i="3"/>
  <c r="E469" i="3"/>
  <c r="E145" i="3"/>
  <c r="F554" i="3"/>
  <c r="E617" i="3"/>
  <c r="E283" i="3"/>
  <c r="D824" i="3"/>
  <c r="F723" i="3"/>
  <c r="D579" i="3"/>
  <c r="E573" i="3"/>
  <c r="D232" i="3"/>
  <c r="E889" i="3"/>
  <c r="F942" i="3"/>
  <c r="F605" i="3"/>
  <c r="G1048" i="3"/>
  <c r="E760" i="3"/>
  <c r="E748" i="3"/>
  <c r="D531" i="3"/>
  <c r="E129" i="3"/>
  <c r="D855" i="3"/>
  <c r="F834" i="3"/>
  <c r="G837" i="3"/>
  <c r="G623" i="3"/>
  <c r="D585" i="3"/>
  <c r="D249" i="3"/>
  <c r="G1023" i="3"/>
  <c r="G1001" i="3"/>
  <c r="G1054" i="3"/>
  <c r="G620" i="3"/>
  <c r="E214" i="3"/>
  <c r="G812" i="3"/>
  <c r="D813" i="3"/>
  <c r="G281" i="3"/>
  <c r="E1070" i="3"/>
  <c r="F750" i="3"/>
  <c r="F638" i="3"/>
  <c r="E330" i="3"/>
  <c r="F237" i="3"/>
  <c r="E908" i="3"/>
  <c r="F909" i="3"/>
  <c r="D227" i="3"/>
  <c r="G951" i="3"/>
  <c r="D505" i="3"/>
  <c r="F502" i="3"/>
  <c r="G122" i="3"/>
  <c r="D935" i="3"/>
  <c r="D211" i="3"/>
  <c r="F310" i="3"/>
  <c r="D1064" i="3"/>
  <c r="G669" i="3"/>
  <c r="F377" i="3"/>
  <c r="D355" i="3"/>
  <c r="D170" i="3"/>
  <c r="D778" i="3"/>
  <c r="D393" i="3"/>
  <c r="F371" i="3"/>
  <c r="F1090" i="3"/>
  <c r="G698" i="3"/>
  <c r="G429" i="3"/>
  <c r="E105" i="3"/>
  <c r="F478" i="3"/>
  <c r="D801" i="3"/>
  <c r="F787" i="3"/>
  <c r="F100" i="3"/>
  <c r="D180" i="3"/>
  <c r="E481" i="3"/>
  <c r="E528" i="3"/>
  <c r="G966" i="3"/>
  <c r="F129" i="3"/>
  <c r="D665" i="3"/>
  <c r="E1051" i="3"/>
  <c r="F55" i="3"/>
  <c r="D274" i="3"/>
  <c r="G790" i="3"/>
  <c r="G732" i="3"/>
  <c r="F987" i="3"/>
  <c r="G71" i="3"/>
  <c r="E408" i="3"/>
  <c r="G677" i="3"/>
  <c r="F785" i="3"/>
  <c r="E318" i="3"/>
  <c r="G699" i="3"/>
  <c r="E95" i="3"/>
  <c r="E799" i="3"/>
  <c r="D630" i="3"/>
  <c r="E383" i="3"/>
  <c r="F188" i="3"/>
  <c r="F1009" i="3"/>
  <c r="E329" i="3"/>
  <c r="E525" i="3"/>
  <c r="E121" i="3"/>
  <c r="D866" i="3"/>
  <c r="E452" i="3"/>
  <c r="F413" i="3"/>
  <c r="E204" i="3"/>
  <c r="F818" i="3"/>
  <c r="G468" i="3"/>
  <c r="F445" i="3"/>
  <c r="G81" i="3"/>
  <c r="D967" i="3"/>
  <c r="G896" i="3"/>
  <c r="E1057" i="3"/>
  <c r="F302" i="3"/>
  <c r="D667" i="3"/>
  <c r="F864" i="3"/>
  <c r="F1082" i="3"/>
  <c r="E35" i="3"/>
  <c r="D410" i="3"/>
  <c r="F653" i="3"/>
  <c r="F769" i="3"/>
  <c r="F1035" i="3"/>
  <c r="F636" i="3"/>
  <c r="G789" i="3"/>
  <c r="E783" i="3"/>
  <c r="G287" i="3"/>
  <c r="D604" i="3"/>
  <c r="G606" i="3"/>
  <c r="E718" i="3"/>
  <c r="D952" i="3"/>
  <c r="E233" i="3"/>
  <c r="G648" i="3"/>
  <c r="F659" i="3"/>
  <c r="G135" i="3"/>
  <c r="D464" i="3"/>
  <c r="G68" i="3"/>
  <c r="E313" i="3"/>
  <c r="G292" i="3"/>
  <c r="D1044" i="3"/>
  <c r="D746" i="3"/>
  <c r="F297" i="3"/>
  <c r="F388" i="3"/>
  <c r="G62" i="3"/>
  <c r="F1015" i="3"/>
  <c r="E537" i="3"/>
  <c r="E438" i="3"/>
  <c r="D99" i="3"/>
  <c r="E107" i="3"/>
  <c r="E520" i="3"/>
  <c r="G488" i="3"/>
  <c r="E137" i="3"/>
  <c r="D946" i="3"/>
  <c r="F571" i="3"/>
  <c r="F290" i="3"/>
  <c r="E223" i="3"/>
  <c r="F540" i="3"/>
  <c r="G958" i="3"/>
  <c r="F905" i="3"/>
  <c r="D192" i="3"/>
  <c r="G249" i="3"/>
  <c r="D476" i="3"/>
  <c r="D660" i="3"/>
  <c r="F821" i="3"/>
  <c r="G189" i="3"/>
  <c r="G649" i="3"/>
  <c r="D1074" i="3"/>
  <c r="G91" i="3"/>
  <c r="D407" i="3"/>
  <c r="G761" i="3"/>
  <c r="F847" i="3"/>
  <c r="E886" i="3"/>
  <c r="E85" i="3"/>
  <c r="E531" i="3"/>
  <c r="F668" i="3"/>
  <c r="E923" i="3"/>
  <c r="D309" i="3"/>
  <c r="F694" i="3"/>
  <c r="E1008" i="3"/>
  <c r="F204" i="3"/>
  <c r="E1064" i="3"/>
  <c r="D701" i="3"/>
  <c r="F384" i="3"/>
  <c r="D358" i="3"/>
  <c r="D1027" i="3"/>
  <c r="F698" i="3"/>
  <c r="D313" i="3"/>
  <c r="E292" i="3"/>
  <c r="F1012" i="3"/>
  <c r="D751" i="3"/>
  <c r="D454" i="3"/>
  <c r="D52" i="3"/>
  <c r="D964" i="3"/>
  <c r="D733" i="3"/>
  <c r="F352" i="3"/>
  <c r="D326" i="3"/>
  <c r="D1085" i="3"/>
  <c r="G736" i="3"/>
  <c r="F943" i="3"/>
  <c r="D130" i="3"/>
  <c r="D487" i="3"/>
  <c r="F704" i="3"/>
  <c r="E90" i="3"/>
  <c r="D640" i="3"/>
  <c r="E435" i="3"/>
  <c r="E70" i="3"/>
  <c r="G1003" i="3"/>
  <c r="D559" i="3"/>
  <c r="G508" i="3"/>
  <c r="D510" i="3"/>
  <c r="D150" i="3"/>
  <c r="F874" i="3"/>
  <c r="G883" i="3"/>
  <c r="D437" i="3"/>
  <c r="G1062" i="3"/>
  <c r="F575" i="3"/>
  <c r="D534" i="3"/>
  <c r="G196" i="3"/>
  <c r="D981" i="3"/>
  <c r="D970" i="3"/>
  <c r="E979" i="3"/>
  <c r="E533" i="3"/>
  <c r="G187" i="3"/>
  <c r="F646" i="3"/>
  <c r="F367" i="3"/>
  <c r="D238" i="3"/>
  <c r="F868" i="3"/>
  <c r="G630" i="3"/>
  <c r="E511" i="3"/>
  <c r="G142" i="3"/>
  <c r="E914" i="3"/>
  <c r="E545" i="3"/>
  <c r="E509" i="3"/>
  <c r="E76" i="3"/>
  <c r="D72" i="3"/>
  <c r="D484" i="3"/>
  <c r="F461" i="3"/>
  <c r="G92" i="3"/>
  <c r="D818" i="3"/>
  <c r="G537" i="3"/>
  <c r="G454" i="3"/>
  <c r="E278" i="3"/>
  <c r="G667" i="3"/>
  <c r="E848" i="3"/>
  <c r="D1031" i="3"/>
  <c r="E379" i="3"/>
  <c r="D353" i="3"/>
  <c r="G775" i="3"/>
  <c r="E753" i="3"/>
  <c r="F1071" i="3"/>
  <c r="D298" i="3"/>
  <c r="F1054" i="3"/>
  <c r="D1001" i="3"/>
  <c r="D287" i="3"/>
  <c r="G588" i="3"/>
  <c r="G1022" i="3"/>
  <c r="G969" i="3"/>
  <c r="D1032" i="3"/>
  <c r="D217" i="3"/>
  <c r="F579" i="3"/>
  <c r="D723" i="3"/>
  <c r="F840" i="3"/>
  <c r="G448" i="3"/>
  <c r="E795" i="3"/>
  <c r="F42" i="3"/>
  <c r="D772" i="3"/>
  <c r="E418" i="3"/>
  <c r="D388" i="3"/>
  <c r="G30" i="3"/>
  <c r="E756" i="3"/>
  <c r="D236" i="3"/>
  <c r="F261" i="3"/>
  <c r="G996" i="3"/>
  <c r="E767" i="3"/>
  <c r="G322" i="3"/>
  <c r="F254" i="3"/>
  <c r="E155" i="3"/>
  <c r="G719" i="3"/>
  <c r="E338" i="3"/>
  <c r="G197" i="3"/>
  <c r="F900" i="3"/>
  <c r="G662" i="3"/>
  <c r="E479" i="3"/>
  <c r="D168" i="3"/>
  <c r="D432" i="3"/>
  <c r="D995" i="3"/>
  <c r="G986" i="3"/>
  <c r="G136" i="3"/>
  <c r="E235" i="3"/>
  <c r="G553" i="3"/>
  <c r="E591" i="3"/>
  <c r="F885" i="3"/>
  <c r="G180" i="3"/>
  <c r="G720" i="3"/>
  <c r="F927" i="3"/>
  <c r="D114" i="3"/>
  <c r="D471" i="3"/>
  <c r="F688" i="3"/>
  <c r="E895" i="3"/>
  <c r="E950" i="3"/>
  <c r="F112" i="3"/>
  <c r="G458" i="3"/>
  <c r="F732" i="3"/>
  <c r="E987" i="3"/>
  <c r="D373" i="3"/>
  <c r="F758" i="3"/>
  <c r="F133" i="3"/>
  <c r="E86" i="3"/>
  <c r="D122" i="3"/>
  <c r="F999" i="3"/>
  <c r="F708" i="3"/>
  <c r="D427" i="3"/>
  <c r="F333" i="3"/>
  <c r="D884" i="3"/>
  <c r="F687" i="3"/>
  <c r="D399" i="3"/>
  <c r="G206" i="3"/>
  <c r="D799" i="3"/>
  <c r="D402" i="3"/>
  <c r="E345" i="3"/>
  <c r="G323" i="3"/>
  <c r="G1063" i="3"/>
  <c r="D714" i="3"/>
  <c r="E400" i="3"/>
  <c r="G374" i="3"/>
  <c r="G407" i="3"/>
  <c r="E761" i="3"/>
  <c r="D1061" i="3"/>
  <c r="F53" i="3"/>
  <c r="F380" i="3"/>
  <c r="E474" i="3"/>
  <c r="F770" i="3"/>
  <c r="D744" i="3"/>
  <c r="G35" i="3"/>
  <c r="F288" i="3"/>
  <c r="D909" i="3"/>
  <c r="G908" i="3"/>
  <c r="D237" i="3"/>
  <c r="F583" i="3"/>
  <c r="G877" i="3"/>
  <c r="F876" i="3"/>
  <c r="E1092" i="3"/>
  <c r="G327" i="3"/>
  <c r="E606" i="3"/>
  <c r="G718" i="3"/>
  <c r="F968" i="3"/>
  <c r="F589" i="3"/>
  <c r="F926" i="3"/>
  <c r="E873" i="3"/>
  <c r="G172" i="3"/>
  <c r="F914" i="3"/>
  <c r="F577" i="3"/>
  <c r="G526" i="3"/>
  <c r="D115" i="3"/>
  <c r="G898" i="3"/>
  <c r="E234" i="3"/>
  <c r="F454" i="3"/>
  <c r="F122" i="3"/>
  <c r="E967" i="3"/>
  <c r="F457" i="3"/>
  <c r="G479" i="3"/>
  <c r="F259" i="3"/>
  <c r="G919" i="3"/>
  <c r="F609" i="3"/>
  <c r="G472" i="3"/>
  <c r="E158" i="3"/>
  <c r="G866" i="3"/>
  <c r="D989" i="3"/>
  <c r="G988" i="3"/>
  <c r="G299" i="3"/>
  <c r="E562" i="3"/>
  <c r="G957" i="3"/>
  <c r="F956" i="3"/>
  <c r="D608" i="3"/>
  <c r="F104" i="3"/>
  <c r="D251" i="3"/>
  <c r="E872" i="3"/>
  <c r="G675" i="3"/>
  <c r="G663" i="3"/>
  <c r="E378" i="3"/>
  <c r="E541" i="3"/>
  <c r="D200" i="3"/>
  <c r="E857" i="3"/>
  <c r="F910" i="3"/>
  <c r="F573" i="3"/>
  <c r="F824" i="3"/>
  <c r="D707" i="3"/>
  <c r="F563" i="3"/>
  <c r="D201" i="3"/>
  <c r="G1016" i="3"/>
  <c r="G953" i="3"/>
  <c r="D1006" i="3"/>
  <c r="G572" i="3"/>
  <c r="D139" i="3"/>
  <c r="F434" i="3"/>
  <c r="E324" i="3"/>
  <c r="G29" i="3"/>
  <c r="E823" i="3"/>
  <c r="G418" i="3"/>
  <c r="G372" i="3"/>
  <c r="D1012" i="3"/>
  <c r="E682" i="3"/>
  <c r="E402" i="3"/>
  <c r="G261" i="3"/>
  <c r="E932" i="3"/>
  <c r="D523" i="3"/>
  <c r="F354" i="3"/>
  <c r="D213" i="3"/>
  <c r="G948" i="3"/>
  <c r="E719" i="3"/>
  <c r="E399" i="3"/>
  <c r="F206" i="3"/>
  <c r="G416" i="3"/>
  <c r="G995" i="3"/>
  <c r="F986" i="3"/>
  <c r="D109" i="3"/>
  <c r="G517" i="3"/>
  <c r="G536" i="3"/>
  <c r="G570" i="3"/>
  <c r="E869" i="3"/>
  <c r="E179" i="3"/>
  <c r="F428" i="3"/>
  <c r="D612" i="3"/>
  <c r="E98" i="3"/>
  <c r="G471" i="3"/>
  <c r="E672" i="3"/>
  <c r="D879" i="3"/>
  <c r="D60" i="3"/>
  <c r="F178" i="3"/>
  <c r="F442" i="3"/>
  <c r="G796" i="3"/>
  <c r="G822" i="3"/>
  <c r="G110" i="3"/>
  <c r="E742" i="3"/>
  <c r="E1039" i="3"/>
  <c r="G52" i="3"/>
  <c r="E555" i="3"/>
  <c r="G193" i="3"/>
  <c r="F224" i="3"/>
  <c r="G897" i="3"/>
  <c r="F538" i="3"/>
  <c r="E170" i="3"/>
  <c r="F374" i="3"/>
  <c r="G1083" i="3"/>
  <c r="G733" i="3"/>
  <c r="E320" i="3"/>
  <c r="G294" i="3"/>
  <c r="E120" i="3"/>
  <c r="E685" i="3"/>
  <c r="G336" i="3"/>
  <c r="E310" i="3"/>
  <c r="D1072" i="3"/>
  <c r="G762" i="3"/>
  <c r="G493" i="3"/>
  <c r="G64" i="3"/>
  <c r="F414" i="3"/>
  <c r="E752" i="3"/>
  <c r="D959" i="3"/>
  <c r="G73" i="3"/>
  <c r="F189" i="3"/>
  <c r="E417" i="3"/>
  <c r="G863" i="3"/>
  <c r="G902" i="3"/>
  <c r="F80" i="3"/>
  <c r="E758" i="3"/>
  <c r="D1086" i="3"/>
  <c r="G32" i="3"/>
  <c r="F341" i="3"/>
  <c r="D726" i="3"/>
  <c r="G668" i="3"/>
  <c r="F923" i="3"/>
  <c r="E344" i="3"/>
  <c r="D770" i="3"/>
  <c r="F744" i="3"/>
  <c r="F379" i="3"/>
  <c r="F658" i="3"/>
  <c r="E72" i="3"/>
  <c r="D259" i="3"/>
  <c r="F185" i="3"/>
  <c r="F1026" i="3"/>
  <c r="G624" i="3"/>
  <c r="E548" i="3"/>
  <c r="F160" i="3"/>
  <c r="G839" i="3"/>
  <c r="E498" i="3"/>
  <c r="D404" i="3"/>
  <c r="G46" i="3"/>
  <c r="E772" i="3"/>
  <c r="E54" i="3"/>
  <c r="G41" i="3"/>
  <c r="E81" i="3"/>
  <c r="G803" i="3"/>
  <c r="F420" i="3"/>
  <c r="F581" i="3"/>
  <c r="G137" i="3"/>
  <c r="D583" i="3"/>
  <c r="E877" i="3"/>
  <c r="D876" i="3"/>
  <c r="D190" i="3"/>
  <c r="G551" i="3"/>
  <c r="F663" i="3"/>
  <c r="F675" i="3"/>
  <c r="E997" i="3"/>
  <c r="G235" i="3"/>
  <c r="E569" i="3"/>
  <c r="G607" i="3"/>
  <c r="D116" i="3"/>
  <c r="F462" i="3"/>
  <c r="E800" i="3"/>
  <c r="D1007" i="3"/>
  <c r="F84" i="3"/>
  <c r="D164" i="3"/>
  <c r="E465" i="3"/>
  <c r="G613" i="3"/>
  <c r="G950" i="3"/>
  <c r="G128" i="3"/>
  <c r="D713" i="3"/>
  <c r="E1080" i="3"/>
  <c r="D21" i="3"/>
  <c r="G133" i="3"/>
  <c r="F682" i="3"/>
  <c r="D297" i="3"/>
  <c r="G273" i="3"/>
  <c r="E240" i="3"/>
  <c r="F881" i="3"/>
  <c r="F450" i="3"/>
  <c r="F565" i="3"/>
  <c r="E185" i="3"/>
  <c r="D994" i="3"/>
  <c r="D593" i="3"/>
  <c r="G440" i="3"/>
  <c r="G140" i="3"/>
  <c r="F946" i="3"/>
  <c r="G524" i="3"/>
  <c r="F241" i="3"/>
  <c r="E208" i="3"/>
  <c r="F849" i="3"/>
  <c r="E1006" i="3"/>
  <c r="D953" i="3"/>
  <c r="F239" i="3"/>
  <c r="G540" i="3"/>
  <c r="D974" i="3"/>
  <c r="G1072" i="3"/>
  <c r="G1041" i="3"/>
  <c r="D854" i="3"/>
  <c r="E815" i="3"/>
  <c r="F449" i="3"/>
  <c r="G244" i="3"/>
  <c r="G808" i="3"/>
  <c r="E1018" i="3"/>
  <c r="D795" i="3"/>
  <c r="E448" i="3"/>
  <c r="D135" i="3"/>
  <c r="F1050" i="3"/>
  <c r="E830" i="3"/>
  <c r="D203" i="3"/>
  <c r="E824" i="3"/>
  <c r="F650" i="3"/>
  <c r="F616" i="3"/>
  <c r="G217" i="3"/>
  <c r="E232" i="3"/>
  <c r="F873" i="3"/>
  <c r="G926" i="3"/>
  <c r="E57" i="3"/>
  <c r="D708" i="3"/>
  <c r="F491" i="3"/>
  <c r="E308" i="3"/>
  <c r="D31" i="3"/>
  <c r="E692" i="3"/>
  <c r="E42" i="3"/>
  <c r="D197" i="3"/>
  <c r="G932" i="3"/>
  <c r="E703" i="3"/>
  <c r="D383" i="3"/>
  <c r="D188" i="3"/>
  <c r="D220" i="3"/>
  <c r="G651" i="3"/>
  <c r="F399" i="3"/>
  <c r="D206" i="3"/>
  <c r="F836" i="3"/>
  <c r="E598" i="3"/>
  <c r="E415" i="3"/>
  <c r="G167" i="3"/>
  <c r="D496" i="3"/>
  <c r="G830" i="3"/>
  <c r="E1050" i="3"/>
  <c r="F135" i="3"/>
  <c r="D194" i="3"/>
  <c r="G617" i="3"/>
  <c r="D554" i="3"/>
  <c r="F949" i="3"/>
  <c r="F179" i="3"/>
  <c r="D784" i="3"/>
  <c r="F878" i="3"/>
  <c r="E825" i="3"/>
  <c r="E167" i="3"/>
  <c r="F496" i="3"/>
  <c r="F648" i="3"/>
  <c r="E659" i="3"/>
  <c r="E981" i="3"/>
  <c r="G219" i="3"/>
  <c r="E553" i="3"/>
  <c r="G591" i="3"/>
  <c r="F150" i="3"/>
  <c r="E243" i="3"/>
  <c r="D77" i="3"/>
  <c r="G99" i="3"/>
  <c r="F935" i="3"/>
  <c r="E521" i="3"/>
  <c r="F422" i="3"/>
  <c r="E106" i="3"/>
  <c r="E669" i="3"/>
  <c r="G320" i="3"/>
  <c r="E294" i="3"/>
  <c r="E1085" i="3"/>
  <c r="G746" i="3"/>
  <c r="G477" i="3"/>
  <c r="F236" i="3"/>
  <c r="D1090" i="3"/>
  <c r="E762" i="3"/>
  <c r="G345" i="3"/>
  <c r="E323" i="3"/>
  <c r="E1012" i="3"/>
  <c r="F851" i="3"/>
  <c r="E842" i="3"/>
  <c r="G134" i="3"/>
  <c r="G478" i="3"/>
  <c r="E819" i="3"/>
  <c r="D810" i="3"/>
  <c r="D821" i="3"/>
  <c r="F173" i="3"/>
  <c r="F497" i="3"/>
  <c r="F475" i="3"/>
  <c r="D317" i="3"/>
  <c r="F260" i="3"/>
  <c r="E964" i="3"/>
  <c r="F304" i="3"/>
  <c r="E1054" i="3"/>
  <c r="F1001" i="3"/>
  <c r="E287" i="3"/>
  <c r="F327" i="3"/>
  <c r="E611" i="3"/>
  <c r="G755" i="3"/>
  <c r="E952" i="3"/>
  <c r="G226" i="3"/>
  <c r="E958" i="3"/>
  <c r="D905" i="3"/>
  <c r="E192" i="3"/>
  <c r="D589" i="3"/>
  <c r="D926" i="3"/>
  <c r="G873" i="3"/>
  <c r="G936" i="3"/>
  <c r="E194" i="3"/>
  <c r="G616" i="3"/>
  <c r="E650" i="3"/>
  <c r="G965" i="3"/>
  <c r="G195" i="3"/>
  <c r="F630" i="3"/>
  <c r="E286" i="3"/>
  <c r="F387" i="3"/>
  <c r="D1041" i="3"/>
  <c r="E778" i="3"/>
  <c r="G509" i="3"/>
  <c r="E333" i="3"/>
  <c r="F317" i="3"/>
  <c r="G334" i="3"/>
  <c r="E715" i="3"/>
  <c r="E655" i="3"/>
  <c r="D792" i="3"/>
  <c r="G28" i="3"/>
  <c r="F321" i="3"/>
  <c r="E759" i="3"/>
  <c r="G737" i="3"/>
  <c r="F363" i="3"/>
  <c r="F642" i="3"/>
  <c r="D791" i="3"/>
  <c r="E1020" i="3"/>
  <c r="E331" i="3"/>
  <c r="D305" i="3"/>
  <c r="G727" i="3"/>
  <c r="E705" i="3"/>
  <c r="F1068" i="3"/>
  <c r="E375" i="3"/>
  <c r="F155" i="3"/>
  <c r="E257" i="3"/>
  <c r="F215" i="3"/>
  <c r="D993" i="3"/>
  <c r="F566" i="3"/>
  <c r="D284" i="3"/>
  <c r="G199" i="3"/>
  <c r="G339" i="3"/>
  <c r="E63" i="3"/>
  <c r="E729" i="3"/>
  <c r="G380" i="3"/>
  <c r="D886" i="3"/>
  <c r="E847" i="3"/>
  <c r="F481" i="3"/>
  <c r="F157" i="3"/>
  <c r="D805" i="3"/>
  <c r="D787" i="3"/>
  <c r="F801" i="3"/>
  <c r="G462" i="3"/>
  <c r="G105" i="3"/>
  <c r="E826" i="3"/>
  <c r="F835" i="3"/>
  <c r="F249" i="3"/>
  <c r="E1048" i="3"/>
  <c r="D680" i="3"/>
  <c r="F706" i="3"/>
  <c r="G296" i="3"/>
  <c r="F1067" i="3"/>
  <c r="E165" i="3"/>
  <c r="F70" i="3"/>
  <c r="G854" i="3"/>
  <c r="D815" i="3"/>
  <c r="D492" i="3"/>
  <c r="G186" i="3"/>
  <c r="D161" i="3"/>
  <c r="G938" i="3"/>
  <c r="D947" i="3"/>
  <c r="F517" i="3"/>
  <c r="E109" i="3"/>
  <c r="G575" i="3"/>
  <c r="F534" i="3"/>
  <c r="G203" i="3"/>
  <c r="E965" i="3"/>
  <c r="E627" i="3"/>
  <c r="F632" i="3"/>
  <c r="F480" i="3"/>
  <c r="E151" i="3"/>
  <c r="F207" i="3"/>
  <c r="G139" i="3"/>
  <c r="D1083" i="3"/>
  <c r="D765" i="3"/>
  <c r="E443" i="3"/>
  <c r="F280" i="3"/>
  <c r="E1067" i="3"/>
  <c r="F662" i="3"/>
  <c r="F383" i="3"/>
  <c r="E188" i="3"/>
  <c r="F820" i="3"/>
  <c r="E582" i="3"/>
  <c r="G404" i="3"/>
  <c r="D86" i="3"/>
  <c r="E993" i="3"/>
  <c r="G598" i="3"/>
  <c r="F284" i="3"/>
  <c r="D199" i="3"/>
  <c r="F913" i="3"/>
  <c r="E942" i="3"/>
  <c r="D889" i="3"/>
  <c r="G248" i="3"/>
  <c r="D573" i="3"/>
  <c r="D910" i="3"/>
  <c r="G857" i="3"/>
  <c r="G920" i="3"/>
  <c r="D283" i="3"/>
  <c r="G600" i="3"/>
  <c r="E634" i="3"/>
  <c r="G949" i="3"/>
  <c r="E510" i="3"/>
  <c r="G851" i="3"/>
  <c r="F842" i="3"/>
  <c r="D105" i="3"/>
  <c r="D478" i="3"/>
  <c r="G476" i="3"/>
  <c r="F660" i="3"/>
  <c r="F998" i="3"/>
  <c r="G173" i="3"/>
  <c r="G417" i="3"/>
  <c r="G1079" i="3"/>
  <c r="D69" i="3"/>
  <c r="E171" i="3"/>
  <c r="F52" i="3"/>
  <c r="E115" i="3"/>
  <c r="E962" i="3"/>
  <c r="D560" i="3"/>
  <c r="E526" i="3"/>
  <c r="G169" i="3"/>
  <c r="F788" i="3"/>
  <c r="E434" i="3"/>
  <c r="D324" i="3"/>
  <c r="D47" i="3"/>
  <c r="E708" i="3"/>
  <c r="G117" i="3"/>
  <c r="G107" i="3"/>
  <c r="G56" i="3"/>
  <c r="G724" i="3"/>
  <c r="E475" i="3"/>
  <c r="G317" i="3"/>
  <c r="D1047" i="3"/>
  <c r="D745" i="3"/>
  <c r="G1061" i="3"/>
  <c r="D53" i="3"/>
  <c r="E364" i="3"/>
  <c r="G713" i="3"/>
  <c r="E793" i="3"/>
  <c r="E838" i="3"/>
  <c r="D110" i="3"/>
  <c r="D483" i="3"/>
  <c r="G757" i="3"/>
  <c r="E875" i="3"/>
  <c r="E334" i="3"/>
  <c r="G715" i="3"/>
  <c r="E896" i="3"/>
  <c r="D1057" i="3"/>
  <c r="D302" i="3"/>
  <c r="E266" i="3"/>
  <c r="F690" i="3"/>
  <c r="D664" i="3"/>
  <c r="G1096" i="3"/>
  <c r="D346" i="3"/>
  <c r="D893" i="3"/>
  <c r="G892" i="3"/>
  <c r="D221" i="3"/>
  <c r="G243" i="3"/>
  <c r="E619" i="3"/>
  <c r="D257" i="3"/>
  <c r="E215" i="3"/>
  <c r="G961" i="3"/>
  <c r="F603" i="3"/>
  <c r="G102" i="3"/>
  <c r="E301" i="3"/>
  <c r="F24" i="3"/>
  <c r="F657" i="3"/>
  <c r="E384" i="3"/>
  <c r="G358" i="3"/>
  <c r="F93" i="3"/>
  <c r="G855" i="3"/>
  <c r="G403" i="3"/>
  <c r="D431" i="3"/>
  <c r="E108" i="3"/>
  <c r="F803" i="3"/>
  <c r="G832" i="3"/>
  <c r="D1052" i="3"/>
  <c r="G363" i="3"/>
  <c r="E626" i="3"/>
  <c r="F791" i="3"/>
  <c r="G1020" i="3"/>
  <c r="D1048" i="3"/>
  <c r="D233" i="3"/>
  <c r="F595" i="3"/>
  <c r="D739" i="3"/>
  <c r="F856" i="3"/>
  <c r="D533" i="3"/>
  <c r="G979" i="3"/>
  <c r="F970" i="3"/>
  <c r="G177" i="3"/>
  <c r="G501" i="3"/>
  <c r="F617" i="3"/>
  <c r="G554" i="3"/>
  <c r="E853" i="3"/>
  <c r="E163" i="3"/>
  <c r="F412" i="3"/>
  <c r="D596" i="3"/>
  <c r="D73" i="3"/>
  <c r="D519" i="3"/>
  <c r="F25" i="3"/>
  <c r="G383" i="3"/>
  <c r="G188" i="3"/>
  <c r="G852" i="3"/>
  <c r="E687" i="3"/>
  <c r="D367" i="3"/>
  <c r="F238" i="3"/>
  <c r="E913" i="3"/>
  <c r="D619" i="3"/>
  <c r="F225" i="3"/>
  <c r="G191" i="3"/>
  <c r="F833" i="3"/>
  <c r="D57" i="3"/>
  <c r="E250" i="3"/>
  <c r="E222" i="3"/>
  <c r="G884" i="3"/>
  <c r="F651" i="3"/>
  <c r="D335" i="3"/>
  <c r="G247" i="3"/>
  <c r="G480" i="3"/>
  <c r="F830" i="3"/>
  <c r="D1050" i="3"/>
  <c r="G184" i="3"/>
  <c r="E527" i="3"/>
  <c r="D526" i="3"/>
  <c r="E755" i="3"/>
  <c r="E743" i="3"/>
  <c r="F305" i="3"/>
  <c r="G103" i="3"/>
  <c r="G779" i="3"/>
  <c r="G764" i="3"/>
  <c r="G665" i="3"/>
  <c r="E316" i="3"/>
  <c r="E38" i="3"/>
  <c r="E1059" i="3"/>
  <c r="D697" i="3"/>
  <c r="D94" i="3"/>
  <c r="G806" i="3"/>
  <c r="G780" i="3"/>
  <c r="F426" i="3"/>
  <c r="F162" i="3"/>
  <c r="E91" i="3"/>
  <c r="F1074" i="3"/>
  <c r="D649" i="3"/>
  <c r="D181" i="3"/>
  <c r="F978" i="3"/>
  <c r="E544" i="3"/>
  <c r="G548" i="3"/>
  <c r="G185" i="3"/>
  <c r="G962" i="3"/>
  <c r="G111" i="3"/>
  <c r="D340" i="3"/>
  <c r="D30" i="3"/>
  <c r="E788" i="3"/>
  <c r="D507" i="3"/>
  <c r="E349" i="3"/>
  <c r="D79" i="3"/>
  <c r="D740" i="3"/>
  <c r="F523" i="3"/>
  <c r="E381" i="3"/>
  <c r="D56" i="3"/>
  <c r="D657" i="3"/>
  <c r="E1029" i="3"/>
  <c r="G37" i="3"/>
  <c r="D364" i="3"/>
  <c r="F697" i="3"/>
  <c r="D1059" i="3"/>
  <c r="G38" i="3"/>
  <c r="G80" i="3"/>
  <c r="G467" i="3"/>
  <c r="E684" i="3"/>
  <c r="D939" i="3"/>
  <c r="F49" i="3"/>
  <c r="F699" i="3"/>
  <c r="D896" i="3"/>
  <c r="G1057" i="3"/>
  <c r="F278" i="3"/>
  <c r="E667" i="3"/>
  <c r="E770" i="3"/>
  <c r="G744" i="3"/>
  <c r="E1055" i="3"/>
  <c r="E410" i="3"/>
  <c r="E711" i="3"/>
  <c r="G689" i="3"/>
  <c r="G205" i="3"/>
  <c r="E567" i="3"/>
  <c r="E20" i="3"/>
  <c r="F1060" i="3"/>
  <c r="E730" i="3"/>
  <c r="G377" i="3"/>
  <c r="E355" i="3"/>
  <c r="E1044" i="3"/>
  <c r="G609" i="3"/>
  <c r="G209" i="3"/>
  <c r="G175" i="3"/>
  <c r="G849" i="3"/>
  <c r="D624" i="3"/>
  <c r="E564" i="3"/>
  <c r="E154" i="3"/>
  <c r="G797" i="3"/>
  <c r="F640" i="3"/>
  <c r="G291" i="3"/>
  <c r="G144" i="3"/>
  <c r="G994" i="3"/>
  <c r="D861" i="3"/>
  <c r="G860" i="3"/>
  <c r="E190" i="3"/>
  <c r="D530" i="3"/>
  <c r="G829" i="3"/>
  <c r="F828" i="3"/>
  <c r="E1049" i="3"/>
  <c r="E268" i="3"/>
  <c r="E558" i="3"/>
  <c r="G670" i="3"/>
  <c r="F920" i="3"/>
  <c r="G464" i="3"/>
  <c r="F814" i="3"/>
  <c r="D1034" i="3"/>
  <c r="F168" i="3"/>
  <c r="F432" i="3"/>
  <c r="E584" i="3"/>
  <c r="G618" i="3"/>
  <c r="E917" i="3"/>
  <c r="D228" i="3"/>
  <c r="F476" i="3"/>
  <c r="G660" i="3"/>
  <c r="G100" i="3"/>
  <c r="F446" i="3"/>
  <c r="F195" i="3"/>
  <c r="G443" i="3"/>
  <c r="E280" i="3"/>
  <c r="G260" i="3"/>
  <c r="F996" i="3"/>
  <c r="D735" i="3"/>
  <c r="D502" i="3"/>
  <c r="G125" i="3"/>
  <c r="F1042" i="3"/>
  <c r="D576" i="3"/>
  <c r="D565" i="3"/>
  <c r="F115" i="3"/>
  <c r="G95" i="3"/>
  <c r="D550" i="3"/>
  <c r="D289" i="3"/>
  <c r="F256" i="3"/>
  <c r="G929" i="3"/>
  <c r="D703" i="3"/>
  <c r="D401" i="3"/>
  <c r="E177" i="3"/>
  <c r="E501" i="3"/>
  <c r="D931" i="3"/>
  <c r="G922" i="3"/>
  <c r="D145" i="3"/>
  <c r="F244" i="3"/>
  <c r="F458" i="3"/>
  <c r="D793" i="3"/>
  <c r="G838" i="3"/>
  <c r="G126" i="3"/>
  <c r="E694" i="3"/>
  <c r="F1024" i="3"/>
  <c r="E1075" i="3"/>
  <c r="D264" i="3"/>
  <c r="D661" i="3"/>
  <c r="D741" i="3"/>
  <c r="F859" i="3"/>
  <c r="D67" i="3"/>
  <c r="D266" i="3"/>
  <c r="D706" i="3"/>
  <c r="F680" i="3"/>
  <c r="F315" i="3"/>
  <c r="D594" i="3"/>
  <c r="F973" i="3"/>
  <c r="F154" i="3"/>
  <c r="E30" i="3"/>
  <c r="F807" i="3"/>
  <c r="D498" i="3"/>
  <c r="G388" i="3"/>
  <c r="E29" i="3"/>
  <c r="E657" i="3"/>
  <c r="F443" i="3"/>
  <c r="G280" i="3"/>
  <c r="F1047" i="3"/>
  <c r="F717" i="3"/>
  <c r="E565" i="3"/>
  <c r="D172" i="3"/>
  <c r="G1037" i="3"/>
  <c r="F839" i="3"/>
  <c r="D466" i="3"/>
  <c r="E356" i="3"/>
  <c r="G47" i="3"/>
  <c r="E774" i="3"/>
  <c r="G1033" i="3"/>
  <c r="G48" i="3"/>
  <c r="F357" i="3"/>
  <c r="D742" i="3"/>
  <c r="G684" i="3"/>
  <c r="E797" i="3"/>
  <c r="D54" i="3"/>
  <c r="G449" i="3"/>
  <c r="F132" i="3"/>
  <c r="D1030" i="3"/>
  <c r="F691" i="3"/>
  <c r="D547" i="3"/>
  <c r="G784" i="3"/>
  <c r="G430" i="3"/>
  <c r="D100" i="3"/>
  <c r="G787" i="3"/>
  <c r="E801" i="3"/>
  <c r="D157" i="3"/>
  <c r="E1062" i="3"/>
  <c r="D628" i="3"/>
  <c r="D444" i="3"/>
  <c r="F212" i="3"/>
  <c r="E182" i="3"/>
  <c r="G890" i="3"/>
  <c r="D899" i="3"/>
  <c r="D138" i="3"/>
  <c r="F746" i="3"/>
  <c r="D361" i="3"/>
  <c r="E262" i="3"/>
  <c r="D1069" i="3"/>
  <c r="G730" i="3"/>
  <c r="F405" i="3"/>
  <c r="D191" i="3"/>
  <c r="D897" i="3"/>
  <c r="G571" i="3"/>
  <c r="F218" i="3"/>
  <c r="F176" i="3"/>
  <c r="E26" i="3"/>
  <c r="D656" i="3"/>
  <c r="D234" i="3"/>
  <c r="G119" i="3"/>
  <c r="F797" i="3"/>
  <c r="G576" i="3"/>
  <c r="G565" i="3"/>
  <c r="D246" i="3"/>
  <c r="G530" i="3"/>
  <c r="F813" i="3"/>
  <c r="E812" i="3"/>
  <c r="G214" i="3"/>
  <c r="F359" i="3"/>
  <c r="D542" i="3"/>
  <c r="E645" i="3"/>
  <c r="E984" i="3"/>
  <c r="F258" i="3"/>
  <c r="G795" i="3"/>
  <c r="F1018" i="3"/>
  <c r="E168" i="3"/>
  <c r="E416" i="3"/>
  <c r="E995" i="3"/>
  <c r="D986" i="3"/>
  <c r="D997" i="3"/>
  <c r="G212" i="3"/>
  <c r="D553" i="3"/>
  <c r="F591" i="3"/>
  <c r="G805" i="3"/>
  <c r="E430" i="3"/>
  <c r="F784" i="3"/>
  <c r="E236" i="3"/>
  <c r="G1015" i="3"/>
  <c r="G436" i="3"/>
  <c r="D477" i="3"/>
  <c r="F76" i="3"/>
  <c r="D999" i="3"/>
  <c r="G703" i="3"/>
  <c r="E322" i="3"/>
  <c r="D254" i="3"/>
  <c r="F884" i="3"/>
  <c r="G646" i="3"/>
  <c r="E463" i="3"/>
  <c r="F58" i="3"/>
  <c r="D836" i="3"/>
  <c r="E662" i="3"/>
  <c r="E351" i="3"/>
  <c r="E263" i="3"/>
  <c r="F977" i="3"/>
  <c r="E878" i="3"/>
  <c r="D825" i="3"/>
  <c r="D183" i="3"/>
  <c r="E496" i="3"/>
  <c r="D846" i="3"/>
  <c r="F781" i="3"/>
  <c r="G856" i="3"/>
  <c r="F219" i="3"/>
  <c r="F536" i="3"/>
  <c r="E570" i="3"/>
  <c r="G885" i="3"/>
  <c r="E446" i="3"/>
  <c r="F800" i="3"/>
  <c r="G1007" i="3"/>
  <c r="D64" i="3"/>
  <c r="D414" i="3"/>
  <c r="G412" i="3"/>
  <c r="E596" i="3"/>
  <c r="F934" i="3"/>
  <c r="D178" i="3"/>
  <c r="D458" i="3"/>
  <c r="G1059" i="3"/>
  <c r="D38" i="3"/>
  <c r="D332" i="3"/>
  <c r="F149" i="3"/>
  <c r="E457" i="3"/>
  <c r="F479" i="3"/>
  <c r="F106" i="3"/>
  <c r="E951" i="3"/>
  <c r="F441" i="3"/>
  <c r="G401" i="3"/>
  <c r="G1085" i="3"/>
  <c r="E639" i="3"/>
  <c r="G393" i="3"/>
  <c r="E371" i="3"/>
  <c r="E1060" i="3"/>
  <c r="G545" i="3"/>
  <c r="G475" i="3"/>
  <c r="E317" i="3"/>
  <c r="F40" i="3"/>
  <c r="F676" i="3"/>
  <c r="D403" i="3"/>
  <c r="G415" i="3"/>
  <c r="G264" i="3"/>
  <c r="E661" i="3"/>
  <c r="E976" i="3"/>
  <c r="G1076" i="3"/>
  <c r="D382" i="3"/>
  <c r="G360" i="3"/>
  <c r="G635" i="3"/>
  <c r="D782" i="3"/>
  <c r="D1049" i="3"/>
  <c r="E295" i="3"/>
  <c r="E926" i="3"/>
  <c r="D873" i="3"/>
  <c r="G232" i="3"/>
  <c r="D557" i="3"/>
  <c r="D894" i="3"/>
  <c r="G841" i="3"/>
  <c r="G904" i="3"/>
  <c r="D267" i="3"/>
  <c r="G584" i="3"/>
  <c r="E618" i="3"/>
  <c r="G933" i="3"/>
  <c r="D453" i="3"/>
  <c r="G899" i="3"/>
  <c r="F890" i="3"/>
  <c r="F72" i="3"/>
  <c r="E897" i="3"/>
  <c r="D603" i="3"/>
  <c r="F518" i="3"/>
  <c r="F493" i="3"/>
  <c r="G124" i="3"/>
  <c r="G903" i="3"/>
  <c r="D457" i="3"/>
  <c r="D495" i="3"/>
  <c r="E61" i="3"/>
  <c r="D823" i="3"/>
  <c r="F43" i="3"/>
  <c r="G72" i="3"/>
  <c r="F108" i="3"/>
  <c r="E866" i="3"/>
  <c r="F484" i="3"/>
  <c r="E445" i="3"/>
  <c r="D62" i="3"/>
  <c r="E643" i="3"/>
  <c r="D848" i="3"/>
  <c r="E1031" i="3"/>
  <c r="D363" i="3"/>
  <c r="G642" i="3"/>
  <c r="F229" i="3"/>
  <c r="G303" i="3"/>
  <c r="G51" i="3"/>
  <c r="D827" i="3"/>
  <c r="F709" i="3"/>
  <c r="F474" i="3"/>
  <c r="E141" i="3"/>
  <c r="D98" i="3"/>
  <c r="D911" i="3"/>
  <c r="E704" i="3"/>
  <c r="G503" i="3"/>
  <c r="F130" i="3"/>
  <c r="E549" i="3"/>
  <c r="D506" i="3"/>
  <c r="G157" i="3"/>
  <c r="F982" i="3"/>
  <c r="F644" i="3"/>
  <c r="G460" i="3"/>
  <c r="D462" i="3"/>
  <c r="G116" i="3"/>
  <c r="F1036" i="3"/>
  <c r="D27" i="3"/>
  <c r="D996" i="3"/>
  <c r="E666" i="3"/>
  <c r="G313" i="3"/>
  <c r="F292" i="3"/>
  <c r="E980" i="3"/>
  <c r="F537" i="3"/>
  <c r="D218" i="3"/>
  <c r="D176" i="3"/>
  <c r="G1058" i="3"/>
  <c r="G560" i="3"/>
  <c r="D549" i="3"/>
  <c r="D149" i="3"/>
  <c r="F1010" i="3"/>
  <c r="E576" i="3"/>
  <c r="D581" i="3"/>
  <c r="D153" i="3"/>
  <c r="G930" i="3"/>
  <c r="D925" i="3"/>
  <c r="G924" i="3"/>
  <c r="D253" i="3"/>
  <c r="F599" i="3"/>
  <c r="G893" i="3"/>
  <c r="F892" i="3"/>
  <c r="G1035" i="3"/>
  <c r="G343" i="3"/>
  <c r="E622" i="3"/>
  <c r="G734" i="3"/>
  <c r="F984" i="3"/>
  <c r="F541" i="3"/>
  <c r="D546" i="3"/>
  <c r="F925" i="3"/>
  <c r="E924" i="3"/>
  <c r="F253" i="3"/>
  <c r="E346" i="3"/>
  <c r="F654" i="3"/>
  <c r="F766" i="3"/>
  <c r="E1094" i="3"/>
  <c r="F268" i="3"/>
  <c r="E974" i="3"/>
  <c r="D921" i="3"/>
  <c r="F291" i="3"/>
  <c r="D384" i="3"/>
  <c r="F358" i="3"/>
  <c r="G1067" i="3"/>
  <c r="F625" i="3"/>
  <c r="E368" i="3"/>
  <c r="E406" i="3"/>
  <c r="D820" i="3"/>
  <c r="D646" i="3"/>
  <c r="E335" i="3"/>
  <c r="D247" i="3"/>
  <c r="F961" i="3"/>
  <c r="F289" i="3"/>
  <c r="E284" i="3"/>
  <c r="F199" i="3"/>
  <c r="D977" i="3"/>
  <c r="F550" i="3"/>
  <c r="E225" i="3"/>
  <c r="E191" i="3"/>
  <c r="F621" i="3"/>
  <c r="F958" i="3"/>
  <c r="E905" i="3"/>
  <c r="D248" i="3"/>
  <c r="E589" i="3"/>
  <c r="D595" i="3"/>
  <c r="F739" i="3"/>
  <c r="D840" i="3"/>
  <c r="F194" i="3"/>
  <c r="D536" i="3"/>
  <c r="F570" i="3"/>
  <c r="G637" i="3"/>
  <c r="D370" i="3"/>
  <c r="F250" i="3"/>
  <c r="F222" i="3"/>
  <c r="D342" i="3"/>
  <c r="D699" i="3"/>
  <c r="F896" i="3"/>
  <c r="F1057" i="3"/>
  <c r="F67" i="3"/>
  <c r="E305" i="3"/>
  <c r="G690" i="3"/>
  <c r="E664" i="3"/>
  <c r="D1088" i="3"/>
  <c r="D626" i="3"/>
  <c r="E791" i="3"/>
  <c r="F1020" i="3"/>
  <c r="D315" i="3"/>
  <c r="F594" i="3"/>
  <c r="E674" i="3"/>
  <c r="G633" i="3"/>
  <c r="E1035" i="3"/>
  <c r="G314" i="3"/>
  <c r="E638" i="3"/>
  <c r="D750" i="3"/>
  <c r="F117" i="3"/>
  <c r="F962" i="3"/>
  <c r="E592" i="3"/>
  <c r="E303" i="3"/>
  <c r="E279" i="3"/>
  <c r="F993" i="3"/>
  <c r="G120" i="3"/>
  <c r="F56" i="3"/>
  <c r="D1018" i="3"/>
  <c r="D75" i="3"/>
  <c r="F407" i="3"/>
  <c r="E506" i="3"/>
  <c r="D764" i="3"/>
  <c r="E779" i="3"/>
  <c r="F85" i="3"/>
  <c r="E451" i="3"/>
  <c r="G1019" i="3"/>
  <c r="D22" i="3"/>
  <c r="D316" i="3"/>
  <c r="D631" i="3"/>
  <c r="E1081" i="3"/>
  <c r="D39" i="3"/>
  <c r="G70" i="3"/>
  <c r="G419" i="3"/>
  <c r="F773" i="3"/>
  <c r="D891" i="3"/>
  <c r="G50" i="3"/>
  <c r="D155" i="3"/>
  <c r="D500" i="3"/>
  <c r="G424" i="3"/>
  <c r="F158" i="3"/>
  <c r="D898" i="3"/>
  <c r="D561" i="3"/>
  <c r="D405" i="3"/>
  <c r="E818" i="3"/>
  <c r="G1025" i="3"/>
  <c r="D880" i="3"/>
  <c r="F683" i="3"/>
  <c r="D859" i="3"/>
  <c r="F741" i="3"/>
  <c r="D392" i="3"/>
  <c r="F110" i="3"/>
  <c r="E48" i="3"/>
  <c r="D1033" i="3"/>
  <c r="G774" i="3"/>
  <c r="G274" i="3"/>
  <c r="E39" i="3"/>
  <c r="F1081" i="3"/>
  <c r="F492" i="3"/>
  <c r="E249" i="3"/>
  <c r="D968" i="3"/>
  <c r="E734" i="3"/>
  <c r="E722" i="3"/>
  <c r="E390" i="3"/>
  <c r="E93" i="3"/>
  <c r="G305" i="3"/>
  <c r="D51" i="3"/>
  <c r="D760" i="3"/>
  <c r="D748" i="3"/>
  <c r="E490" i="3"/>
  <c r="F396" i="3"/>
  <c r="G69" i="3"/>
  <c r="E1079" i="3"/>
  <c r="F777" i="3"/>
  <c r="F423" i="3"/>
  <c r="D806" i="3"/>
  <c r="E780" i="3"/>
  <c r="G506" i="3"/>
  <c r="G146" i="3"/>
  <c r="E998" i="3"/>
  <c r="E943" i="3"/>
  <c r="F736" i="3"/>
  <c r="E519" i="3"/>
  <c r="F252" i="3"/>
  <c r="F322" i="3"/>
  <c r="E254" i="3"/>
  <c r="G916" i="3"/>
  <c r="E751" i="3"/>
  <c r="G306" i="3"/>
  <c r="E229" i="3"/>
  <c r="F994" i="3"/>
  <c r="E560" i="3"/>
  <c r="F549" i="3"/>
  <c r="D137" i="3"/>
  <c r="G914" i="3"/>
  <c r="G156" i="3"/>
  <c r="E27" i="3"/>
  <c r="G158" i="3"/>
  <c r="E930" i="3"/>
  <c r="E561" i="3"/>
  <c r="D525" i="3"/>
  <c r="E92" i="3"/>
  <c r="G610" i="3"/>
  <c r="E1005" i="3"/>
  <c r="D1004" i="3"/>
  <c r="D299" i="3"/>
  <c r="F578" i="3"/>
  <c r="G653" i="3"/>
  <c r="D769" i="3"/>
  <c r="F1092" i="3"/>
  <c r="G298" i="3"/>
  <c r="F622" i="3"/>
  <c r="D734" i="3"/>
  <c r="E207" i="3"/>
  <c r="G621" i="3"/>
  <c r="G942" i="3"/>
  <c r="F889" i="3"/>
  <c r="E248" i="3"/>
  <c r="G233" i="3"/>
  <c r="D632" i="3"/>
  <c r="G627" i="3"/>
  <c r="E840" i="3"/>
  <c r="D219" i="3"/>
  <c r="F947" i="3"/>
  <c r="E938" i="3"/>
  <c r="E140" i="3"/>
  <c r="F498" i="3"/>
  <c r="F404" i="3"/>
  <c r="F83" i="3"/>
  <c r="E887" i="3"/>
  <c r="G482" i="3"/>
  <c r="D463" i="3"/>
  <c r="F1063" i="3"/>
  <c r="E746" i="3"/>
  <c r="G329" i="3"/>
  <c r="E307" i="3"/>
  <c r="E996" i="3"/>
  <c r="E473" i="3"/>
  <c r="E272" i="3"/>
  <c r="F277" i="3"/>
  <c r="G1012" i="3"/>
  <c r="D637" i="3"/>
  <c r="G338" i="3"/>
  <c r="E197" i="3"/>
  <c r="D485" i="3"/>
  <c r="G931" i="3"/>
  <c r="F922" i="3"/>
  <c r="F131" i="3"/>
  <c r="G453" i="3"/>
  <c r="F569" i="3"/>
  <c r="D607" i="3"/>
  <c r="E805" i="3"/>
  <c r="F180" i="3"/>
  <c r="G497" i="3"/>
  <c r="D1095" i="3"/>
  <c r="F75" i="3"/>
  <c r="E407" i="3"/>
  <c r="F745" i="3"/>
  <c r="F1061" i="3"/>
  <c r="E53" i="3"/>
  <c r="D128" i="3"/>
  <c r="D515" i="3"/>
  <c r="E732" i="3"/>
  <c r="D987" i="3"/>
  <c r="E87" i="3"/>
  <c r="E678" i="3"/>
  <c r="D1008" i="3"/>
  <c r="G1053" i="3"/>
  <c r="F171" i="3"/>
  <c r="F850" i="3"/>
  <c r="G500" i="3"/>
  <c r="E440" i="3"/>
  <c r="F121" i="3"/>
  <c r="G834" i="3"/>
  <c r="G767" i="3"/>
  <c r="E386" i="3"/>
  <c r="G245" i="3"/>
  <c r="F948" i="3"/>
  <c r="D687" i="3"/>
  <c r="G527" i="3"/>
  <c r="G171" i="3"/>
  <c r="F1072" i="3"/>
  <c r="D669" i="3"/>
  <c r="F282" i="3"/>
  <c r="D381" i="3"/>
  <c r="D40" i="3"/>
  <c r="D681" i="3"/>
  <c r="E1019" i="3"/>
  <c r="E22" i="3"/>
  <c r="E300" i="3"/>
  <c r="F631" i="3"/>
  <c r="G748" i="3"/>
  <c r="G760" i="3"/>
  <c r="F1096" i="3"/>
  <c r="D288" i="3"/>
  <c r="E727" i="3"/>
  <c r="G705" i="3"/>
  <c r="D230" i="3"/>
  <c r="D652" i="3"/>
  <c r="D789" i="3"/>
  <c r="D783" i="3"/>
  <c r="G198" i="3"/>
  <c r="F343" i="3"/>
  <c r="G514" i="3"/>
  <c r="G771" i="3"/>
  <c r="E968" i="3"/>
  <c r="G242" i="3"/>
  <c r="E846" i="3"/>
  <c r="E781" i="3"/>
  <c r="D151" i="3"/>
  <c r="G58" i="3"/>
  <c r="F560" i="3"/>
  <c r="G549" i="3"/>
  <c r="D160" i="3"/>
  <c r="E1042" i="3"/>
  <c r="G544" i="3"/>
  <c r="F528" i="3"/>
  <c r="D92" i="3"/>
  <c r="E850" i="3"/>
  <c r="F468" i="3"/>
  <c r="F429" i="3"/>
  <c r="E122" i="3"/>
  <c r="G113" i="3"/>
  <c r="D420" i="3"/>
  <c r="F597" i="3"/>
  <c r="E125" i="3"/>
  <c r="D1010" i="3"/>
  <c r="D609" i="3"/>
  <c r="E472" i="3"/>
  <c r="G237" i="3"/>
  <c r="E599" i="3"/>
  <c r="F877" i="3"/>
  <c r="E876" i="3"/>
  <c r="F520" i="3"/>
  <c r="G735" i="3"/>
  <c r="F872" i="3"/>
  <c r="D755" i="3"/>
  <c r="F611" i="3"/>
  <c r="F362" i="3"/>
  <c r="F28" i="3"/>
  <c r="G1036" i="3"/>
  <c r="F816" i="3"/>
  <c r="E642" i="3"/>
  <c r="G379" i="3"/>
  <c r="G1031" i="3"/>
  <c r="G848" i="3"/>
  <c r="D394" i="3"/>
  <c r="D44" i="3"/>
  <c r="D712" i="3"/>
  <c r="F738" i="3"/>
  <c r="G328" i="3"/>
  <c r="D350" i="3"/>
  <c r="G1017" i="3"/>
  <c r="D1039" i="3"/>
  <c r="G104" i="3"/>
  <c r="D45" i="3"/>
  <c r="F871" i="3"/>
  <c r="G457" i="3"/>
  <c r="D479" i="3"/>
  <c r="D83" i="3"/>
  <c r="F762" i="3"/>
  <c r="D377" i="3"/>
  <c r="F355" i="3"/>
  <c r="E1063" i="3"/>
  <c r="G682" i="3"/>
  <c r="G413" i="3"/>
  <c r="E227" i="3"/>
  <c r="F1028" i="3"/>
  <c r="E698" i="3"/>
  <c r="F272" i="3"/>
  <c r="G277" i="3"/>
  <c r="E948" i="3"/>
  <c r="F915" i="3"/>
  <c r="E906" i="3"/>
  <c r="E131" i="3"/>
  <c r="F437" i="3"/>
  <c r="E883" i="3"/>
  <c r="D874" i="3"/>
  <c r="D885" i="3"/>
  <c r="E164" i="3"/>
  <c r="E428" i="3"/>
  <c r="G612" i="3"/>
  <c r="D966" i="3"/>
  <c r="G396" i="3"/>
  <c r="E745" i="3"/>
  <c r="D1029" i="3"/>
  <c r="E37" i="3"/>
  <c r="F364" i="3"/>
  <c r="E458" i="3"/>
  <c r="D716" i="3"/>
  <c r="G971" i="3"/>
  <c r="E110" i="3"/>
  <c r="G408" i="3"/>
  <c r="G992" i="3"/>
  <c r="E1021" i="3"/>
  <c r="D165" i="3"/>
  <c r="F273" i="3"/>
  <c r="G240" i="3"/>
  <c r="D945" i="3"/>
  <c r="F582" i="3"/>
  <c r="F257" i="3"/>
  <c r="G215" i="3"/>
  <c r="E803" i="3"/>
  <c r="G452" i="3"/>
  <c r="D413" i="3"/>
  <c r="F62" i="3"/>
  <c r="D951" i="3"/>
  <c r="D113" i="3"/>
  <c r="F95" i="3"/>
  <c r="F90" i="3"/>
  <c r="F967" i="3"/>
  <c r="G489" i="3"/>
  <c r="F511" i="3"/>
  <c r="G61" i="3"/>
  <c r="G629" i="3"/>
  <c r="D976" i="3"/>
  <c r="F1076" i="3"/>
  <c r="G366" i="3"/>
  <c r="E747" i="3"/>
  <c r="D693" i="3"/>
  <c r="F811" i="3"/>
  <c r="F353" i="3"/>
  <c r="D653" i="3"/>
  <c r="G769" i="3"/>
  <c r="G221" i="3"/>
  <c r="E583" i="3"/>
  <c r="F861" i="3"/>
  <c r="E860" i="3"/>
  <c r="F190" i="3"/>
  <c r="E270" i="3"/>
  <c r="D590" i="3"/>
  <c r="F702" i="3"/>
  <c r="E1032" i="3"/>
  <c r="F233" i="3"/>
  <c r="E910" i="3"/>
  <c r="D857" i="3"/>
  <c r="G216" i="3"/>
  <c r="D117" i="3"/>
  <c r="G751" i="3"/>
  <c r="E370" i="3"/>
  <c r="F209" i="3"/>
  <c r="F175" i="3"/>
  <c r="F817" i="3"/>
  <c r="D42" i="3"/>
  <c r="D511" i="3"/>
  <c r="A511" i="6" s="1"/>
  <c r="F99" i="3"/>
  <c r="E903" i="3"/>
  <c r="G498" i="3"/>
  <c r="E404" i="3"/>
  <c r="F139" i="3"/>
  <c r="F882" i="3"/>
  <c r="F545" i="3"/>
  <c r="F525" i="3"/>
  <c r="F143" i="3"/>
  <c r="E1058" i="3"/>
  <c r="E789" i="3"/>
  <c r="G783" i="3"/>
  <c r="E198" i="3"/>
  <c r="G604" i="3"/>
  <c r="G1038" i="3"/>
  <c r="G985" i="3"/>
  <c r="D1013" i="3"/>
  <c r="G228" i="3"/>
  <c r="D569" i="3"/>
  <c r="F607" i="3"/>
  <c r="G821" i="3"/>
  <c r="F519" i="3"/>
  <c r="D736" i="3"/>
  <c r="G943" i="3"/>
  <c r="E114" i="3"/>
  <c r="E487" i="3"/>
  <c r="D481" i="3"/>
  <c r="G831" i="3"/>
  <c r="F870" i="3"/>
  <c r="E128" i="3"/>
  <c r="G531" i="3"/>
  <c r="F1065" i="3"/>
  <c r="E23" i="3"/>
  <c r="E389" i="3"/>
  <c r="F36" i="3"/>
  <c r="E377" i="3"/>
  <c r="G355" i="3"/>
  <c r="E1041" i="3"/>
  <c r="F639" i="3"/>
  <c r="F361" i="3"/>
  <c r="F262" i="3"/>
  <c r="D948" i="3"/>
  <c r="F751" i="3"/>
  <c r="D338" i="3"/>
  <c r="F197" i="3"/>
  <c r="E868" i="3"/>
  <c r="D336" i="3"/>
  <c r="G286" i="3"/>
  <c r="G387" i="3"/>
  <c r="F1085" i="3"/>
  <c r="G778" i="3"/>
  <c r="F329" i="3"/>
  <c r="D307" i="3"/>
  <c r="E462" i="3"/>
  <c r="G801" i="3"/>
  <c r="E787" i="3"/>
  <c r="E84" i="3"/>
  <c r="D430" i="3"/>
  <c r="G263" i="3"/>
  <c r="E160" i="3"/>
  <c r="E827" i="3"/>
  <c r="G709" i="3"/>
  <c r="D435" i="3"/>
  <c r="E123" i="3"/>
  <c r="F1046" i="3"/>
  <c r="E991" i="3"/>
  <c r="F1039" i="3"/>
  <c r="G742" i="3"/>
  <c r="E373" i="3"/>
  <c r="F48" i="3"/>
  <c r="A48" i="6" s="1"/>
  <c r="E1033" i="3"/>
  <c r="F392" i="3"/>
  <c r="G94" i="3"/>
  <c r="G955" i="3"/>
  <c r="D700" i="3"/>
  <c r="E442" i="3"/>
  <c r="F348" i="3"/>
  <c r="E21" i="3"/>
  <c r="F826" i="3"/>
  <c r="G118" i="3"/>
  <c r="E961" i="3"/>
  <c r="A961" i="6" s="1"/>
  <c r="G566" i="3"/>
  <c r="E319" i="3"/>
  <c r="D231" i="3"/>
  <c r="F945" i="3"/>
  <c r="G399" i="3"/>
  <c r="D429" i="3"/>
  <c r="G76" i="3"/>
  <c r="D803" i="3"/>
  <c r="G521" i="3"/>
  <c r="E422" i="3"/>
  <c r="D195" i="3"/>
  <c r="G983" i="3"/>
  <c r="D537" i="3"/>
  <c r="E454" i="3"/>
  <c r="D90" i="3"/>
  <c r="D903" i="3"/>
  <c r="G960" i="3"/>
  <c r="G1043" i="3"/>
  <c r="F366" i="3"/>
  <c r="D731" i="3"/>
  <c r="F928" i="3"/>
  <c r="E1093" i="3"/>
  <c r="D34" i="3"/>
  <c r="E337" i="3"/>
  <c r="G722" i="3"/>
  <c r="E696" i="3"/>
  <c r="G1071" i="3"/>
  <c r="D567" i="3"/>
  <c r="E861" i="3"/>
  <c r="D860" i="3"/>
  <c r="F246" i="3"/>
  <c r="F530" i="3"/>
  <c r="E635" i="3"/>
  <c r="F782" i="3"/>
  <c r="D1016" i="3"/>
  <c r="D268" i="3"/>
  <c r="G579" i="3"/>
  <c r="E723" i="3"/>
  <c r="F200" i="3"/>
  <c r="G541" i="3"/>
  <c r="D140" i="3"/>
  <c r="G24" i="3"/>
  <c r="G692" i="3"/>
  <c r="E507" i="3"/>
  <c r="F349" i="3"/>
  <c r="D260" i="3"/>
  <c r="D1058" i="3"/>
  <c r="E624" i="3"/>
  <c r="G275" i="3"/>
  <c r="F125" i="3"/>
  <c r="G978" i="3"/>
  <c r="D187" i="3"/>
  <c r="F20" i="3"/>
  <c r="F153" i="3"/>
  <c r="E994" i="3"/>
  <c r="D520" i="3"/>
  <c r="E488" i="3"/>
  <c r="D142" i="3"/>
  <c r="G546" i="3"/>
  <c r="E941" i="3"/>
  <c r="D940" i="3"/>
  <c r="E253" i="3"/>
  <c r="G615" i="3"/>
  <c r="F727" i="3"/>
  <c r="D705" i="3"/>
  <c r="D1094" i="3"/>
  <c r="D359" i="3"/>
  <c r="F558" i="3"/>
  <c r="D670" i="3"/>
  <c r="F216" i="3"/>
  <c r="G557" i="3"/>
  <c r="G878" i="3"/>
  <c r="F825" i="3"/>
  <c r="F183" i="3"/>
  <c r="D242" i="3"/>
  <c r="F568" i="3"/>
  <c r="D602" i="3"/>
  <c r="F997" i="3"/>
  <c r="E228" i="3"/>
  <c r="F883" i="3"/>
  <c r="E874" i="3"/>
  <c r="G166" i="3"/>
  <c r="G54" i="3"/>
  <c r="E717" i="3"/>
  <c r="G368" i="3"/>
  <c r="F406" i="3"/>
  <c r="F1083" i="3"/>
  <c r="F701" i="3"/>
  <c r="E111" i="3"/>
  <c r="F247" i="3"/>
  <c r="G799" i="3"/>
  <c r="F598" i="3"/>
  <c r="E273" i="3"/>
  <c r="D240" i="3"/>
  <c r="G20" i="3"/>
  <c r="E637" i="3"/>
  <c r="F402" i="3"/>
  <c r="D261" i="3"/>
  <c r="A261" i="6" s="1"/>
  <c r="F964" i="3"/>
  <c r="F669" i="3"/>
  <c r="F440" i="3"/>
  <c r="F114" i="3"/>
  <c r="G487" i="3"/>
  <c r="E688" i="3"/>
  <c r="D895" i="3"/>
  <c r="D82" i="3"/>
  <c r="G123" i="3"/>
  <c r="D344" i="3"/>
  <c r="F693" i="3"/>
  <c r="D811" i="3"/>
  <c r="D35" i="3"/>
  <c r="G594" i="3"/>
  <c r="E989" i="3"/>
  <c r="D988" i="3"/>
  <c r="D276" i="3"/>
  <c r="F562" i="3"/>
  <c r="F775" i="3"/>
  <c r="D753" i="3"/>
  <c r="G1089" i="3"/>
  <c r="F270" i="3"/>
  <c r="F606" i="3"/>
  <c r="D718" i="3"/>
  <c r="E255" i="3"/>
  <c r="F572" i="3"/>
  <c r="E68" i="3"/>
  <c r="E58" i="3"/>
  <c r="D76" i="3"/>
  <c r="E834" i="3"/>
  <c r="F772" i="3"/>
  <c r="D491" i="3"/>
  <c r="G290" i="3"/>
  <c r="E1084" i="3"/>
  <c r="D717" i="3"/>
  <c r="F336" i="3"/>
  <c r="D310" i="3"/>
  <c r="G1069" i="3"/>
  <c r="F576" i="3"/>
  <c r="G282" i="3"/>
  <c r="E397" i="3"/>
  <c r="E47" i="3"/>
  <c r="F740" i="3"/>
  <c r="D459" i="3"/>
  <c r="F301" i="3"/>
  <c r="G348" i="3"/>
  <c r="E697" i="3"/>
  <c r="D1019" i="3"/>
  <c r="F22" i="3"/>
  <c r="F316" i="3"/>
  <c r="D306" i="3"/>
  <c r="E139" i="3"/>
  <c r="E311" i="3"/>
  <c r="D1073" i="3"/>
  <c r="D798" i="3"/>
  <c r="D786" i="3"/>
  <c r="G376" i="3"/>
  <c r="G398" i="3"/>
  <c r="D1021" i="3"/>
  <c r="E992" i="3"/>
  <c r="F678" i="3"/>
  <c r="D293" i="3"/>
  <c r="G792" i="3"/>
  <c r="F655" i="3"/>
  <c r="E392" i="3"/>
  <c r="F65" i="3"/>
  <c r="F971" i="3"/>
  <c r="G716" i="3"/>
  <c r="D774" i="3"/>
  <c r="F389" i="3"/>
  <c r="E220" i="3"/>
  <c r="D209" i="3"/>
  <c r="D175" i="3"/>
  <c r="D881" i="3"/>
  <c r="G619" i="3"/>
  <c r="E193" i="3"/>
  <c r="D224" i="3"/>
  <c r="G967" i="3"/>
  <c r="D521" i="3"/>
  <c r="F438" i="3"/>
  <c r="D74" i="3"/>
  <c r="D887" i="3"/>
  <c r="F172" i="3"/>
  <c r="F118" i="3"/>
  <c r="G66" i="3"/>
  <c r="F903" i="3"/>
  <c r="G425" i="3"/>
  <c r="G431" i="3"/>
  <c r="F46" i="3"/>
  <c r="E710" i="3"/>
  <c r="F1040" i="3"/>
  <c r="E1091" i="3"/>
  <c r="F293" i="3"/>
  <c r="D678" i="3"/>
  <c r="D757" i="3"/>
  <c r="F875" i="3"/>
  <c r="E296" i="3"/>
  <c r="D722" i="3"/>
  <c r="F696" i="3"/>
  <c r="D285" i="3"/>
  <c r="E341" i="3"/>
  <c r="G710" i="3"/>
  <c r="G1040" i="3"/>
  <c r="G1091" i="3"/>
  <c r="F87" i="3"/>
  <c r="D328" i="3"/>
  <c r="F677" i="3"/>
  <c r="D785" i="3"/>
  <c r="D642" i="3"/>
  <c r="D816" i="3"/>
  <c r="D111" i="3"/>
  <c r="G687" i="3"/>
  <c r="E306" i="3"/>
  <c r="G229" i="3"/>
  <c r="F932" i="3"/>
  <c r="D671" i="3"/>
  <c r="D438" i="3"/>
  <c r="F137" i="3"/>
  <c r="E978" i="3"/>
  <c r="E609" i="3"/>
  <c r="G456" i="3"/>
  <c r="D118" i="3"/>
  <c r="D882" i="3"/>
  <c r="F626" i="3"/>
  <c r="G288" i="3"/>
  <c r="D863" i="3"/>
  <c r="E990" i="3"/>
  <c r="D937" i="3"/>
  <c r="F223" i="3"/>
  <c r="D621" i="3"/>
  <c r="D958" i="3"/>
  <c r="G905" i="3"/>
  <c r="G968" i="3"/>
  <c r="E226" i="3"/>
  <c r="E648" i="3"/>
  <c r="D659" i="3"/>
  <c r="G997" i="3"/>
  <c r="D517" i="3"/>
  <c r="G963" i="3"/>
  <c r="F954" i="3"/>
  <c r="E195" i="3"/>
  <c r="F1069" i="3"/>
  <c r="F794" i="3"/>
  <c r="F320" i="3"/>
  <c r="D294" i="3"/>
  <c r="F1041" i="3"/>
  <c r="E571" i="3"/>
  <c r="D273" i="3"/>
  <c r="F240" i="3"/>
  <c r="G913" i="3"/>
  <c r="F555" i="3"/>
  <c r="G397" i="3"/>
  <c r="G59" i="3"/>
  <c r="D900" i="3"/>
  <c r="F703" i="3"/>
  <c r="D286" i="3"/>
  <c r="E387" i="3"/>
  <c r="D1063" i="3"/>
  <c r="D800" i="3"/>
  <c r="F1007" i="3"/>
  <c r="D84" i="3"/>
  <c r="G414" i="3"/>
  <c r="F768" i="3"/>
  <c r="E975" i="3"/>
  <c r="F1003" i="3"/>
  <c r="G87" i="3"/>
  <c r="D419" i="3"/>
  <c r="G693" i="3"/>
  <c r="E811" i="3"/>
  <c r="F395" i="3"/>
  <c r="G643" i="3"/>
  <c r="E832" i="3"/>
  <c r="G1052" i="3"/>
  <c r="E363" i="3"/>
  <c r="D337" i="3"/>
  <c r="G759" i="3"/>
  <c r="E737" i="3"/>
  <c r="D1045" i="3"/>
  <c r="D270" i="3"/>
  <c r="D829" i="3"/>
  <c r="G828" i="3"/>
  <c r="E230" i="3"/>
  <c r="G154" i="3"/>
  <c r="F521" i="3"/>
  <c r="G438" i="3"/>
  <c r="D97" i="3"/>
  <c r="E1015" i="3"/>
  <c r="F505" i="3"/>
  <c r="E486" i="3"/>
  <c r="E46" i="3"/>
  <c r="F823" i="3"/>
  <c r="D450" i="3"/>
  <c r="A450" i="6" s="1"/>
  <c r="G324" i="3"/>
  <c r="G31" i="3"/>
  <c r="D171" i="3"/>
  <c r="D539" i="3"/>
  <c r="E470" i="3"/>
  <c r="E62" i="3"/>
  <c r="E983" i="3"/>
  <c r="F473" i="3"/>
  <c r="F495" i="3"/>
  <c r="E350" i="3"/>
  <c r="G731" i="3"/>
  <c r="E912" i="3"/>
  <c r="D1077" i="3"/>
  <c r="D318" i="3"/>
  <c r="D396" i="3"/>
  <c r="G271" i="3"/>
  <c r="D588" i="3"/>
  <c r="G590" i="3"/>
  <c r="E702" i="3"/>
  <c r="D936" i="3"/>
  <c r="E217" i="3"/>
  <c r="G632" i="3"/>
  <c r="F627" i="3"/>
  <c r="F248" i="3"/>
  <c r="G589" i="3"/>
  <c r="G910" i="3"/>
  <c r="F857" i="3"/>
  <c r="E216" i="3"/>
  <c r="G201" i="3"/>
  <c r="F600" i="3"/>
  <c r="F634" i="3"/>
  <c r="E808" i="3"/>
  <c r="D186" i="3"/>
  <c r="E43" i="3"/>
  <c r="G367" i="3"/>
  <c r="E238" i="3"/>
  <c r="G900" i="3"/>
  <c r="E671" i="3"/>
  <c r="F286" i="3"/>
  <c r="D387" i="3"/>
  <c r="E291" i="3"/>
  <c r="F567" i="3"/>
  <c r="G861" i="3"/>
  <c r="F860" i="3"/>
  <c r="F1089" i="3"/>
  <c r="G311" i="3"/>
  <c r="E590" i="3"/>
  <c r="G702" i="3"/>
  <c r="F952" i="3"/>
  <c r="E604" i="3"/>
  <c r="D1038" i="3"/>
  <c r="E985" i="3"/>
  <c r="G255" i="3"/>
  <c r="D572" i="3"/>
  <c r="G574" i="3"/>
  <c r="E686" i="3"/>
  <c r="D920" i="3"/>
  <c r="E201" i="3"/>
  <c r="D616" i="3"/>
  <c r="G650" i="3"/>
  <c r="F54" i="3"/>
  <c r="E945" i="3"/>
  <c r="G614" i="3"/>
  <c r="G297" i="3"/>
  <c r="E241" i="3"/>
  <c r="D208" i="3"/>
  <c r="E102" i="3"/>
  <c r="G945" i="3"/>
  <c r="E720" i="3"/>
  <c r="D927" i="3"/>
  <c r="G114" i="3"/>
  <c r="E157" i="3"/>
  <c r="F490" i="3"/>
  <c r="D831" i="3"/>
  <c r="G870" i="3"/>
  <c r="G85" i="3"/>
  <c r="D761" i="3"/>
  <c r="D1079" i="3"/>
  <c r="F69" i="3"/>
  <c r="E380" i="3"/>
  <c r="G729" i="3"/>
  <c r="F815" i="3"/>
  <c r="E854" i="3"/>
  <c r="D126" i="3"/>
  <c r="D499" i="3"/>
  <c r="G773" i="3"/>
  <c r="E891" i="3"/>
  <c r="D58" i="3"/>
  <c r="G999" i="3"/>
  <c r="G740" i="3"/>
  <c r="E491" i="3"/>
  <c r="D290" i="3"/>
  <c r="E56" i="3"/>
  <c r="E701" i="3"/>
  <c r="F345" i="3"/>
  <c r="G605" i="3"/>
  <c r="G192" i="3"/>
  <c r="D645" i="3"/>
  <c r="F542" i="3"/>
  <c r="D343" i="3"/>
  <c r="D1070" i="3"/>
  <c r="D689" i="3"/>
  <c r="F711" i="3"/>
  <c r="G599" i="3"/>
  <c r="E237" i="3"/>
  <c r="D924" i="3"/>
  <c r="E925" i="3"/>
  <c r="G516" i="3"/>
  <c r="D103" i="3"/>
  <c r="D1003" i="3"/>
  <c r="F596" i="3"/>
  <c r="D412" i="3"/>
  <c r="G179" i="3"/>
  <c r="F161" i="3"/>
  <c r="F152" i="3"/>
  <c r="F416" i="3"/>
  <c r="E568" i="3"/>
  <c r="G602" i="3"/>
  <c r="E901" i="3"/>
  <c r="D212" i="3"/>
  <c r="F460" i="3"/>
  <c r="G644" i="3"/>
  <c r="G131" i="3"/>
  <c r="E453" i="3"/>
  <c r="D883" i="3"/>
  <c r="G874" i="3"/>
  <c r="E166" i="3"/>
  <c r="F196" i="3"/>
  <c r="D428" i="3"/>
  <c r="F612" i="3"/>
  <c r="E1046" i="3"/>
  <c r="D141" i="3"/>
  <c r="G459" i="3"/>
  <c r="E361" i="3"/>
  <c r="G262" i="3"/>
  <c r="E1072" i="3"/>
  <c r="G794" i="3"/>
  <c r="D282" i="3"/>
  <c r="F397" i="3"/>
  <c r="F489" i="3"/>
  <c r="D541" i="3"/>
  <c r="F546" i="3"/>
  <c r="F759" i="3"/>
  <c r="D737" i="3"/>
  <c r="G1073" i="3"/>
  <c r="D391" i="3"/>
  <c r="F590" i="3"/>
  <c r="D702" i="3"/>
  <c r="G190" i="3"/>
  <c r="E551" i="3"/>
  <c r="F829" i="3"/>
  <c r="E828" i="3"/>
  <c r="G230" i="3"/>
  <c r="F375" i="3"/>
  <c r="D558" i="3"/>
  <c r="F670" i="3"/>
  <c r="E1000" i="3"/>
  <c r="F201" i="3"/>
  <c r="G259" i="3"/>
  <c r="D193" i="3"/>
  <c r="G224" i="3"/>
  <c r="D929" i="3"/>
  <c r="E735" i="3"/>
  <c r="G354" i="3"/>
  <c r="E213" i="3"/>
  <c r="E297" i="3"/>
  <c r="F865" i="3"/>
  <c r="A865" i="6" s="1"/>
  <c r="G446" i="3"/>
  <c r="G800" i="3"/>
  <c r="E1007" i="3"/>
  <c r="F1062" i="3"/>
  <c r="F141" i="3"/>
  <c r="F465" i="3"/>
  <c r="E831" i="3"/>
  <c r="D870" i="3"/>
  <c r="F487" i="3"/>
  <c r="D704" i="3"/>
  <c r="G911" i="3"/>
  <c r="G82" i="3"/>
  <c r="E455" i="3"/>
  <c r="D449" i="3"/>
  <c r="G793" i="3"/>
  <c r="F838" i="3"/>
  <c r="E96" i="3"/>
  <c r="E499" i="3"/>
  <c r="G525" i="3"/>
  <c r="D156" i="3"/>
  <c r="D106" i="3"/>
  <c r="F983" i="3"/>
  <c r="G505" i="3"/>
  <c r="F486" i="3"/>
  <c r="G90" i="3"/>
  <c r="E817" i="3"/>
  <c r="E550" i="3"/>
  <c r="E516" i="3"/>
  <c r="D269" i="3"/>
  <c r="G753" i="3"/>
  <c r="E775" i="3"/>
  <c r="F337" i="3"/>
  <c r="G44" i="3"/>
  <c r="E785" i="3"/>
  <c r="D677" i="3"/>
  <c r="E731" i="3"/>
  <c r="G350" i="3"/>
  <c r="E1043" i="3"/>
  <c r="D960" i="3"/>
  <c r="F763" i="3"/>
  <c r="D123" i="3"/>
  <c r="E1030" i="3"/>
  <c r="D618" i="3"/>
  <c r="F584" i="3"/>
  <c r="E258" i="3"/>
  <c r="G862" i="3"/>
  <c r="F809" i="3"/>
  <c r="F167" i="3"/>
  <c r="D226" i="3"/>
  <c r="F552" i="3"/>
  <c r="D586" i="3"/>
  <c r="F981" i="3"/>
  <c r="E212" i="3"/>
  <c r="F995" i="3"/>
  <c r="E986" i="3"/>
  <c r="E136" i="3"/>
  <c r="E517" i="3"/>
  <c r="E963" i="3"/>
  <c r="D954" i="3"/>
  <c r="D965" i="3"/>
  <c r="D179" i="3"/>
  <c r="E508" i="3"/>
  <c r="F559" i="3"/>
  <c r="G1046" i="3"/>
  <c r="F140" i="3"/>
  <c r="F666" i="3"/>
  <c r="D345" i="3"/>
  <c r="F323" i="3"/>
  <c r="G1044" i="3"/>
  <c r="G714" i="3"/>
  <c r="G284" i="3"/>
  <c r="F398" i="3"/>
  <c r="G207" i="3"/>
  <c r="E621" i="3"/>
  <c r="E514" i="3"/>
  <c r="F771" i="3"/>
  <c r="D872" i="3"/>
  <c r="F226" i="3"/>
  <c r="D568" i="3"/>
  <c r="F602" i="3"/>
  <c r="G183" i="3"/>
  <c r="D512" i="3"/>
  <c r="G846" i="3"/>
  <c r="D781" i="3"/>
  <c r="F151" i="3"/>
  <c r="D210" i="3"/>
  <c r="E536" i="3"/>
  <c r="D570" i="3"/>
  <c r="F965" i="3"/>
  <c r="E196" i="3"/>
  <c r="D225" i="3"/>
  <c r="F306" i="3"/>
  <c r="D229" i="3"/>
  <c r="G964" i="3"/>
  <c r="G701" i="3"/>
  <c r="E352" i="3"/>
  <c r="G326" i="3"/>
  <c r="G577" i="3"/>
  <c r="D372" i="3"/>
  <c r="E332" i="3"/>
  <c r="G681" i="3"/>
  <c r="D780" i="3"/>
  <c r="E806" i="3"/>
  <c r="F78" i="3"/>
  <c r="D451" i="3"/>
  <c r="G725" i="3"/>
  <c r="E843" i="3"/>
  <c r="D357" i="3"/>
  <c r="F742" i="3"/>
  <c r="E1056" i="3"/>
  <c r="D1066" i="3"/>
  <c r="G325" i="3"/>
  <c r="F435" i="3"/>
  <c r="E693" i="3"/>
  <c r="G811" i="3"/>
  <c r="F50" i="3"/>
  <c r="G369" i="3"/>
  <c r="G227" i="3"/>
  <c r="A227" i="6" s="1"/>
  <c r="D93" i="3"/>
  <c r="F169" i="3"/>
  <c r="E1010" i="3"/>
  <c r="D544" i="3"/>
  <c r="F613" i="3"/>
  <c r="G153" i="3"/>
  <c r="E97" i="3"/>
  <c r="G882" i="3"/>
  <c r="G763" i="3"/>
  <c r="E382" i="3"/>
  <c r="E859" i="3"/>
  <c r="G741" i="3"/>
  <c r="D467" i="3"/>
  <c r="F94" i="3"/>
  <c r="E822" i="3"/>
  <c r="D796" i="3"/>
  <c r="G697" i="3"/>
  <c r="E348" i="3"/>
  <c r="D37" i="3"/>
  <c r="G1029" i="3"/>
  <c r="D729" i="3"/>
  <c r="E244" i="3"/>
  <c r="F1013" i="3"/>
  <c r="F718" i="3"/>
  <c r="D606" i="3"/>
  <c r="E298" i="3"/>
  <c r="G266" i="3"/>
  <c r="G561" i="3"/>
  <c r="E468" i="3"/>
  <c r="F1005" i="3"/>
  <c r="G711" i="3"/>
  <c r="E359" i="3"/>
  <c r="D658" i="3"/>
  <c r="D832" i="3"/>
  <c r="F1052" i="3"/>
  <c r="D347" i="3"/>
  <c r="G626" i="3"/>
  <c r="E706" i="3"/>
  <c r="G680" i="3"/>
  <c r="F1088" i="3"/>
  <c r="G346" i="3"/>
  <c r="F635" i="3"/>
  <c r="G782" i="3"/>
  <c r="D214" i="3"/>
  <c r="D636" i="3"/>
  <c r="G93" i="3"/>
  <c r="G319" i="3"/>
  <c r="F231" i="3"/>
  <c r="D1009" i="3"/>
  <c r="E646" i="3"/>
  <c r="D303" i="3"/>
  <c r="A303" i="6" s="1"/>
  <c r="G279" i="3"/>
  <c r="F866" i="3"/>
  <c r="E518" i="3"/>
  <c r="F509" i="3"/>
  <c r="F92" i="3"/>
  <c r="D1015" i="3"/>
  <c r="F26" i="3"/>
  <c r="D291" i="3"/>
  <c r="E144" i="3"/>
  <c r="F1058" i="3"/>
  <c r="D592" i="3"/>
  <c r="E289" i="3"/>
  <c r="D256" i="3"/>
  <c r="F557" i="3"/>
  <c r="F894" i="3"/>
  <c r="E841" i="3"/>
  <c r="E183" i="3"/>
  <c r="F512" i="3"/>
  <c r="E522" i="3"/>
  <c r="D543" i="3"/>
  <c r="F1014" i="3"/>
  <c r="E189" i="3"/>
  <c r="G433" i="3"/>
  <c r="D1080" i="3"/>
  <c r="G21" i="3"/>
  <c r="D348" i="3"/>
  <c r="F681" i="3"/>
  <c r="F1019" i="3"/>
  <c r="G22" i="3"/>
  <c r="D101" i="3"/>
  <c r="G451" i="3"/>
  <c r="E668" i="3"/>
  <c r="D923" i="3"/>
  <c r="F33" i="3"/>
  <c r="F747" i="3"/>
  <c r="D944" i="3"/>
  <c r="E1017" i="3"/>
  <c r="F68" i="3"/>
  <c r="E625" i="3"/>
  <c r="F427" i="3"/>
  <c r="D333" i="3"/>
  <c r="E24" i="3"/>
  <c r="F765" i="3"/>
  <c r="D88" i="3"/>
  <c r="G371" i="3"/>
  <c r="E1069" i="3"/>
  <c r="D762" i="3"/>
  <c r="F313" i="3"/>
  <c r="D292" i="3"/>
  <c r="G165" i="3"/>
  <c r="F714" i="3"/>
  <c r="F459" i="3"/>
  <c r="D301" i="3"/>
  <c r="E1078" i="3"/>
  <c r="F733" i="3"/>
  <c r="G1074" i="3"/>
  <c r="F91" i="3"/>
  <c r="G423" i="3"/>
  <c r="F761" i="3"/>
  <c r="F1079" i="3"/>
  <c r="E69" i="3"/>
  <c r="E944" i="3"/>
  <c r="F1025" i="3"/>
  <c r="D278" i="3"/>
  <c r="D385" i="3"/>
  <c r="F674" i="3"/>
  <c r="E633" i="3"/>
  <c r="D1055" i="3"/>
  <c r="D330" i="3"/>
  <c r="D1005" i="3"/>
  <c r="G1004" i="3"/>
  <c r="G315" i="3"/>
  <c r="E578" i="3"/>
  <c r="G973" i="3"/>
  <c r="F972" i="3"/>
  <c r="D1087" i="3"/>
  <c r="F298" i="3"/>
  <c r="D679" i="3"/>
  <c r="D647" i="3"/>
  <c r="F1023" i="3"/>
  <c r="F102" i="3"/>
  <c r="F544" i="3"/>
  <c r="G528" i="3"/>
  <c r="D144" i="3"/>
  <c r="E1026" i="3"/>
  <c r="G592" i="3"/>
  <c r="E431" i="3"/>
  <c r="F144" i="3"/>
  <c r="D398" i="3"/>
  <c r="D629" i="3"/>
  <c r="D725" i="3"/>
  <c r="F843" i="3"/>
  <c r="F51" i="3"/>
  <c r="F385" i="3"/>
  <c r="D690" i="3"/>
  <c r="F664" i="3"/>
  <c r="E302" i="3"/>
  <c r="G683" i="3"/>
  <c r="E864" i="3"/>
  <c r="E1082" i="3"/>
  <c r="E395" i="3"/>
  <c r="D369" i="3"/>
  <c r="E653" i="3"/>
  <c r="E769" i="3"/>
  <c r="F1087" i="3"/>
  <c r="D314" i="3"/>
  <c r="G27" i="3"/>
  <c r="G25" i="3"/>
  <c r="G174" i="3"/>
  <c r="E946" i="3"/>
  <c r="G603" i="3"/>
  <c r="E484" i="3"/>
  <c r="D445" i="3"/>
  <c r="D852" i="3"/>
  <c r="F637" i="3"/>
  <c r="E464" i="3"/>
  <c r="D814" i="3"/>
  <c r="E1034" i="3"/>
  <c r="G824" i="3"/>
  <c r="E186" i="3"/>
  <c r="D601" i="3"/>
  <c r="D532" i="3"/>
  <c r="G853" i="3"/>
  <c r="D501" i="3"/>
  <c r="G947" i="3"/>
  <c r="F938" i="3"/>
  <c r="G145" i="3"/>
  <c r="G469" i="3"/>
  <c r="F585" i="3"/>
  <c r="D623" i="3"/>
  <c r="E821" i="3"/>
  <c r="D127" i="3"/>
  <c r="G513" i="3"/>
  <c r="D564" i="3"/>
  <c r="E36" i="3"/>
  <c r="E260" i="3"/>
  <c r="D1028" i="3"/>
  <c r="D666" i="3"/>
  <c r="D272" i="3"/>
  <c r="E277" i="3"/>
  <c r="E401" i="3"/>
  <c r="D323" i="3"/>
  <c r="G835" i="3"/>
  <c r="E494" i="3"/>
  <c r="G869" i="3"/>
  <c r="E554" i="3"/>
  <c r="D617" i="3"/>
  <c r="F203" i="3"/>
  <c r="G840" i="3"/>
  <c r="G1050" i="3"/>
  <c r="D830" i="3"/>
  <c r="E480" i="3"/>
  <c r="D167" i="3"/>
  <c r="D809" i="3"/>
  <c r="E862" i="3"/>
  <c r="D362" i="3"/>
  <c r="E103" i="3"/>
  <c r="G923" i="3"/>
  <c r="D668" i="3"/>
  <c r="E409" i="3"/>
  <c r="F845" i="3"/>
  <c r="E844" i="3"/>
  <c r="G246" i="3"/>
  <c r="F391" i="3"/>
  <c r="D574" i="3"/>
  <c r="F686" i="3"/>
  <c r="F1016" i="3"/>
  <c r="F217" i="3"/>
  <c r="F1022" i="3"/>
  <c r="D969" i="3"/>
  <c r="F255" i="3"/>
  <c r="G556" i="3"/>
  <c r="D990" i="3"/>
  <c r="G937" i="3"/>
  <c r="G1000" i="3"/>
  <c r="G258" i="3"/>
  <c r="F547" i="3"/>
  <c r="D691" i="3"/>
  <c r="F808" i="3"/>
  <c r="F275" i="3"/>
  <c r="D566" i="3"/>
  <c r="F351" i="3"/>
  <c r="F263" i="3"/>
  <c r="G1009" i="3"/>
  <c r="E614" i="3"/>
  <c r="G445" i="3"/>
  <c r="D488" i="3"/>
  <c r="E285" i="3"/>
  <c r="G341" i="3"/>
  <c r="F451" i="3"/>
  <c r="E709" i="3"/>
  <c r="G827" i="3"/>
  <c r="G385" i="3"/>
  <c r="G976" i="3"/>
  <c r="E1076" i="3"/>
  <c r="F382" i="3"/>
  <c r="D747" i="3"/>
  <c r="F944" i="3"/>
  <c r="F1017" i="3"/>
  <c r="D50" i="3"/>
  <c r="E353" i="3"/>
  <c r="G738" i="3"/>
  <c r="E712" i="3"/>
  <c r="G1087" i="3"/>
  <c r="G170" i="3"/>
  <c r="D436" i="3"/>
  <c r="E477" i="3"/>
  <c r="G143" i="3"/>
  <c r="G817" i="3"/>
  <c r="E656" i="3"/>
  <c r="G365" i="3"/>
  <c r="D587" i="3"/>
  <c r="F285" i="3"/>
  <c r="D216" i="3"/>
  <c r="E557" i="3"/>
  <c r="D563" i="3"/>
  <c r="F707" i="3"/>
  <c r="D808" i="3"/>
  <c r="E267" i="3"/>
  <c r="E601" i="3"/>
  <c r="F532" i="3"/>
  <c r="D184" i="3"/>
  <c r="D448" i="3"/>
  <c r="D1011" i="3"/>
  <c r="G1002" i="3"/>
  <c r="G152" i="3"/>
  <c r="E251" i="3"/>
  <c r="G569" i="3"/>
  <c r="E607" i="3"/>
  <c r="F901" i="3"/>
  <c r="F127" i="3"/>
  <c r="F338" i="3"/>
  <c r="D368" i="3"/>
  <c r="D406" i="3"/>
  <c r="F1078" i="3"/>
  <c r="G765" i="3"/>
  <c r="D411" i="3"/>
  <c r="G390" i="3"/>
  <c r="G272" i="3"/>
  <c r="D486" i="3"/>
  <c r="F862" i="3"/>
  <c r="G512" i="3"/>
  <c r="F904" i="3"/>
  <c r="F645" i="3"/>
  <c r="E542" i="3"/>
  <c r="F281" i="3"/>
  <c r="G1094" i="3"/>
  <c r="F812" i="3"/>
  <c r="G813" i="3"/>
  <c r="E652" i="3"/>
  <c r="E246" i="3"/>
  <c r="G844" i="3"/>
  <c r="D845" i="3"/>
  <c r="F360" i="3"/>
  <c r="F123" i="3"/>
  <c r="F950" i="3"/>
  <c r="E612" i="3"/>
  <c r="G428" i="3"/>
  <c r="D516" i="3"/>
  <c r="G925" i="3"/>
  <c r="F924" i="3"/>
  <c r="E1088" i="3"/>
  <c r="G375" i="3"/>
  <c r="G654" i="3"/>
  <c r="G766" i="3"/>
  <c r="E1016" i="3"/>
  <c r="E530" i="3"/>
  <c r="E829" i="3"/>
  <c r="D828" i="3"/>
  <c r="F214" i="3"/>
  <c r="G636" i="3"/>
  <c r="D638" i="3"/>
  <c r="E750" i="3"/>
  <c r="D984" i="3"/>
  <c r="E265" i="3"/>
  <c r="G547" i="3"/>
  <c r="E691" i="3"/>
  <c r="F88" i="3"/>
  <c r="E881" i="3"/>
  <c r="G550" i="3"/>
  <c r="G257" i="3"/>
  <c r="D215" i="3"/>
  <c r="F929" i="3"/>
  <c r="G447" i="3"/>
  <c r="E880" i="3"/>
  <c r="E1036" i="3"/>
  <c r="E347" i="3"/>
  <c r="D321" i="3"/>
  <c r="G743" i="3"/>
  <c r="E721" i="3"/>
  <c r="G1088" i="3"/>
  <c r="E391" i="3"/>
  <c r="D941" i="3"/>
  <c r="G940" i="3"/>
  <c r="F269" i="3"/>
  <c r="F615" i="3"/>
  <c r="G909" i="3"/>
  <c r="F908" i="3"/>
  <c r="D1068" i="3"/>
  <c r="G359" i="3"/>
  <c r="G638" i="3"/>
  <c r="G750" i="3"/>
  <c r="F1000" i="3"/>
  <c r="G79" i="3"/>
  <c r="F608" i="3"/>
  <c r="D250" i="3"/>
  <c r="D222" i="3"/>
  <c r="F852" i="3"/>
  <c r="D651" i="3"/>
  <c r="E495" i="3"/>
  <c r="D279" i="3"/>
  <c r="A279" i="6" s="1"/>
  <c r="F81" i="3"/>
  <c r="D166" i="3"/>
  <c r="G421" i="3"/>
  <c r="E534" i="3"/>
  <c r="D575" i="3"/>
  <c r="D1046" i="3"/>
  <c r="F148" i="3"/>
  <c r="G465" i="3"/>
  <c r="E613" i="3"/>
  <c r="G84" i="3"/>
  <c r="F430" i="3"/>
  <c r="E768" i="3"/>
  <c r="D975" i="3"/>
  <c r="G89" i="3"/>
  <c r="D132" i="3"/>
  <c r="E433" i="3"/>
  <c r="G581" i="3"/>
  <c r="G918" i="3"/>
  <c r="F96" i="3"/>
  <c r="D468" i="3"/>
  <c r="F482" i="3"/>
  <c r="G463" i="3"/>
  <c r="E66" i="3"/>
  <c r="E871" i="3"/>
  <c r="F425" i="3"/>
  <c r="F431" i="3"/>
  <c r="F561" i="3"/>
  <c r="D844" i="3"/>
  <c r="E845" i="3"/>
  <c r="D551" i="3"/>
  <c r="D1092" i="3"/>
  <c r="F753" i="3"/>
  <c r="D775" i="3"/>
  <c r="F394" i="3"/>
  <c r="F1031" i="3"/>
  <c r="F848" i="3"/>
  <c r="D643" i="3"/>
  <c r="G278" i="3"/>
  <c r="E1025" i="3"/>
  <c r="G880" i="3"/>
  <c r="D474" i="3"/>
  <c r="D244" i="3"/>
  <c r="E933" i="3"/>
  <c r="D634" i="3"/>
  <c r="E600" i="3"/>
  <c r="G405" i="3"/>
  <c r="E429" i="3"/>
  <c r="E1004" i="3"/>
  <c r="E689" i="3"/>
  <c r="G34" i="3"/>
  <c r="G332" i="3"/>
  <c r="E681" i="3"/>
  <c r="D1051" i="3"/>
  <c r="D55" i="3"/>
  <c r="F300" i="3"/>
  <c r="F531" i="3"/>
  <c r="E641" i="3"/>
  <c r="G907" i="3"/>
  <c r="D87" i="3"/>
  <c r="F344" i="3"/>
  <c r="G928" i="3"/>
  <c r="F1093" i="3"/>
  <c r="F334" i="3"/>
  <c r="F86" i="3"/>
  <c r="G593" i="3"/>
  <c r="E456" i="3"/>
  <c r="E169" i="3"/>
  <c r="D978" i="3"/>
  <c r="D577" i="3"/>
  <c r="G504" i="3"/>
  <c r="F47" i="3"/>
  <c r="G772" i="3"/>
  <c r="G523" i="3"/>
  <c r="E365" i="3"/>
  <c r="A365" i="6" s="1"/>
  <c r="D24" i="3"/>
  <c r="A24" i="6" s="1"/>
  <c r="G236" i="3"/>
  <c r="E489" i="3"/>
  <c r="D527" i="3"/>
  <c r="E74" i="3"/>
  <c r="E919" i="3"/>
  <c r="D545" i="3"/>
  <c r="D509" i="3"/>
  <c r="G276" i="3"/>
  <c r="D562" i="3"/>
  <c r="F941" i="3"/>
  <c r="E940" i="3"/>
  <c r="G269" i="3"/>
  <c r="E362" i="3"/>
  <c r="D648" i="3"/>
  <c r="G659" i="3"/>
  <c r="E856" i="3"/>
  <c r="D235" i="3"/>
  <c r="F899" i="3"/>
  <c r="E890" i="3"/>
  <c r="G182" i="3"/>
  <c r="F421" i="3"/>
  <c r="E867" i="3"/>
  <c r="D858" i="3"/>
  <c r="D869" i="3"/>
  <c r="E148" i="3"/>
  <c r="E412" i="3"/>
  <c r="G596" i="3"/>
  <c r="D950" i="3"/>
  <c r="F439" i="3"/>
  <c r="E649" i="3"/>
  <c r="G1095" i="3"/>
  <c r="G26" i="3"/>
  <c r="D932" i="3"/>
  <c r="F735" i="3"/>
  <c r="D386" i="3"/>
  <c r="F245" i="3"/>
  <c r="E916" i="3"/>
  <c r="E524" i="3"/>
  <c r="F319" i="3"/>
  <c r="E231" i="3"/>
  <c r="G977" i="3"/>
  <c r="F619" i="3"/>
  <c r="F340" i="3"/>
  <c r="G77" i="3"/>
  <c r="E929" i="3"/>
  <c r="F767" i="3"/>
  <c r="D354" i="3"/>
  <c r="F213" i="3"/>
  <c r="E884" i="3"/>
  <c r="F979" i="3"/>
  <c r="E970" i="3"/>
  <c r="G109" i="3"/>
  <c r="F501" i="3"/>
  <c r="E947" i="3"/>
  <c r="D938" i="3"/>
  <c r="F729" i="3"/>
  <c r="F1029" i="3"/>
  <c r="F37" i="3"/>
  <c r="D112" i="3"/>
  <c r="G499" i="3"/>
  <c r="E716" i="3"/>
  <c r="D971" i="3"/>
  <c r="E71" i="3"/>
  <c r="F790" i="3"/>
  <c r="G1065" i="3"/>
  <c r="F23" i="3"/>
  <c r="F373" i="3"/>
  <c r="D758" i="3"/>
  <c r="G700" i="3"/>
  <c r="F955" i="3"/>
  <c r="D49" i="3"/>
  <c r="E376" i="3"/>
  <c r="G802" i="3"/>
  <c r="G776" i="3"/>
  <c r="E52" i="3"/>
  <c r="G871" i="3"/>
  <c r="D489" i="3"/>
  <c r="F527" i="3"/>
  <c r="G106" i="3"/>
  <c r="D919" i="3"/>
  <c r="G836" i="3"/>
  <c r="E809" i="3"/>
  <c r="G98" i="3"/>
  <c r="E471" i="3"/>
  <c r="D465" i="3"/>
  <c r="A465" i="6" s="1"/>
  <c r="G815" i="3"/>
  <c r="F854" i="3"/>
  <c r="E112" i="3"/>
  <c r="G515" i="3"/>
  <c r="E1061" i="3"/>
  <c r="G53" i="3"/>
  <c r="D380" i="3"/>
  <c r="F713" i="3"/>
  <c r="G1080" i="3"/>
  <c r="F21" i="3"/>
  <c r="G96" i="3"/>
  <c r="G483" i="3"/>
  <c r="E700" i="3"/>
  <c r="D955" i="3"/>
  <c r="G65" i="3"/>
  <c r="G220" i="3"/>
  <c r="F418" i="3"/>
  <c r="E388" i="3"/>
  <c r="D108" i="3"/>
  <c r="D834" i="3"/>
  <c r="E740" i="3"/>
  <c r="G721" i="3"/>
  <c r="F411" i="3"/>
  <c r="F372" i="3"/>
  <c r="E221" i="3"/>
  <c r="G583" i="3"/>
  <c r="F695" i="3"/>
  <c r="D673" i="3"/>
  <c r="E1023" i="3"/>
  <c r="D327" i="3"/>
  <c r="F514" i="3"/>
  <c r="E771" i="3"/>
  <c r="A771" i="6" s="1"/>
  <c r="D198" i="3"/>
  <c r="F620" i="3"/>
  <c r="E1038" i="3"/>
  <c r="F985" i="3"/>
  <c r="E271" i="3"/>
  <c r="F311" i="3"/>
  <c r="E595" i="3"/>
  <c r="G739" i="3"/>
  <c r="E936" i="3"/>
  <c r="G210" i="3"/>
  <c r="E117" i="3"/>
  <c r="F370" i="3"/>
  <c r="G241" i="3"/>
  <c r="F208" i="3"/>
  <c r="G881" i="3"/>
  <c r="F587" i="3"/>
  <c r="F308" i="3"/>
  <c r="G1090" i="3"/>
  <c r="F39" i="3"/>
  <c r="G1081" i="3"/>
  <c r="E631" i="3"/>
  <c r="G101" i="3"/>
  <c r="G886" i="3"/>
  <c r="D847" i="3"/>
  <c r="F506" i="3"/>
  <c r="E173" i="3"/>
  <c r="G130" i="3"/>
  <c r="D943" i="3"/>
  <c r="A943" i="6" s="1"/>
  <c r="E736" i="3"/>
  <c r="D535" i="3"/>
  <c r="D89" i="3"/>
  <c r="G543" i="3"/>
  <c r="F522" i="3"/>
  <c r="G362" i="3"/>
  <c r="G1045" i="3"/>
  <c r="G696" i="3"/>
  <c r="E911" i="3"/>
  <c r="D763" i="3"/>
  <c r="F960" i="3"/>
  <c r="F1043" i="3"/>
  <c r="E369" i="3"/>
  <c r="G754" i="3"/>
  <c r="E728" i="3"/>
  <c r="F1055" i="3"/>
  <c r="F667" i="3"/>
  <c r="D864" i="3"/>
  <c r="D1082" i="3"/>
  <c r="D379" i="3"/>
  <c r="G658" i="3"/>
  <c r="E738" i="3"/>
  <c r="G712" i="3"/>
  <c r="E1071" i="3"/>
  <c r="G378" i="3"/>
  <c r="E679" i="3"/>
  <c r="F647" i="3"/>
  <c r="F111" i="3"/>
  <c r="F898" i="3"/>
  <c r="G520" i="3"/>
  <c r="E504" i="3"/>
  <c r="D169" i="3"/>
  <c r="G946" i="3"/>
  <c r="E153" i="3"/>
  <c r="F1080" i="3"/>
  <c r="D991" i="3"/>
  <c r="F64" i="3"/>
  <c r="D148" i="3"/>
  <c r="E449" i="3"/>
  <c r="G597" i="3"/>
  <c r="G934" i="3"/>
  <c r="G112" i="3"/>
  <c r="G688" i="3"/>
  <c r="F895" i="3"/>
  <c r="A895" i="6" s="1"/>
  <c r="F82" i="3"/>
  <c r="D439" i="3"/>
  <c r="F649" i="3"/>
  <c r="E863" i="3"/>
  <c r="E918" i="3"/>
  <c r="D80" i="3"/>
  <c r="G426" i="3"/>
  <c r="F700" i="3"/>
  <c r="E955" i="3"/>
  <c r="G86" i="3"/>
  <c r="D692" i="3"/>
  <c r="F539" i="3"/>
  <c r="G486" i="3"/>
  <c r="G97" i="3"/>
  <c r="D983" i="3"/>
  <c r="F623" i="3"/>
  <c r="F193" i="3"/>
  <c r="A193" i="6" s="1"/>
  <c r="E816" i="3"/>
  <c r="E972" i="3"/>
  <c r="F276" i="3"/>
  <c r="E394" i="3"/>
  <c r="G679" i="3"/>
  <c r="G647" i="3"/>
  <c r="D1089" i="3"/>
  <c r="E327" i="3"/>
  <c r="D877" i="3"/>
  <c r="G876" i="3"/>
  <c r="D205" i="3"/>
  <c r="F551" i="3"/>
  <c r="G845" i="3"/>
  <c r="F844" i="3"/>
  <c r="F1073" i="3"/>
  <c r="G295" i="3"/>
  <c r="E574" i="3"/>
  <c r="G686" i="3"/>
  <c r="F936" i="3"/>
  <c r="D25" i="3"/>
  <c r="G671" i="3"/>
  <c r="E354" i="3"/>
  <c r="G213" i="3"/>
  <c r="F916" i="3"/>
  <c r="D719" i="3"/>
  <c r="D422" i="3"/>
  <c r="D277" i="3"/>
  <c r="E89" i="3"/>
  <c r="F975" i="3"/>
  <c r="G768" i="3"/>
  <c r="G164" i="3"/>
  <c r="F869" i="3"/>
  <c r="E575" i="3"/>
  <c r="G534" i="3"/>
  <c r="E219" i="3"/>
  <c r="F109" i="3"/>
  <c r="A109" i="6" s="1"/>
  <c r="G970" i="3"/>
  <c r="D979" i="3"/>
  <c r="D416" i="3"/>
  <c r="D152" i="3"/>
  <c r="E675" i="3"/>
  <c r="E663" i="3"/>
  <c r="E360" i="3"/>
  <c r="D33" i="3"/>
  <c r="F939" i="3"/>
  <c r="G921" i="3"/>
  <c r="F325" i="3"/>
  <c r="D710" i="3"/>
  <c r="G641" i="3"/>
  <c r="F907" i="3"/>
  <c r="E50" i="3"/>
  <c r="E328" i="3"/>
  <c r="D754" i="3"/>
  <c r="F728" i="3"/>
  <c r="E366" i="3"/>
  <c r="G747" i="3"/>
  <c r="E928" i="3"/>
  <c r="D1093" i="3"/>
  <c r="D334" i="3"/>
  <c r="G312" i="3"/>
  <c r="F722" i="3"/>
  <c r="D696" i="3"/>
  <c r="D28" i="3"/>
  <c r="D378" i="3"/>
  <c r="E118" i="3"/>
  <c r="F79" i="3"/>
  <c r="F124" i="3"/>
  <c r="E882" i="3"/>
  <c r="F500" i="3"/>
  <c r="E424" i="3"/>
  <c r="E143" i="3"/>
  <c r="E83" i="3"/>
  <c r="F665" i="3"/>
  <c r="F1051" i="3"/>
  <c r="G55" i="3"/>
  <c r="D85" i="3"/>
  <c r="G435" i="3"/>
  <c r="D641" i="3"/>
  <c r="D907" i="3"/>
  <c r="E726" i="3"/>
  <c r="F1056" i="3"/>
  <c r="G1066" i="3"/>
  <c r="F309" i="3"/>
  <c r="D694" i="3"/>
  <c r="D773" i="3"/>
  <c r="F891" i="3"/>
  <c r="E34" i="3"/>
  <c r="E312" i="3"/>
  <c r="D738" i="3"/>
  <c r="F712" i="3"/>
  <c r="D243" i="3"/>
  <c r="G935" i="3"/>
  <c r="G420" i="3"/>
  <c r="D613" i="3"/>
  <c r="G160" i="3"/>
  <c r="G1010" i="3"/>
  <c r="F187" i="3"/>
  <c r="D804" i="3"/>
  <c r="G990" i="3"/>
  <c r="F937" i="3"/>
  <c r="D223" i="3"/>
  <c r="D281" i="3"/>
  <c r="E547" i="3"/>
  <c r="G691" i="3"/>
  <c r="E888" i="3"/>
  <c r="G267" i="3"/>
  <c r="E894" i="3"/>
  <c r="D841" i="3"/>
  <c r="G200" i="3"/>
  <c r="E512" i="3"/>
  <c r="D862" i="3"/>
  <c r="G809" i="3"/>
  <c r="G872" i="3"/>
  <c r="F235" i="3"/>
  <c r="G552" i="3"/>
  <c r="E586" i="3"/>
  <c r="G901" i="3"/>
  <c r="D204" i="3"/>
  <c r="D794" i="3"/>
  <c r="G352" i="3"/>
  <c r="E326" i="3"/>
  <c r="F1027" i="3"/>
  <c r="F685" i="3"/>
  <c r="F488" i="3"/>
  <c r="E405" i="3"/>
  <c r="E152" i="3"/>
  <c r="E1002" i="3"/>
  <c r="F1011" i="3"/>
  <c r="G283" i="3"/>
  <c r="E904" i="3"/>
  <c r="G707" i="3"/>
  <c r="E563" i="3"/>
  <c r="G268" i="3"/>
  <c r="D239" i="3"/>
  <c r="F953" i="3"/>
  <c r="G1006" i="3"/>
  <c r="F588" i="3"/>
  <c r="F271" i="3"/>
  <c r="G798" i="3"/>
  <c r="G786" i="3"/>
  <c r="G474" i="3"/>
  <c r="F128" i="3"/>
  <c r="E966" i="3"/>
  <c r="F1021" i="3"/>
  <c r="D121" i="3"/>
  <c r="F142" i="3"/>
  <c r="F347" i="3"/>
  <c r="E315" i="3"/>
  <c r="D1035" i="3"/>
  <c r="D902" i="3"/>
  <c r="F166" i="3"/>
  <c r="E421" i="3"/>
  <c r="D851" i="3"/>
  <c r="G842" i="3"/>
  <c r="E134" i="3"/>
  <c r="G163" i="3"/>
  <c r="F529" i="3"/>
  <c r="F580" i="3"/>
  <c r="G1014" i="3"/>
  <c r="E178" i="3"/>
  <c r="E777" i="3"/>
  <c r="F1095" i="3"/>
  <c r="G75" i="3"/>
  <c r="G43" i="3"/>
  <c r="G823" i="3"/>
  <c r="E482" i="3"/>
  <c r="F463" i="3"/>
  <c r="F45" i="3"/>
  <c r="A45" i="6" s="1"/>
  <c r="D807" i="3"/>
  <c r="F107" i="3"/>
  <c r="G307" i="3"/>
  <c r="D1060" i="3"/>
  <c r="D698" i="3"/>
  <c r="G386" i="3"/>
  <c r="E245" i="3"/>
  <c r="F156" i="3"/>
  <c r="E749" i="3"/>
  <c r="D400" i="3"/>
  <c r="E374" i="3"/>
  <c r="F1037" i="3"/>
  <c r="G788" i="3"/>
  <c r="G1086" i="3"/>
  <c r="F32" i="3"/>
  <c r="E357" i="3"/>
  <c r="G726" i="3"/>
  <c r="G1056" i="3"/>
  <c r="E1066" i="3"/>
  <c r="F103" i="3"/>
  <c r="F346" i="3"/>
  <c r="D727" i="3"/>
  <c r="F705" i="3"/>
  <c r="F1049" i="3"/>
  <c r="E572" i="3"/>
  <c r="F1006" i="3"/>
  <c r="E953" i="3"/>
  <c r="G223" i="3"/>
  <c r="D540" i="3"/>
  <c r="G542" i="3"/>
  <c r="G645" i="3"/>
  <c r="D888" i="3"/>
  <c r="F242" i="3"/>
  <c r="D584" i="3"/>
  <c r="F618" i="3"/>
  <c r="D136" i="3"/>
  <c r="F533" i="3"/>
  <c r="E41" i="3"/>
  <c r="E218" i="3"/>
  <c r="E176" i="3"/>
  <c r="A176" i="6" s="1"/>
  <c r="D817" i="3"/>
  <c r="G555" i="3"/>
  <c r="F202" i="3"/>
  <c r="E159" i="3"/>
  <c r="F930" i="3"/>
  <c r="A930" i="6" s="1"/>
  <c r="F593" i="3"/>
  <c r="D456" i="3"/>
  <c r="E142" i="3"/>
  <c r="G850" i="3"/>
  <c r="D20" i="3"/>
  <c r="D26" i="3"/>
  <c r="D143" i="3"/>
  <c r="D849" i="3"/>
  <c r="A849" i="6" s="1"/>
  <c r="G656" i="3"/>
  <c r="E275" i="3"/>
  <c r="D125" i="3"/>
  <c r="F652" i="3"/>
  <c r="E813" i="3"/>
  <c r="D812" i="3"/>
  <c r="F198" i="3"/>
  <c r="D620" i="3"/>
  <c r="G622" i="3"/>
  <c r="F469" i="3"/>
  <c r="E915" i="3"/>
  <c r="D906" i="3"/>
  <c r="D917" i="3"/>
  <c r="E127" i="3"/>
  <c r="E460" i="3"/>
  <c r="E644" i="3"/>
  <c r="D998" i="3"/>
  <c r="E478" i="3"/>
  <c r="G819" i="3"/>
  <c r="F810" i="3"/>
  <c r="E100" i="3"/>
  <c r="D446" i="3"/>
  <c r="G444" i="3"/>
  <c r="F628" i="3"/>
  <c r="F966" i="3"/>
  <c r="G141" i="3"/>
  <c r="D490" i="3"/>
  <c r="F526" i="3"/>
  <c r="F220" i="3"/>
  <c r="E1027" i="3"/>
  <c r="D749" i="3"/>
  <c r="F368" i="3"/>
  <c r="G406" i="3"/>
  <c r="D1037" i="3"/>
  <c r="E630" i="3"/>
  <c r="F795" i="3"/>
  <c r="G1018" i="3"/>
  <c r="G168" i="3"/>
  <c r="F267" i="3"/>
  <c r="G585" i="3"/>
  <c r="E623" i="3"/>
  <c r="F917" i="3"/>
  <c r="F147" i="3"/>
  <c r="F931" i="3"/>
  <c r="E922" i="3"/>
  <c r="F145" i="3"/>
  <c r="F453" i="3"/>
  <c r="E899" i="3"/>
  <c r="D890" i="3"/>
  <c r="D901" i="3"/>
  <c r="E180" i="3"/>
  <c r="E444" i="3"/>
  <c r="E628" i="3"/>
  <c r="D982" i="3"/>
  <c r="G149" i="3"/>
  <c r="F730" i="3"/>
  <c r="E282" i="3"/>
  <c r="D397" i="3"/>
  <c r="E339" i="3"/>
  <c r="E1028" i="3"/>
  <c r="E393" i="3"/>
  <c r="E199" i="3"/>
  <c r="D1081" i="3"/>
  <c r="D1053" i="3"/>
  <c r="F264" i="3"/>
  <c r="G392" i="3"/>
  <c r="D802" i="3"/>
  <c r="E776" i="3"/>
  <c r="E67" i="3"/>
  <c r="G321" i="3"/>
  <c r="G912" i="3"/>
  <c r="F1077" i="3"/>
  <c r="F318" i="3"/>
  <c r="D683" i="3"/>
  <c r="F880" i="3"/>
  <c r="D1025" i="3"/>
  <c r="E51" i="3"/>
  <c r="E288" i="3"/>
  <c r="G674" i="3"/>
  <c r="D633" i="3"/>
  <c r="G1068" i="3"/>
  <c r="F120" i="3"/>
  <c r="D538" i="3"/>
  <c r="G484" i="3"/>
  <c r="E461" i="3"/>
  <c r="E124" i="3"/>
  <c r="G818" i="3"/>
  <c r="G57" i="3"/>
  <c r="D730" i="3"/>
  <c r="G331" i="3"/>
  <c r="D1020" i="3"/>
  <c r="G791" i="3"/>
  <c r="G337" i="3"/>
  <c r="F792" i="3"/>
  <c r="A792" i="6" s="1"/>
  <c r="G655" i="3"/>
  <c r="D408" i="3"/>
  <c r="G293" i="3"/>
  <c r="F1075" i="3"/>
  <c r="E1024" i="3"/>
  <c r="A1024" i="6" s="1"/>
  <c r="F710" i="3"/>
  <c r="D325" i="3"/>
  <c r="E1003" i="3"/>
  <c r="F543" i="3"/>
  <c r="D522" i="3"/>
  <c r="E242" i="3"/>
  <c r="G984" i="3"/>
  <c r="F448" i="3"/>
  <c r="D455" i="3"/>
  <c r="F672" i="3"/>
  <c r="E879" i="3"/>
  <c r="E934" i="3"/>
  <c r="D96" i="3"/>
  <c r="G442" i="3"/>
  <c r="F716" i="3"/>
  <c r="E971" i="3"/>
  <c r="G364" i="3"/>
  <c r="E713" i="3"/>
  <c r="F1059" i="3"/>
  <c r="F38" i="3"/>
  <c r="F332" i="3"/>
  <c r="E426" i="3"/>
  <c r="D684" i="3"/>
  <c r="G939" i="3"/>
  <c r="G78" i="3"/>
  <c r="F376" i="3"/>
  <c r="G138" i="3"/>
  <c r="F170" i="3"/>
  <c r="D29" i="3"/>
  <c r="F855" i="3"/>
  <c r="D482" i="3"/>
  <c r="F447" i="3"/>
  <c r="G108" i="3"/>
  <c r="D962" i="3"/>
  <c r="E784" i="3"/>
  <c r="D878" i="3"/>
  <c r="G825" i="3"/>
  <c r="G888" i="3"/>
  <c r="F251" i="3"/>
  <c r="G568" i="3"/>
  <c r="E602" i="3"/>
  <c r="G917" i="3"/>
  <c r="G432" i="3"/>
  <c r="G1011" i="3"/>
  <c r="F1002" i="3"/>
  <c r="F136" i="3"/>
  <c r="G533" i="3"/>
  <c r="E552" i="3"/>
  <c r="G586" i="3"/>
  <c r="E885" i="3"/>
  <c r="D196" i="3"/>
  <c r="F444" i="3"/>
  <c r="G628" i="3"/>
  <c r="D43" i="3"/>
  <c r="D980" i="3"/>
  <c r="E714" i="3"/>
  <c r="E427" i="3"/>
  <c r="G333" i="3"/>
  <c r="D1078" i="3"/>
  <c r="E156" i="3"/>
  <c r="E224" i="3"/>
  <c r="G758" i="3"/>
  <c r="F1086" i="3"/>
  <c r="E32" i="3"/>
  <c r="E94" i="3"/>
  <c r="D376" i="3"/>
  <c r="F725" i="3"/>
  <c r="A725" i="6" s="1"/>
  <c r="D843" i="3"/>
  <c r="G67" i="3"/>
  <c r="G661" i="3"/>
  <c r="D992" i="3"/>
  <c r="G1021" i="3"/>
  <c r="G382" i="3"/>
  <c r="E763" i="3"/>
  <c r="D709" i="3"/>
  <c r="F827" i="3"/>
  <c r="F35" i="3"/>
  <c r="F369" i="3"/>
  <c r="D674" i="3"/>
  <c r="F633" i="3"/>
  <c r="E252" i="3"/>
  <c r="D1026" i="3"/>
  <c r="F656" i="3"/>
  <c r="G202" i="3"/>
  <c r="F159" i="3"/>
  <c r="D797" i="3"/>
  <c r="F243" i="3"/>
  <c r="F980" i="3"/>
  <c r="E325" i="3"/>
  <c r="F1066" i="3"/>
  <c r="D1056" i="3"/>
  <c r="E467" i="3"/>
  <c r="F101" i="3"/>
  <c r="F806" i="3"/>
  <c r="F780" i="3"/>
  <c r="D417" i="3"/>
  <c r="E423" i="3"/>
  <c r="D91" i="3"/>
  <c r="E1074" i="3"/>
  <c r="D672" i="3"/>
  <c r="F455" i="3"/>
  <c r="G1030" i="3"/>
  <c r="D675" i="3"/>
  <c r="D663" i="3"/>
  <c r="G270" i="3"/>
  <c r="D1071" i="3"/>
  <c r="E1001" i="3"/>
  <c r="A1001" i="6" s="1"/>
  <c r="F89" i="3"/>
  <c r="G535" i="3"/>
  <c r="D529" i="3"/>
  <c r="E580" i="3"/>
  <c r="F918" i="3"/>
  <c r="D162" i="3"/>
  <c r="D442" i="3"/>
  <c r="F472" i="3"/>
  <c r="A472" i="6" s="1"/>
  <c r="G60" i="3"/>
  <c r="G439" i="3"/>
  <c r="G777" i="3"/>
  <c r="E1095" i="3"/>
  <c r="E75" i="3"/>
  <c r="F146" i="3"/>
  <c r="F409" i="3"/>
  <c r="E764" i="3"/>
  <c r="F779" i="3"/>
  <c r="D78" i="3"/>
  <c r="F211" i="3"/>
  <c r="G491" i="3"/>
  <c r="E290" i="3"/>
  <c r="F63" i="3"/>
  <c r="F756" i="3"/>
  <c r="E539" i="3"/>
  <c r="F470" i="3"/>
  <c r="F749" i="3"/>
  <c r="G510" i="3"/>
  <c r="E851" i="3"/>
  <c r="D842" i="3"/>
  <c r="D853" i="3"/>
  <c r="E132" i="3"/>
  <c r="G529" i="3"/>
  <c r="G580" i="3"/>
  <c r="D934" i="3"/>
  <c r="E414" i="3"/>
  <c r="D768" i="3"/>
  <c r="G975" i="3"/>
  <c r="F73" i="3"/>
  <c r="G519" i="3"/>
  <c r="D513" i="3"/>
  <c r="F863" i="3"/>
  <c r="F902" i="3"/>
  <c r="D146" i="3"/>
  <c r="D426" i="3"/>
  <c r="F456" i="3"/>
  <c r="G155" i="3"/>
  <c r="D1067" i="3"/>
  <c r="G676" i="3"/>
  <c r="G441" i="3"/>
  <c r="F401" i="3"/>
  <c r="D66" i="3"/>
  <c r="E187" i="3"/>
  <c r="F436" i="3"/>
  <c r="E658" i="3"/>
  <c r="F832" i="3"/>
  <c r="E1052" i="3"/>
  <c r="F44" i="3"/>
  <c r="F378" i="3"/>
  <c r="D759" i="3"/>
  <c r="F737" i="3"/>
  <c r="E1089" i="3"/>
  <c r="G562" i="3"/>
  <c r="E957" i="3"/>
  <c r="D956" i="3"/>
  <c r="E269" i="3"/>
  <c r="F516" i="3"/>
  <c r="F743" i="3"/>
  <c r="D721" i="3"/>
  <c r="G1049" i="3"/>
  <c r="D375" i="3"/>
  <c r="F574" i="3"/>
  <c r="D686" i="3"/>
  <c r="D133" i="3"/>
  <c r="E1009" i="3"/>
  <c r="E651" i="3"/>
  <c r="E367" i="3"/>
  <c r="A367" i="6" s="1"/>
  <c r="G238" i="3"/>
  <c r="E836" i="3"/>
  <c r="G427" i="3"/>
  <c r="E174" i="3"/>
  <c r="G455" i="3"/>
  <c r="E82" i="3"/>
  <c r="D528" i="3"/>
  <c r="G481" i="3"/>
  <c r="F164" i="3"/>
  <c r="D1062" i="3"/>
  <c r="D591" i="3"/>
  <c r="F553" i="3"/>
  <c r="G437" i="3"/>
  <c r="D182" i="3"/>
  <c r="F906" i="3"/>
  <c r="G915" i="3"/>
  <c r="D469" i="3"/>
  <c r="G1013" i="3"/>
  <c r="E798" i="3"/>
  <c r="E786" i="3"/>
  <c r="G49" i="3"/>
  <c r="F186" i="3"/>
  <c r="E616" i="3"/>
  <c r="F846" i="3"/>
  <c r="G330" i="3"/>
  <c r="D942" i="3"/>
  <c r="E73" i="3"/>
  <c r="D71" i="3"/>
  <c r="F274" i="3"/>
  <c r="E202" i="3"/>
  <c r="G265" i="3"/>
  <c r="F734" i="3"/>
  <c r="F221" i="3"/>
  <c r="G496" i="3"/>
  <c r="E1068" i="3"/>
  <c r="D605" i="3"/>
  <c r="G42" i="3"/>
  <c r="F508" i="3"/>
  <c r="D650" i="3"/>
  <c r="G678" i="3"/>
  <c r="E162" i="3"/>
  <c r="F515" i="3"/>
  <c r="D548" i="3"/>
  <c r="E949" i="3"/>
  <c r="F464" i="3"/>
  <c r="G253" i="3"/>
  <c r="E210" i="3"/>
  <c r="D331" i="3"/>
  <c r="D1091" i="3"/>
  <c r="F564" i="3"/>
  <c r="G39" i="3"/>
  <c r="F77" i="3"/>
  <c r="F764" i="3"/>
  <c r="D296" i="3"/>
  <c r="E135" i="3"/>
  <c r="G981" i="3"/>
  <c r="G664" i="3"/>
  <c r="D159" i="3"/>
  <c r="F165" i="3"/>
  <c r="F776" i="3"/>
  <c r="E314" i="3"/>
  <c r="E309" i="3"/>
  <c r="G998" i="3"/>
  <c r="F105" i="3"/>
  <c r="D622" i="3"/>
  <c r="E892" i="3"/>
  <c r="D766" i="3"/>
  <c r="G952" i="3"/>
  <c r="F720" i="3"/>
  <c r="G752" i="3"/>
  <c r="E513" i="3"/>
  <c r="D835" i="3"/>
  <c r="E79" i="3"/>
  <c r="D1023" i="3"/>
  <c r="E982" i="3"/>
  <c r="F893" i="3"/>
  <c r="E654" i="3"/>
  <c r="E690" i="3"/>
  <c r="E765" i="3"/>
  <c r="G559" i="3"/>
  <c r="E802" i="3"/>
  <c r="F1053" i="3"/>
  <c r="F959" i="3"/>
  <c r="G891" i="3"/>
  <c r="G826" i="3"/>
  <c r="A826" i="6" s="1"/>
  <c r="D65" i="3"/>
  <c r="G781" i="3"/>
  <c r="D627" i="3"/>
  <c r="A627" i="6" s="1"/>
  <c r="G889" i="3"/>
  <c r="D503" i="3"/>
  <c r="F328" i="3"/>
  <c r="G147" i="3"/>
  <c r="D916" i="3"/>
  <c r="D779" i="3"/>
  <c r="G490" i="3"/>
  <c r="E927" i="3"/>
  <c r="E615" i="3"/>
  <c r="E632" i="3"/>
  <c r="F610" i="3"/>
  <c r="E505" i="3"/>
  <c r="E28" i="3"/>
  <c r="G129" i="3"/>
  <c r="A129" i="6" s="1"/>
  <c r="F1008" i="3"/>
  <c r="D1040" i="3"/>
  <c r="E773" i="3"/>
  <c r="G991" i="3"/>
  <c r="A336" i="6"/>
  <c r="A502" i="6"/>
  <c r="D634" i="2"/>
  <c r="E10" i="2"/>
  <c r="D823" i="2"/>
  <c r="D614" i="2"/>
  <c r="E581" i="2"/>
  <c r="E549" i="2"/>
  <c r="E517" i="2"/>
  <c r="E485" i="2"/>
  <c r="E453" i="2"/>
  <c r="E420" i="2"/>
  <c r="E388" i="2"/>
  <c r="E354" i="2"/>
  <c r="E322" i="2"/>
  <c r="E290" i="2"/>
  <c r="E258" i="2"/>
  <c r="D226" i="2"/>
  <c r="D194" i="2"/>
  <c r="E163" i="2"/>
  <c r="D131" i="2"/>
  <c r="E98" i="2"/>
  <c r="D66" i="2"/>
  <c r="E34" i="2"/>
  <c r="D44" i="2"/>
  <c r="D835" i="2"/>
  <c r="D867" i="2"/>
  <c r="D899" i="2"/>
  <c r="D931" i="2"/>
  <c r="D963" i="2"/>
  <c r="D995" i="2"/>
  <c r="D1027" i="2"/>
  <c r="D1059" i="2"/>
  <c r="D1091" i="2"/>
  <c r="E1084" i="2"/>
  <c r="D37" i="2"/>
  <c r="E69" i="2"/>
  <c r="E100" i="2"/>
  <c r="E132" i="2"/>
  <c r="D164" i="2"/>
  <c r="E197" i="2"/>
  <c r="E229" i="2"/>
  <c r="D261" i="2"/>
  <c r="D293" i="2"/>
  <c r="D325" i="2"/>
  <c r="D357" i="2"/>
  <c r="D391" i="2"/>
  <c r="D423" i="2"/>
  <c r="D454" i="2"/>
  <c r="D486" i="2"/>
  <c r="D518" i="2"/>
  <c r="D550" i="2"/>
  <c r="D582" i="2"/>
  <c r="E613" i="2"/>
  <c r="E645" i="2"/>
  <c r="E677" i="2"/>
  <c r="E708" i="2"/>
  <c r="E746" i="2"/>
  <c r="E778" i="2"/>
  <c r="E810" i="2"/>
  <c r="E842" i="2"/>
  <c r="E874" i="2"/>
  <c r="E906" i="2"/>
  <c r="E938" i="2"/>
  <c r="E970" i="2"/>
  <c r="E1002" i="2"/>
  <c r="E1038" i="2"/>
  <c r="E749" i="2"/>
  <c r="E781" i="2"/>
  <c r="E813" i="2"/>
  <c r="E845" i="2"/>
  <c r="E877" i="2"/>
  <c r="E909" i="2"/>
  <c r="E941" i="2"/>
  <c r="E973" i="2"/>
  <c r="E1005" i="2"/>
  <c r="E1037" i="2"/>
  <c r="E1069" i="2"/>
  <c r="D1040" i="2"/>
  <c r="E39" i="2"/>
  <c r="D71" i="2"/>
  <c r="D102" i="2"/>
  <c r="D134" i="2"/>
  <c r="E166" i="2"/>
  <c r="D199" i="2"/>
  <c r="D231" i="2"/>
  <c r="E263" i="2"/>
  <c r="E295" i="2"/>
  <c r="E327" i="2"/>
  <c r="E359" i="2"/>
  <c r="E397" i="2"/>
  <c r="E428" i="2"/>
  <c r="E460" i="2"/>
  <c r="E492" i="2"/>
  <c r="E524" i="2"/>
  <c r="E556" i="2"/>
  <c r="E588" i="2"/>
  <c r="D619" i="2"/>
  <c r="D651" i="2"/>
  <c r="D683" i="2"/>
  <c r="D714" i="2"/>
  <c r="D748" i="2"/>
  <c r="D780" i="2"/>
  <c r="D812" i="2"/>
  <c r="D844" i="2"/>
  <c r="D876" i="2"/>
  <c r="D908" i="2"/>
  <c r="D940" i="2"/>
  <c r="D972" i="2"/>
  <c r="D1004" i="2"/>
  <c r="D1042" i="2"/>
  <c r="D811" i="2"/>
  <c r="D747" i="2"/>
  <c r="E713" i="2"/>
  <c r="E680" i="2"/>
  <c r="E648" i="2"/>
  <c r="E616" i="2"/>
  <c r="D583" i="2"/>
  <c r="D551" i="2"/>
  <c r="D519" i="2"/>
  <c r="D487" i="2"/>
  <c r="D455" i="2"/>
  <c r="D422" i="2"/>
  <c r="D390" i="2"/>
  <c r="D356" i="2"/>
  <c r="D324" i="2"/>
  <c r="D292" i="2"/>
  <c r="D260" i="2"/>
  <c r="E228" i="2"/>
  <c r="E196" i="2"/>
  <c r="D165" i="2"/>
  <c r="E133" i="2"/>
  <c r="E101" i="2"/>
  <c r="E68" i="2"/>
  <c r="E22" i="2"/>
  <c r="D773" i="2"/>
  <c r="D717" i="2"/>
  <c r="D684" i="2"/>
  <c r="D652" i="2"/>
  <c r="D620" i="2"/>
  <c r="E587" i="2"/>
  <c r="E555" i="2"/>
  <c r="E523" i="2"/>
  <c r="E491" i="2"/>
  <c r="E459" i="2"/>
  <c r="E426" i="2"/>
  <c r="E394" i="2"/>
  <c r="E352" i="2"/>
  <c r="E320" i="2"/>
  <c r="E288" i="2"/>
  <c r="E256" i="2"/>
  <c r="D224" i="2"/>
  <c r="D192" i="2"/>
  <c r="E161" i="2"/>
  <c r="D129" i="2"/>
  <c r="E96" i="2"/>
  <c r="D64" i="2"/>
  <c r="D32" i="2"/>
  <c r="D34" i="2"/>
  <c r="D837" i="2"/>
  <c r="D869" i="2"/>
  <c r="D901" i="2"/>
  <c r="D933" i="2"/>
  <c r="D965" i="2"/>
  <c r="D997" i="2"/>
  <c r="D1029" i="2"/>
  <c r="D1061" i="2"/>
  <c r="D1093" i="2"/>
  <c r="E1088" i="2"/>
  <c r="E31" i="2"/>
  <c r="E63" i="2"/>
  <c r="D95" i="2"/>
  <c r="E126" i="2"/>
  <c r="D158" i="2"/>
  <c r="E191" i="2"/>
  <c r="E223" i="2"/>
  <c r="D255" i="2"/>
  <c r="D287" i="2"/>
  <c r="D319" i="2"/>
  <c r="D351" i="2"/>
  <c r="D389" i="2"/>
  <c r="D421" i="2"/>
  <c r="D452" i="2"/>
  <c r="D484" i="2"/>
  <c r="D516" i="2"/>
  <c r="D548" i="2"/>
  <c r="D580" i="2"/>
  <c r="E611" i="2"/>
  <c r="E643" i="2"/>
  <c r="E675" i="2"/>
  <c r="E706" i="2"/>
  <c r="E740" i="2"/>
  <c r="E772" i="2"/>
  <c r="E804" i="2"/>
  <c r="E836" i="2"/>
  <c r="E868" i="2"/>
  <c r="E900" i="2"/>
  <c r="E932" i="2"/>
  <c r="E964" i="2"/>
  <c r="E996" i="2"/>
  <c r="E1028" i="2"/>
  <c r="E1090" i="2"/>
  <c r="E775" i="2"/>
  <c r="E807" i="2"/>
  <c r="E839" i="2"/>
  <c r="E871" i="2"/>
  <c r="E903" i="2"/>
  <c r="E935" i="2"/>
  <c r="E967" i="2"/>
  <c r="E999" i="2"/>
  <c r="E1031" i="2"/>
  <c r="E1063" i="2"/>
  <c r="E1095" i="2"/>
  <c r="D1092" i="2"/>
  <c r="E33" i="2"/>
  <c r="D65" i="2"/>
  <c r="E97" i="2"/>
  <c r="D128" i="2"/>
  <c r="E160" i="2"/>
  <c r="D193" i="2"/>
  <c r="D225" i="2"/>
  <c r="E257" i="2"/>
  <c r="E289" i="2"/>
  <c r="E321" i="2"/>
  <c r="E353" i="2"/>
  <c r="E403" i="2"/>
  <c r="E434" i="2"/>
  <c r="E466" i="2"/>
  <c r="E498" i="2"/>
  <c r="E530" i="2"/>
  <c r="E562" i="2"/>
  <c r="E594" i="2"/>
  <c r="D625" i="2"/>
  <c r="D657" i="2"/>
  <c r="D689" i="2"/>
  <c r="D720" i="2"/>
  <c r="D758" i="2"/>
  <c r="D790" i="2"/>
  <c r="D822" i="2"/>
  <c r="D854" i="2"/>
  <c r="D886" i="2"/>
  <c r="D918" i="2"/>
  <c r="D950" i="2"/>
  <c r="D982" i="2"/>
  <c r="D1014" i="2"/>
  <c r="D1062" i="2"/>
  <c r="D791" i="2"/>
  <c r="E703" i="2"/>
  <c r="E670" i="2"/>
  <c r="E638" i="2"/>
  <c r="E606" i="2"/>
  <c r="D573" i="2"/>
  <c r="D541" i="2"/>
  <c r="D509" i="2"/>
  <c r="D477" i="2"/>
  <c r="D445" i="2"/>
  <c r="D412" i="2"/>
  <c r="D380" i="2"/>
  <c r="D346" i="2"/>
  <c r="D314" i="2"/>
  <c r="D282" i="2"/>
  <c r="D250" i="2"/>
  <c r="E218" i="2"/>
  <c r="E186" i="2"/>
  <c r="D155" i="2"/>
  <c r="E123" i="2"/>
  <c r="D90" i="2"/>
  <c r="E58" i="2"/>
  <c r="D626" i="2"/>
  <c r="E593" i="2"/>
  <c r="E561" i="2"/>
  <c r="E529" i="2"/>
  <c r="E497" i="2"/>
  <c r="E465" i="2"/>
  <c r="E433" i="2"/>
  <c r="E400" i="2"/>
  <c r="E366" i="2"/>
  <c r="E334" i="2"/>
  <c r="E302" i="2"/>
  <c r="E270" i="2"/>
  <c r="D238" i="2"/>
  <c r="D206" i="2"/>
  <c r="E175" i="2"/>
  <c r="D143" i="2"/>
  <c r="D111" i="2"/>
  <c r="D78" i="2"/>
  <c r="D46" i="2"/>
  <c r="D14" i="2"/>
  <c r="E12" i="2"/>
  <c r="D855" i="2"/>
  <c r="D887" i="2"/>
  <c r="D919" i="2"/>
  <c r="D951" i="2"/>
  <c r="D983" i="2"/>
  <c r="D1015" i="2"/>
  <c r="D1047" i="2"/>
  <c r="D1079" i="2"/>
  <c r="E1060" i="2"/>
  <c r="E17" i="2"/>
  <c r="E49" i="2"/>
  <c r="E81" i="2"/>
  <c r="E112" i="2"/>
  <c r="E144" i="2"/>
  <c r="E177" i="2"/>
  <c r="E209" i="2"/>
  <c r="E241" i="2"/>
  <c r="D273" i="2"/>
  <c r="D305" i="2"/>
  <c r="D337" i="2"/>
  <c r="D387" i="2"/>
  <c r="D419" i="2"/>
  <c r="D450" i="2"/>
  <c r="D482" i="2"/>
  <c r="D514" i="2"/>
  <c r="D546" i="2"/>
  <c r="D578" i="2"/>
  <c r="E609" i="2"/>
  <c r="E641" i="2"/>
  <c r="E673" i="2"/>
  <c r="E704" i="2"/>
  <c r="E742" i="2"/>
  <c r="E774" i="2"/>
  <c r="E806" i="2"/>
  <c r="E838" i="2"/>
  <c r="E870" i="2"/>
  <c r="E902" i="2"/>
  <c r="E934" i="2"/>
  <c r="E966" i="2"/>
  <c r="E998" i="2"/>
  <c r="E1030" i="2"/>
  <c r="E1094" i="2"/>
  <c r="E777" i="2"/>
  <c r="E809" i="2"/>
  <c r="E841" i="2"/>
  <c r="E873" i="2"/>
  <c r="E905" i="2"/>
  <c r="E937" i="2"/>
  <c r="E969" i="2"/>
  <c r="E1001" i="2"/>
  <c r="E1033" i="2"/>
  <c r="E1065" i="2"/>
  <c r="D1032" i="2"/>
  <c r="D1096" i="2"/>
  <c r="E35" i="2"/>
  <c r="D67" i="2"/>
  <c r="E99" i="2"/>
  <c r="D130" i="2"/>
  <c r="E162" i="2"/>
  <c r="D195" i="2"/>
  <c r="D227" i="2"/>
  <c r="E259" i="2"/>
  <c r="E291" i="2"/>
  <c r="E323" i="2"/>
  <c r="E355" i="2"/>
  <c r="E393" i="2"/>
  <c r="E425" i="2"/>
  <c r="E456" i="2"/>
  <c r="E488" i="2"/>
  <c r="E520" i="2"/>
  <c r="E552" i="2"/>
  <c r="E584" i="2"/>
  <c r="D615" i="2"/>
  <c r="D647" i="2"/>
  <c r="D679" i="2"/>
  <c r="D710" i="2"/>
  <c r="D744" i="2"/>
  <c r="D776" i="2"/>
  <c r="D808" i="2"/>
  <c r="D840" i="2"/>
  <c r="D872" i="2"/>
  <c r="D904" i="2"/>
  <c r="D936" i="2"/>
  <c r="D968" i="2"/>
  <c r="D1000" i="2"/>
  <c r="D1034" i="2"/>
  <c r="D819" i="2"/>
  <c r="D755" i="2"/>
  <c r="E709" i="2"/>
  <c r="E676" i="2"/>
  <c r="E644" i="2"/>
  <c r="E612" i="2"/>
  <c r="D579" i="2"/>
  <c r="D547" i="2"/>
  <c r="D515" i="2"/>
  <c r="D483" i="2"/>
  <c r="D451" i="2"/>
  <c r="D418" i="2"/>
  <c r="D386" i="2"/>
  <c r="D344" i="2"/>
  <c r="D312" i="2"/>
  <c r="D280" i="2"/>
  <c r="E248" i="2"/>
  <c r="E216" i="2"/>
  <c r="E184" i="2"/>
  <c r="D153" i="2"/>
  <c r="E121" i="2"/>
  <c r="D88" i="2"/>
  <c r="E56" i="2"/>
  <c r="D813" i="2"/>
  <c r="D749" i="2"/>
  <c r="A749" i="5" s="1"/>
  <c r="D713" i="2"/>
  <c r="D680" i="2"/>
  <c r="D648" i="2"/>
  <c r="D616" i="2"/>
  <c r="E583" i="2"/>
  <c r="E551" i="2"/>
  <c r="E519" i="2"/>
  <c r="E487" i="2"/>
  <c r="E455" i="2"/>
  <c r="E422" i="2"/>
  <c r="E390" i="2"/>
  <c r="E356" i="2"/>
  <c r="E324" i="2"/>
  <c r="E292" i="2"/>
  <c r="E260" i="2"/>
  <c r="D228" i="2"/>
  <c r="D196" i="2"/>
  <c r="E165" i="2"/>
  <c r="D133" i="2"/>
  <c r="D101" i="2"/>
  <c r="D68" i="2"/>
  <c r="E36" i="2"/>
  <c r="D40" i="2"/>
  <c r="D833" i="2"/>
  <c r="D865" i="2"/>
  <c r="D897" i="2"/>
  <c r="D929" i="2"/>
  <c r="D961" i="2"/>
  <c r="D993" i="2"/>
  <c r="D1025" i="2"/>
  <c r="D1057" i="2"/>
  <c r="D1089" i="2"/>
  <c r="E1080" i="2"/>
  <c r="E27" i="2"/>
  <c r="E59" i="2"/>
  <c r="D91" i="2"/>
  <c r="E122" i="2"/>
  <c r="D154" i="2"/>
  <c r="E187" i="2"/>
  <c r="E219" i="2"/>
  <c r="D251" i="2"/>
  <c r="D283" i="2"/>
  <c r="D315" i="2"/>
  <c r="D347" i="2"/>
  <c r="D385" i="2"/>
  <c r="D417" i="2"/>
  <c r="D448" i="2"/>
  <c r="D480" i="2"/>
  <c r="D512" i="2"/>
  <c r="D544" i="2"/>
  <c r="D576" i="2"/>
  <c r="E607" i="2"/>
  <c r="E639" i="2"/>
  <c r="E671" i="2"/>
  <c r="E702" i="2"/>
  <c r="E752" i="2"/>
  <c r="E784" i="2"/>
  <c r="E816" i="2"/>
  <c r="E848" i="2"/>
  <c r="E880" i="2"/>
  <c r="E912" i="2"/>
  <c r="E944" i="2"/>
  <c r="E976" i="2"/>
  <c r="E1008" i="2"/>
  <c r="E1050" i="2"/>
  <c r="E755" i="2"/>
  <c r="E787" i="2"/>
  <c r="E819" i="2"/>
  <c r="E851" i="2"/>
  <c r="E883" i="2"/>
  <c r="E915" i="2"/>
  <c r="E947" i="2"/>
  <c r="E979" i="2"/>
  <c r="E1011" i="2"/>
  <c r="E1043" i="2"/>
  <c r="E1075" i="2"/>
  <c r="D1052" i="2"/>
  <c r="D21" i="2"/>
  <c r="D53" i="2"/>
  <c r="E85" i="2"/>
  <c r="D116" i="2"/>
  <c r="D148" i="2"/>
  <c r="D181" i="2"/>
  <c r="D213" i="2"/>
  <c r="D245" i="2"/>
  <c r="E277" i="2"/>
  <c r="E309" i="2"/>
  <c r="E341" i="2"/>
  <c r="E375" i="2"/>
  <c r="E407" i="2"/>
  <c r="E438" i="2"/>
  <c r="E470" i="2"/>
  <c r="E502" i="2"/>
  <c r="E534" i="2"/>
  <c r="E566" i="2"/>
  <c r="E598" i="2"/>
  <c r="D629" i="2"/>
  <c r="D661" i="2"/>
  <c r="D693" i="2"/>
  <c r="D724" i="2"/>
  <c r="D762" i="2"/>
  <c r="D794" i="2"/>
  <c r="D826" i="2"/>
  <c r="D858" i="2"/>
  <c r="D890" i="2"/>
  <c r="D922" i="2"/>
  <c r="D954" i="2"/>
  <c r="D986" i="2"/>
  <c r="D1018" i="2"/>
  <c r="D1070" i="2"/>
  <c r="D783" i="2"/>
  <c r="E731" i="2"/>
  <c r="E699" i="2"/>
  <c r="E666" i="2"/>
  <c r="E634" i="2"/>
  <c r="E602" i="2"/>
  <c r="D569" i="2"/>
  <c r="D537" i="2"/>
  <c r="D505" i="2"/>
  <c r="D473" i="2"/>
  <c r="E573" i="2"/>
  <c r="E541" i="2"/>
  <c r="E509" i="2"/>
  <c r="E477" i="2"/>
  <c r="E445" i="2"/>
  <c r="E412" i="2"/>
  <c r="E380" i="2"/>
  <c r="E346" i="2"/>
  <c r="E314" i="2"/>
  <c r="E282" i="2"/>
  <c r="E250" i="2"/>
  <c r="D218" i="2"/>
  <c r="D186" i="2"/>
  <c r="E155" i="2"/>
  <c r="D123" i="2"/>
  <c r="E90" i="2"/>
  <c r="D58" i="2"/>
  <c r="D26" i="2"/>
  <c r="E30" i="2"/>
  <c r="D843" i="2"/>
  <c r="D875" i="2"/>
  <c r="D907" i="2"/>
  <c r="D939" i="2"/>
  <c r="D971" i="2"/>
  <c r="D1003" i="2"/>
  <c r="D1035" i="2"/>
  <c r="D1067" i="2"/>
  <c r="E1036" i="2"/>
  <c r="E13" i="2"/>
  <c r="E45" i="2"/>
  <c r="E77" i="2"/>
  <c r="E108" i="2"/>
  <c r="E140" i="2"/>
  <c r="D172" i="2"/>
  <c r="E205" i="2"/>
  <c r="E237" i="2"/>
  <c r="D269" i="2"/>
  <c r="D301" i="2"/>
  <c r="D333" i="2"/>
  <c r="D365" i="2"/>
  <c r="D399" i="2"/>
  <c r="D430" i="2"/>
  <c r="D462" i="2"/>
  <c r="D494" i="2"/>
  <c r="D526" i="2"/>
  <c r="D558" i="2"/>
  <c r="D590" i="2"/>
  <c r="E621" i="2"/>
  <c r="E653" i="2"/>
  <c r="E685" i="2"/>
  <c r="E716" i="2"/>
  <c r="E754" i="2"/>
  <c r="E786" i="2"/>
  <c r="E818" i="2"/>
  <c r="E850" i="2"/>
  <c r="E882" i="2"/>
  <c r="E914" i="2"/>
  <c r="E946" i="2"/>
  <c r="E978" i="2"/>
  <c r="E1010" i="2"/>
  <c r="E1054" i="2"/>
  <c r="E757" i="2"/>
  <c r="E789" i="2"/>
  <c r="E821" i="2"/>
  <c r="E853" i="2"/>
  <c r="E885" i="2"/>
  <c r="E917" i="2"/>
  <c r="E949" i="2"/>
  <c r="E981" i="2"/>
  <c r="E1013" i="2"/>
  <c r="E1045" i="2"/>
  <c r="E1077" i="2"/>
  <c r="D1056" i="2"/>
  <c r="D15" i="2"/>
  <c r="D47" i="2"/>
  <c r="D79" i="2"/>
  <c r="D110" i="2"/>
  <c r="D142" i="2"/>
  <c r="E174" i="2"/>
  <c r="D207" i="2"/>
  <c r="D239" i="2"/>
  <c r="E271" i="2"/>
  <c r="E303" i="2"/>
  <c r="E335" i="2"/>
  <c r="E373" i="2"/>
  <c r="E405" i="2"/>
  <c r="E436" i="2"/>
  <c r="E468" i="2"/>
  <c r="E500" i="2"/>
  <c r="E532" i="2"/>
  <c r="E564" i="2"/>
  <c r="E596" i="2"/>
  <c r="D627" i="2"/>
  <c r="D659" i="2"/>
  <c r="D691" i="2"/>
  <c r="D722" i="2"/>
  <c r="D756" i="2"/>
  <c r="D788" i="2"/>
  <c r="D820" i="2"/>
  <c r="D852" i="2"/>
  <c r="D884" i="2"/>
  <c r="D916" i="2"/>
  <c r="D948" i="2"/>
  <c r="D980" i="2"/>
  <c r="D1012" i="2"/>
  <c r="D1058" i="2"/>
  <c r="D795" i="2"/>
  <c r="E739" i="2"/>
  <c r="E705" i="2"/>
  <c r="E672" i="2"/>
  <c r="E640" i="2"/>
  <c r="E608" i="2"/>
  <c r="D575" i="2"/>
  <c r="D543" i="2"/>
  <c r="D511" i="2"/>
  <c r="D479" i="2"/>
  <c r="D447" i="2"/>
  <c r="D414" i="2"/>
  <c r="D382" i="2"/>
  <c r="D348" i="2"/>
  <c r="D316" i="2"/>
  <c r="D284" i="2"/>
  <c r="D252" i="2"/>
  <c r="E220" i="2"/>
  <c r="E188" i="2"/>
  <c r="D157" i="2"/>
  <c r="E125" i="2"/>
  <c r="D92" i="2"/>
  <c r="E60" i="2"/>
  <c r="D821" i="2"/>
  <c r="D757" i="2"/>
  <c r="D709" i="2"/>
  <c r="D676" i="2"/>
  <c r="D644" i="2"/>
  <c r="D612" i="2"/>
  <c r="E579" i="2"/>
  <c r="E547" i="2"/>
  <c r="E515" i="2"/>
  <c r="E483" i="2"/>
  <c r="E451" i="2"/>
  <c r="E418" i="2"/>
  <c r="E386" i="2"/>
  <c r="E344" i="2"/>
  <c r="E312" i="2"/>
  <c r="E280" i="2"/>
  <c r="D248" i="2"/>
  <c r="D216" i="2"/>
  <c r="D184" i="2"/>
  <c r="E153" i="2"/>
  <c r="D121" i="2"/>
  <c r="E88" i="2"/>
  <c r="D56" i="2"/>
  <c r="D24" i="2"/>
  <c r="E20" i="2"/>
  <c r="D845" i="2"/>
  <c r="A845" i="5" s="1"/>
  <c r="D877" i="2"/>
  <c r="A877" i="5" s="1"/>
  <c r="D909" i="2"/>
  <c r="A909" i="5" s="1"/>
  <c r="D941" i="2"/>
  <c r="A941" i="5" s="1"/>
  <c r="D973" i="2"/>
  <c r="A973" i="5" s="1"/>
  <c r="D1005" i="2"/>
  <c r="A1005" i="5" s="1"/>
  <c r="D1037" i="2"/>
  <c r="A1037" i="5" s="1"/>
  <c r="D1069" i="2"/>
  <c r="A1069" i="5" s="1"/>
  <c r="E1040" i="2"/>
  <c r="D39" i="2"/>
  <c r="A39" i="5" s="1"/>
  <c r="E71" i="2"/>
  <c r="E102" i="2"/>
  <c r="E134" i="2"/>
  <c r="D166" i="2"/>
  <c r="A166" i="5" s="1"/>
  <c r="E199" i="2"/>
  <c r="E231" i="2"/>
  <c r="D263" i="2"/>
  <c r="A263" i="5" s="1"/>
  <c r="D295" i="2"/>
  <c r="A295" i="5" s="1"/>
  <c r="D327" i="2"/>
  <c r="A327" i="5" s="1"/>
  <c r="D359" i="2"/>
  <c r="A359" i="5" s="1"/>
  <c r="D397" i="2"/>
  <c r="A397" i="5" s="1"/>
  <c r="D428" i="2"/>
  <c r="A428" i="5" s="1"/>
  <c r="D460" i="2"/>
  <c r="A460" i="5" s="1"/>
  <c r="D492" i="2"/>
  <c r="A492" i="5" s="1"/>
  <c r="D524" i="2"/>
  <c r="A524" i="5" s="1"/>
  <c r="D556" i="2"/>
  <c r="A556" i="5" s="1"/>
  <c r="D588" i="2"/>
  <c r="A588" i="5" s="1"/>
  <c r="E619" i="2"/>
  <c r="E651" i="2"/>
  <c r="E683" i="2"/>
  <c r="E714" i="2"/>
  <c r="E748" i="2"/>
  <c r="E780" i="2"/>
  <c r="E812" i="2"/>
  <c r="E844" i="2"/>
  <c r="E876" i="2"/>
  <c r="E908" i="2"/>
  <c r="E940" i="2"/>
  <c r="E972" i="2"/>
  <c r="E1004" i="2"/>
  <c r="E1042" i="2"/>
  <c r="E751" i="2"/>
  <c r="E783" i="2"/>
  <c r="E815" i="2"/>
  <c r="E847" i="2"/>
  <c r="E879" i="2"/>
  <c r="E911" i="2"/>
  <c r="E943" i="2"/>
  <c r="E975" i="2"/>
  <c r="E1007" i="2"/>
  <c r="E1039" i="2"/>
  <c r="E1071" i="2"/>
  <c r="D1044" i="2"/>
  <c r="D9" i="2"/>
  <c r="E41" i="2"/>
  <c r="D73" i="2"/>
  <c r="D104" i="2"/>
  <c r="D136" i="2"/>
  <c r="E168" i="2"/>
  <c r="D201" i="2"/>
  <c r="D233" i="2"/>
  <c r="E265" i="2"/>
  <c r="E297" i="2"/>
  <c r="E329" i="2"/>
  <c r="E361" i="2"/>
  <c r="E395" i="2"/>
  <c r="E427" i="2"/>
  <c r="E458" i="2"/>
  <c r="E490" i="2"/>
  <c r="E522" i="2"/>
  <c r="E554" i="2"/>
  <c r="E586" i="2"/>
  <c r="D617" i="2"/>
  <c r="D649" i="2"/>
  <c r="D681" i="2"/>
  <c r="D712" i="2"/>
  <c r="D750" i="2"/>
  <c r="D782" i="2"/>
  <c r="D814" i="2"/>
  <c r="D846" i="2"/>
  <c r="D878" i="2"/>
  <c r="D910" i="2"/>
  <c r="D942" i="2"/>
  <c r="D974" i="2"/>
  <c r="D1006" i="2"/>
  <c r="D1046" i="2"/>
  <c r="D807" i="2"/>
  <c r="E745" i="2"/>
  <c r="E711" i="2"/>
  <c r="E678" i="2"/>
  <c r="E646" i="2"/>
  <c r="E614" i="2"/>
  <c r="D581" i="2"/>
  <c r="A581" i="5" s="1"/>
  <c r="D549" i="2"/>
  <c r="A549" i="5" s="1"/>
  <c r="D517" i="2"/>
  <c r="A517" i="5" s="1"/>
  <c r="D485" i="2"/>
  <c r="A485" i="5" s="1"/>
  <c r="D453" i="2"/>
  <c r="A453" i="5" s="1"/>
  <c r="D420" i="2"/>
  <c r="A420" i="5" s="1"/>
  <c r="D388" i="2"/>
  <c r="A388" i="5" s="1"/>
  <c r="D354" i="2"/>
  <c r="A354" i="5" s="1"/>
  <c r="D322" i="2"/>
  <c r="A322" i="5" s="1"/>
  <c r="D290" i="2"/>
  <c r="A290" i="5" s="1"/>
  <c r="D258" i="2"/>
  <c r="A258" i="5" s="1"/>
  <c r="E226" i="2"/>
  <c r="E194" i="2"/>
  <c r="D163" i="2"/>
  <c r="A163" i="5" s="1"/>
  <c r="E131" i="2"/>
  <c r="D98" i="2"/>
  <c r="A98" i="5" s="1"/>
  <c r="E66" i="2"/>
  <c r="E16" i="2"/>
  <c r="D602" i="2"/>
  <c r="E569" i="2"/>
  <c r="E537" i="2"/>
  <c r="E505" i="2"/>
  <c r="E473" i="2"/>
  <c r="E441" i="2"/>
  <c r="E408" i="2"/>
  <c r="E376" i="2"/>
  <c r="E342" i="2"/>
  <c r="E310" i="2"/>
  <c r="E278" i="2"/>
  <c r="D246" i="2"/>
  <c r="D214" i="2"/>
  <c r="D182" i="2"/>
  <c r="D151" i="2"/>
  <c r="D119" i="2"/>
  <c r="E86" i="2"/>
  <c r="D54" i="2"/>
  <c r="D22" i="2"/>
  <c r="A22" i="5" s="1"/>
  <c r="D831" i="2"/>
  <c r="D863" i="2"/>
  <c r="D895" i="2"/>
  <c r="D927" i="2"/>
  <c r="D959" i="2"/>
  <c r="D991" i="2"/>
  <c r="D1023" i="2"/>
  <c r="D1055" i="2"/>
  <c r="D1087" i="2"/>
  <c r="E1076" i="2"/>
  <c r="E25" i="2"/>
  <c r="E57" i="2"/>
  <c r="D89" i="2"/>
  <c r="E120" i="2"/>
  <c r="E152" i="2"/>
  <c r="E185" i="2"/>
  <c r="E217" i="2"/>
  <c r="D249" i="2"/>
  <c r="D281" i="2"/>
  <c r="D313" i="2"/>
  <c r="D345" i="2"/>
  <c r="D379" i="2"/>
  <c r="D411" i="2"/>
  <c r="D442" i="2"/>
  <c r="D474" i="2"/>
  <c r="D506" i="2"/>
  <c r="D538" i="2"/>
  <c r="D570" i="2"/>
  <c r="E601" i="2"/>
  <c r="E633" i="2"/>
  <c r="E665" i="2"/>
  <c r="E696" i="2"/>
  <c r="E728" i="2"/>
  <c r="E766" i="2"/>
  <c r="E798" i="2"/>
  <c r="E830" i="2"/>
  <c r="E862" i="2"/>
  <c r="E894" i="2"/>
  <c r="E926" i="2"/>
  <c r="E958" i="2"/>
  <c r="E990" i="2"/>
  <c r="E1022" i="2"/>
  <c r="E1078" i="2"/>
  <c r="E769" i="2"/>
  <c r="E801" i="2"/>
  <c r="E833" i="2"/>
  <c r="E865" i="2"/>
  <c r="E897" i="2"/>
  <c r="E929" i="2"/>
  <c r="E961" i="2"/>
  <c r="E993" i="2"/>
  <c r="E1025" i="2"/>
  <c r="E1057" i="2"/>
  <c r="E1089" i="2"/>
  <c r="D1080" i="2"/>
  <c r="D27" i="2"/>
  <c r="D59" i="2"/>
  <c r="E91" i="2"/>
  <c r="D122" i="2"/>
  <c r="E154" i="2"/>
  <c r="D187" i="2"/>
  <c r="D219" i="2"/>
  <c r="E251" i="2"/>
  <c r="E283" i="2"/>
  <c r="E315" i="2"/>
  <c r="E347" i="2"/>
  <c r="E385" i="2"/>
  <c r="E417" i="2"/>
  <c r="E448" i="2"/>
  <c r="E480" i="2"/>
  <c r="E512" i="2"/>
  <c r="E544" i="2"/>
  <c r="E576" i="2"/>
  <c r="D607" i="2"/>
  <c r="D639" i="2"/>
  <c r="D671" i="2"/>
  <c r="D702" i="2"/>
  <c r="D752" i="2"/>
  <c r="D784" i="2"/>
  <c r="D816" i="2"/>
  <c r="D848" i="2"/>
  <c r="D880" i="2"/>
  <c r="D912" i="2"/>
  <c r="D944" i="2"/>
  <c r="D976" i="2"/>
  <c r="D1008" i="2"/>
  <c r="D1050" i="2"/>
  <c r="D803" i="2"/>
  <c r="E743" i="2"/>
  <c r="E701" i="2"/>
  <c r="E668" i="2"/>
  <c r="E636" i="2"/>
  <c r="E604" i="2"/>
  <c r="D571" i="2"/>
  <c r="D539" i="2"/>
  <c r="D507" i="2"/>
  <c r="D475" i="2"/>
  <c r="D443" i="2"/>
  <c r="D410" i="2"/>
  <c r="D378" i="2"/>
  <c r="D336" i="2"/>
  <c r="D304" i="2"/>
  <c r="D272" i="2"/>
  <c r="E240" i="2"/>
  <c r="E208" i="2"/>
  <c r="E176" i="2"/>
  <c r="E145" i="2"/>
  <c r="E113" i="2"/>
  <c r="E80" i="2"/>
  <c r="E48" i="2"/>
  <c r="D765" i="2"/>
  <c r="D721" i="2"/>
  <c r="D688" i="2"/>
  <c r="D656" i="2"/>
  <c r="D624" i="2"/>
  <c r="E591" i="2"/>
  <c r="E559" i="2"/>
  <c r="E527" i="2"/>
  <c r="E495" i="2"/>
  <c r="E463" i="2"/>
  <c r="E431" i="2"/>
  <c r="E398" i="2"/>
  <c r="E364" i="2"/>
  <c r="E332" i="2"/>
  <c r="E300" i="2"/>
  <c r="E268" i="2"/>
  <c r="D236" i="2"/>
  <c r="D204" i="2"/>
  <c r="E173" i="2"/>
  <c r="D141" i="2"/>
  <c r="D109" i="2"/>
  <c r="D76" i="2"/>
  <c r="E44" i="2"/>
  <c r="D12" i="2"/>
  <c r="A12" i="5" s="1"/>
  <c r="D825" i="2"/>
  <c r="D857" i="2"/>
  <c r="D889" i="2"/>
  <c r="D921" i="2"/>
  <c r="D953" i="2"/>
  <c r="D985" i="2"/>
  <c r="D1017" i="2"/>
  <c r="D1049" i="2"/>
  <c r="D1081" i="2"/>
  <c r="E1064" i="2"/>
  <c r="E19" i="2"/>
  <c r="E51" i="2"/>
  <c r="D83" i="2"/>
  <c r="E114" i="2"/>
  <c r="E146" i="2"/>
  <c r="E179" i="2"/>
  <c r="E211" i="2"/>
  <c r="E243" i="2"/>
  <c r="D275" i="2"/>
  <c r="D307" i="2"/>
  <c r="D339" i="2"/>
  <c r="D377" i="2"/>
  <c r="D409" i="2"/>
  <c r="D440" i="2"/>
  <c r="D472" i="2"/>
  <c r="D504" i="2"/>
  <c r="D536" i="2"/>
  <c r="D568" i="2"/>
  <c r="D600" i="2"/>
  <c r="E631" i="2"/>
  <c r="E663" i="2"/>
  <c r="E695" i="2"/>
  <c r="E726" i="2"/>
  <c r="E760" i="2"/>
  <c r="E792" i="2"/>
  <c r="E824" i="2"/>
  <c r="E856" i="2"/>
  <c r="E888" i="2"/>
  <c r="E920" i="2"/>
  <c r="E952" i="2"/>
  <c r="E984" i="2"/>
  <c r="E1016" i="2"/>
  <c r="E1066" i="2"/>
  <c r="E763" i="2"/>
  <c r="E795" i="2"/>
  <c r="E827" i="2"/>
  <c r="E859" i="2"/>
  <c r="E891" i="2"/>
  <c r="E923" i="2"/>
  <c r="E955" i="2"/>
  <c r="E987" i="2"/>
  <c r="E1019" i="2"/>
  <c r="E1051" i="2"/>
  <c r="E1083" i="2"/>
  <c r="D1068" i="2"/>
  <c r="D29" i="2"/>
  <c r="D61" i="2"/>
  <c r="E93" i="2"/>
  <c r="D124" i="2"/>
  <c r="E156" i="2"/>
  <c r="D189" i="2"/>
  <c r="D221" i="2"/>
  <c r="E253" i="2"/>
  <c r="E285" i="2"/>
  <c r="E317" i="2"/>
  <c r="E349" i="2"/>
  <c r="E383" i="2"/>
  <c r="E415" i="2"/>
  <c r="E446" i="2"/>
  <c r="E478" i="2"/>
  <c r="E510" i="2"/>
  <c r="E542" i="2"/>
  <c r="E574" i="2"/>
  <c r="D605" i="2"/>
  <c r="D637" i="2"/>
  <c r="D669" i="2"/>
  <c r="D700" i="2"/>
  <c r="D738" i="2"/>
  <c r="D770" i="2"/>
  <c r="D802" i="2"/>
  <c r="D834" i="2"/>
  <c r="D866" i="2"/>
  <c r="D898" i="2"/>
  <c r="D930" i="2"/>
  <c r="D962" i="2"/>
  <c r="D994" i="2"/>
  <c r="D1026" i="2"/>
  <c r="D1086" i="2"/>
  <c r="D767" i="2"/>
  <c r="E723" i="2"/>
  <c r="E690" i="2"/>
  <c r="E658" i="2"/>
  <c r="E626" i="2"/>
  <c r="D593" i="2"/>
  <c r="D561" i="2"/>
  <c r="D529" i="2"/>
  <c r="D497" i="2"/>
  <c r="D465" i="2"/>
  <c r="D99" i="2"/>
  <c r="D162" i="2"/>
  <c r="E227" i="2"/>
  <c r="D291" i="2"/>
  <c r="D355" i="2"/>
  <c r="D425" i="2"/>
  <c r="D488" i="2"/>
  <c r="A488" i="5" s="1"/>
  <c r="D552" i="2"/>
  <c r="E615" i="2"/>
  <c r="E679" i="2"/>
  <c r="E744" i="2"/>
  <c r="E808" i="2"/>
  <c r="E872" i="2"/>
  <c r="E936" i="2"/>
  <c r="E1000" i="2"/>
  <c r="E747" i="2"/>
  <c r="E811" i="2"/>
  <c r="E875" i="2"/>
  <c r="E939" i="2"/>
  <c r="E1003" i="2"/>
  <c r="E1067" i="2"/>
  <c r="D13" i="2"/>
  <c r="A13" i="5" s="1"/>
  <c r="D77" i="2"/>
  <c r="D140" i="2"/>
  <c r="D205" i="2"/>
  <c r="E269" i="2"/>
  <c r="E333" i="2"/>
  <c r="E399" i="2"/>
  <c r="E462" i="2"/>
  <c r="E526" i="2"/>
  <c r="E590" i="2"/>
  <c r="D653" i="2"/>
  <c r="D716" i="2"/>
  <c r="D786" i="2"/>
  <c r="A786" i="5" s="1"/>
  <c r="D850" i="2"/>
  <c r="D914" i="2"/>
  <c r="D978" i="2"/>
  <c r="D1054" i="2"/>
  <c r="A1054" i="5" s="1"/>
  <c r="E741" i="2"/>
  <c r="E674" i="2"/>
  <c r="E610" i="2"/>
  <c r="D545" i="2"/>
  <c r="D481" i="2"/>
  <c r="D630" i="2"/>
  <c r="E597" i="2"/>
  <c r="E565" i="2"/>
  <c r="E533" i="2"/>
  <c r="E501" i="2"/>
  <c r="E469" i="2"/>
  <c r="E437" i="2"/>
  <c r="E404" i="2"/>
  <c r="E338" i="2"/>
  <c r="E306" i="2"/>
  <c r="E274" i="2"/>
  <c r="D242" i="2"/>
  <c r="D210" i="2"/>
  <c r="D178" i="2"/>
  <c r="D147" i="2"/>
  <c r="D115" i="2"/>
  <c r="E82" i="2"/>
  <c r="D50" i="2"/>
  <c r="D18" i="2"/>
  <c r="E18" i="2"/>
  <c r="D851" i="2"/>
  <c r="D883" i="2"/>
  <c r="D915" i="2"/>
  <c r="D947" i="2"/>
  <c r="D979" i="2"/>
  <c r="D1011" i="2"/>
  <c r="D1043" i="2"/>
  <c r="D1075" i="2"/>
  <c r="E1052" i="2"/>
  <c r="E21" i="2"/>
  <c r="E53" i="2"/>
  <c r="D85" i="2"/>
  <c r="E116" i="2"/>
  <c r="E148" i="2"/>
  <c r="E181" i="2"/>
  <c r="E213" i="2"/>
  <c r="E245" i="2"/>
  <c r="D277" i="2"/>
  <c r="D309" i="2"/>
  <c r="D341" i="2"/>
  <c r="D375" i="2"/>
  <c r="D407" i="2"/>
  <c r="D438" i="2"/>
  <c r="D470" i="2"/>
  <c r="D502" i="2"/>
  <c r="D534" i="2"/>
  <c r="D566" i="2"/>
  <c r="D598" i="2"/>
  <c r="E629" i="2"/>
  <c r="E661" i="2"/>
  <c r="E693" i="2"/>
  <c r="E724" i="2"/>
  <c r="E762" i="2"/>
  <c r="E794" i="2"/>
  <c r="E826" i="2"/>
  <c r="E858" i="2"/>
  <c r="E890" i="2"/>
  <c r="E922" i="2"/>
  <c r="E954" i="2"/>
  <c r="E986" i="2"/>
  <c r="E1018" i="2"/>
  <c r="E1070" i="2"/>
  <c r="E765" i="2"/>
  <c r="E797" i="2"/>
  <c r="E829" i="2"/>
  <c r="E861" i="2"/>
  <c r="E893" i="2"/>
  <c r="E925" i="2"/>
  <c r="E957" i="2"/>
  <c r="E989" i="2"/>
  <c r="E1021" i="2"/>
  <c r="E1053" i="2"/>
  <c r="E1085" i="2"/>
  <c r="D1072" i="2"/>
  <c r="D23" i="2"/>
  <c r="D55" i="2"/>
  <c r="E87" i="2"/>
  <c r="D118" i="2"/>
  <c r="D150" i="2"/>
  <c r="D183" i="2"/>
  <c r="D215" i="2"/>
  <c r="D247" i="2"/>
  <c r="E279" i="2"/>
  <c r="E311" i="2"/>
  <c r="E343" i="2"/>
  <c r="E381" i="2"/>
  <c r="E413" i="2"/>
  <c r="E444" i="2"/>
  <c r="E476" i="2"/>
  <c r="E508" i="2"/>
  <c r="E540" i="2"/>
  <c r="E572" i="2"/>
  <c r="D603" i="2"/>
  <c r="D635" i="2"/>
  <c r="D667" i="2"/>
  <c r="D698" i="2"/>
  <c r="D730" i="2"/>
  <c r="D764" i="2"/>
  <c r="D796" i="2"/>
  <c r="D828" i="2"/>
  <c r="D860" i="2"/>
  <c r="D892" i="2"/>
  <c r="D924" i="2"/>
  <c r="D956" i="2"/>
  <c r="D988" i="2"/>
  <c r="D1020" i="2"/>
  <c r="D1074" i="2"/>
  <c r="D779" i="2"/>
  <c r="E729" i="2"/>
  <c r="E697" i="2"/>
  <c r="E664" i="2"/>
  <c r="E632" i="2"/>
  <c r="D599" i="2"/>
  <c r="D567" i="2"/>
  <c r="D535" i="2"/>
  <c r="D503" i="2"/>
  <c r="D471" i="2"/>
  <c r="D439" i="2"/>
  <c r="D406" i="2"/>
  <c r="D374" i="2"/>
  <c r="D340" i="2"/>
  <c r="D308" i="2"/>
  <c r="D276" i="2"/>
  <c r="E244" i="2"/>
  <c r="E212" i="2"/>
  <c r="E180" i="2"/>
  <c r="E149" i="2"/>
  <c r="E117" i="2"/>
  <c r="D84" i="2"/>
  <c r="E52" i="2"/>
  <c r="D805" i="2"/>
  <c r="D743" i="2"/>
  <c r="D701" i="2"/>
  <c r="D668" i="2"/>
  <c r="D636" i="2"/>
  <c r="D604" i="2"/>
  <c r="E571" i="2"/>
  <c r="E539" i="2"/>
  <c r="E507" i="2"/>
  <c r="E475" i="2"/>
  <c r="E443" i="2"/>
  <c r="E410" i="2"/>
  <c r="E378" i="2"/>
  <c r="E336" i="2"/>
  <c r="E304" i="2"/>
  <c r="E272" i="2"/>
  <c r="D240" i="2"/>
  <c r="D208" i="2"/>
  <c r="D176" i="2"/>
  <c r="D145" i="2"/>
  <c r="D113" i="2"/>
  <c r="D80" i="2"/>
  <c r="D48" i="2"/>
  <c r="D16" i="2"/>
  <c r="A16" i="5" s="1"/>
  <c r="E8" i="2"/>
  <c r="D853" i="2"/>
  <c r="D885" i="2"/>
  <c r="D917" i="2"/>
  <c r="D949" i="2"/>
  <c r="D981" i="2"/>
  <c r="D1013" i="2"/>
  <c r="D1045" i="2"/>
  <c r="D1077" i="2"/>
  <c r="E1056" i="2"/>
  <c r="E15" i="2"/>
  <c r="E47" i="2"/>
  <c r="E79" i="2"/>
  <c r="E110" i="2"/>
  <c r="E142" i="2"/>
  <c r="D174" i="2"/>
  <c r="E207" i="2"/>
  <c r="E239" i="2"/>
  <c r="D271" i="2"/>
  <c r="D303" i="2"/>
  <c r="D335" i="2"/>
  <c r="D373" i="2"/>
  <c r="D405" i="2"/>
  <c r="D436" i="2"/>
  <c r="D468" i="2"/>
  <c r="D500" i="2"/>
  <c r="D532" i="2"/>
  <c r="D564" i="2"/>
  <c r="D596" i="2"/>
  <c r="E627" i="2"/>
  <c r="E659" i="2"/>
  <c r="E691" i="2"/>
  <c r="E722" i="2"/>
  <c r="E756" i="2"/>
  <c r="E788" i="2"/>
  <c r="E820" i="2"/>
  <c r="E852" i="2"/>
  <c r="E884" i="2"/>
  <c r="E916" i="2"/>
  <c r="E948" i="2"/>
  <c r="E980" i="2"/>
  <c r="E1012" i="2"/>
  <c r="E1058" i="2"/>
  <c r="E759" i="2"/>
  <c r="E791" i="2"/>
  <c r="E823" i="2"/>
  <c r="E855" i="2"/>
  <c r="E887" i="2"/>
  <c r="E919" i="2"/>
  <c r="E951" i="2"/>
  <c r="E983" i="2"/>
  <c r="E1015" i="2"/>
  <c r="E1047" i="2"/>
  <c r="E1079" i="2"/>
  <c r="D1060" i="2"/>
  <c r="D17" i="2"/>
  <c r="D49" i="2"/>
  <c r="D81" i="2"/>
  <c r="D112" i="2"/>
  <c r="D144" i="2"/>
  <c r="D177" i="2"/>
  <c r="D209" i="2"/>
  <c r="D241" i="2"/>
  <c r="E273" i="2"/>
  <c r="E305" i="2"/>
  <c r="E337" i="2"/>
  <c r="E387" i="2"/>
  <c r="E419" i="2"/>
  <c r="E450" i="2"/>
  <c r="E482" i="2"/>
  <c r="E514" i="2"/>
  <c r="E546" i="2"/>
  <c r="E578" i="2"/>
  <c r="D609" i="2"/>
  <c r="D641" i="2"/>
  <c r="D673" i="2"/>
  <c r="D704" i="2"/>
  <c r="D742" i="2"/>
  <c r="D774" i="2"/>
  <c r="D806" i="2"/>
  <c r="D838" i="2"/>
  <c r="D870" i="2"/>
  <c r="D902" i="2"/>
  <c r="D934" i="2"/>
  <c r="D966" i="2"/>
  <c r="D998" i="2"/>
  <c r="D1030" i="2"/>
  <c r="D1094" i="2"/>
  <c r="D759" i="2"/>
  <c r="E719" i="2"/>
  <c r="E686" i="2"/>
  <c r="E654" i="2"/>
  <c r="E622" i="2"/>
  <c r="D589" i="2"/>
  <c r="D557" i="2"/>
  <c r="D525" i="2"/>
  <c r="D493" i="2"/>
  <c r="D461" i="2"/>
  <c r="D429" i="2"/>
  <c r="D396" i="2"/>
  <c r="D362" i="2"/>
  <c r="D330" i="2"/>
  <c r="D298" i="2"/>
  <c r="D266" i="2"/>
  <c r="E234" i="2"/>
  <c r="E202" i="2"/>
  <c r="D171" i="2"/>
  <c r="E139" i="2"/>
  <c r="E107" i="2"/>
  <c r="E74" i="2"/>
  <c r="D36" i="2"/>
  <c r="D610" i="2"/>
  <c r="A610" i="5" s="1"/>
  <c r="E577" i="2"/>
  <c r="E545" i="2"/>
  <c r="E513" i="2"/>
  <c r="E481" i="2"/>
  <c r="E449" i="2"/>
  <c r="E416" i="2"/>
  <c r="E384" i="2"/>
  <c r="E350" i="2"/>
  <c r="E318" i="2"/>
  <c r="E286" i="2"/>
  <c r="E254" i="2"/>
  <c r="D222" i="2"/>
  <c r="D190" i="2"/>
  <c r="E159" i="2"/>
  <c r="D127" i="2"/>
  <c r="E94" i="2"/>
  <c r="D62" i="2"/>
  <c r="D30" i="2"/>
  <c r="D38" i="2"/>
  <c r="D839" i="2"/>
  <c r="D871" i="2"/>
  <c r="D903" i="2"/>
  <c r="D935" i="2"/>
  <c r="D967" i="2"/>
  <c r="D999" i="2"/>
  <c r="D1031" i="2"/>
  <c r="D1063" i="2"/>
  <c r="D1095" i="2"/>
  <c r="E1092" i="2"/>
  <c r="D33" i="2"/>
  <c r="E65" i="2"/>
  <c r="D97" i="2"/>
  <c r="E128" i="2"/>
  <c r="D160" i="2"/>
  <c r="E193" i="2"/>
  <c r="E225" i="2"/>
  <c r="D257" i="2"/>
  <c r="D289" i="2"/>
  <c r="D321" i="2"/>
  <c r="D353" i="2"/>
  <c r="D403" i="2"/>
  <c r="D434" i="2"/>
  <c r="D466" i="2"/>
  <c r="D498" i="2"/>
  <c r="D530" i="2"/>
  <c r="D562" i="2"/>
  <c r="D594" i="2"/>
  <c r="E625" i="2"/>
  <c r="E657" i="2"/>
  <c r="E689" i="2"/>
  <c r="E720" i="2"/>
  <c r="E758" i="2"/>
  <c r="E790" i="2"/>
  <c r="E822" i="2"/>
  <c r="E854" i="2"/>
  <c r="E886" i="2"/>
  <c r="E918" i="2"/>
  <c r="E950" i="2"/>
  <c r="E982" i="2"/>
  <c r="E1014" i="2"/>
  <c r="E1062" i="2"/>
  <c r="E761" i="2"/>
  <c r="E793" i="2"/>
  <c r="E825" i="2"/>
  <c r="E857" i="2"/>
  <c r="E889" i="2"/>
  <c r="E921" i="2"/>
  <c r="E953" i="2"/>
  <c r="E985" i="2"/>
  <c r="E1017" i="2"/>
  <c r="E1049" i="2"/>
  <c r="E1081" i="2"/>
  <c r="D1064" i="2"/>
  <c r="D19" i="2"/>
  <c r="D51" i="2"/>
  <c r="E83" i="2"/>
  <c r="D114" i="2"/>
  <c r="D146" i="2"/>
  <c r="D179" i="2"/>
  <c r="D211" i="2"/>
  <c r="D243" i="2"/>
  <c r="E275" i="2"/>
  <c r="E307" i="2"/>
  <c r="E339" i="2"/>
  <c r="E377" i="2"/>
  <c r="E409" i="2"/>
  <c r="E440" i="2"/>
  <c r="E472" i="2"/>
  <c r="E504" i="2"/>
  <c r="E536" i="2"/>
  <c r="E568" i="2"/>
  <c r="E600" i="2"/>
  <c r="D631" i="2"/>
  <c r="D663" i="2"/>
  <c r="D695" i="2"/>
  <c r="D726" i="2"/>
  <c r="D760" i="2"/>
  <c r="D792" i="2"/>
  <c r="D824" i="2"/>
  <c r="D856" i="2"/>
  <c r="D888" i="2"/>
  <c r="D920" i="2"/>
  <c r="D952" i="2"/>
  <c r="D984" i="2"/>
  <c r="D1016" i="2"/>
  <c r="D1066" i="2"/>
  <c r="D787" i="2"/>
  <c r="A787" i="5" s="1"/>
  <c r="E725" i="2"/>
  <c r="E692" i="2"/>
  <c r="E660" i="2"/>
  <c r="E628" i="2"/>
  <c r="D595" i="2"/>
  <c r="D563" i="2"/>
  <c r="D531" i="2"/>
  <c r="D499" i="2"/>
  <c r="D467" i="2"/>
  <c r="D435" i="2"/>
  <c r="D402" i="2"/>
  <c r="D360" i="2"/>
  <c r="D328" i="2"/>
  <c r="D296" i="2"/>
  <c r="D264" i="2"/>
  <c r="E232" i="2"/>
  <c r="E200" i="2"/>
  <c r="D169" i="2"/>
  <c r="E137" i="2"/>
  <c r="E105" i="2"/>
  <c r="E72" i="2"/>
  <c r="E32" i="2"/>
  <c r="D781" i="2"/>
  <c r="D729" i="2"/>
  <c r="A729" i="5" s="1"/>
  <c r="D697" i="2"/>
  <c r="A697" i="5" s="1"/>
  <c r="D664" i="2"/>
  <c r="A664" i="5" s="1"/>
  <c r="D632" i="2"/>
  <c r="A632" i="5" s="1"/>
  <c r="E599" i="2"/>
  <c r="E567" i="2"/>
  <c r="E535" i="2"/>
  <c r="E503" i="2"/>
  <c r="E471" i="2"/>
  <c r="E439" i="2"/>
  <c r="E406" i="2"/>
  <c r="E374" i="2"/>
  <c r="E340" i="2"/>
  <c r="E308" i="2"/>
  <c r="E276" i="2"/>
  <c r="D244" i="2"/>
  <c r="A244" i="5" s="1"/>
  <c r="D212" i="2"/>
  <c r="A212" i="5" s="1"/>
  <c r="D180" i="2"/>
  <c r="A180" i="5" s="1"/>
  <c r="D149" i="2"/>
  <c r="A149" i="5" s="1"/>
  <c r="D117" i="2"/>
  <c r="A117" i="5" s="1"/>
  <c r="E84" i="2"/>
  <c r="D52" i="2"/>
  <c r="A52" i="5" s="1"/>
  <c r="D20" i="2"/>
  <c r="E14" i="2"/>
  <c r="D849" i="2"/>
  <c r="D881" i="2"/>
  <c r="D913" i="2"/>
  <c r="D945" i="2"/>
  <c r="D977" i="2"/>
  <c r="D1009" i="2"/>
  <c r="D1041" i="2"/>
  <c r="D1073" i="2"/>
  <c r="E1048" i="2"/>
  <c r="E11" i="2"/>
  <c r="D43" i="2"/>
  <c r="E75" i="2"/>
  <c r="E106" i="2"/>
  <c r="E138" i="2"/>
  <c r="D170" i="2"/>
  <c r="E203" i="2"/>
  <c r="E235" i="2"/>
  <c r="D267" i="2"/>
  <c r="D299" i="2"/>
  <c r="D331" i="2"/>
  <c r="D363" i="2"/>
  <c r="D401" i="2"/>
  <c r="D432" i="2"/>
  <c r="D464" i="2"/>
  <c r="D496" i="2"/>
  <c r="D528" i="2"/>
  <c r="D560" i="2"/>
  <c r="D592" i="2"/>
  <c r="E623" i="2"/>
  <c r="E655" i="2"/>
  <c r="E687" i="2"/>
  <c r="E718" i="2"/>
  <c r="E768" i="2"/>
  <c r="E800" i="2"/>
  <c r="E832" i="2"/>
  <c r="E864" i="2"/>
  <c r="E896" i="2"/>
  <c r="E928" i="2"/>
  <c r="E960" i="2"/>
  <c r="E992" i="2"/>
  <c r="E1024" i="2"/>
  <c r="E1082" i="2"/>
  <c r="E771" i="2"/>
  <c r="E803" i="2"/>
  <c r="E835" i="2"/>
  <c r="E867" i="2"/>
  <c r="E899" i="2"/>
  <c r="E931" i="2"/>
  <c r="E963" i="2"/>
  <c r="E995" i="2"/>
  <c r="E1027" i="2"/>
  <c r="E1059" i="2"/>
  <c r="E1091" i="2"/>
  <c r="D1084" i="2"/>
  <c r="E37" i="2"/>
  <c r="D69" i="2"/>
  <c r="D100" i="2"/>
  <c r="D132" i="2"/>
  <c r="E164" i="2"/>
  <c r="D197" i="2"/>
  <c r="D229" i="2"/>
  <c r="E261" i="2"/>
  <c r="E293" i="2"/>
  <c r="E325" i="2"/>
  <c r="E357" i="2"/>
  <c r="E391" i="2"/>
  <c r="E423" i="2"/>
  <c r="E454" i="2"/>
  <c r="E486" i="2"/>
  <c r="E518" i="2"/>
  <c r="E550" i="2"/>
  <c r="E582" i="2"/>
  <c r="D613" i="2"/>
  <c r="D645" i="2"/>
  <c r="D677" i="2"/>
  <c r="D708" i="2"/>
  <c r="D746" i="2"/>
  <c r="D778" i="2"/>
  <c r="D810" i="2"/>
  <c r="D842" i="2"/>
  <c r="D874" i="2"/>
  <c r="D906" i="2"/>
  <c r="D938" i="2"/>
  <c r="D970" i="2"/>
  <c r="D1002" i="2"/>
  <c r="D1038" i="2"/>
  <c r="D815" i="2"/>
  <c r="D751" i="2"/>
  <c r="E715" i="2"/>
  <c r="E682" i="2"/>
  <c r="E650" i="2"/>
  <c r="E618" i="2"/>
  <c r="D585" i="2"/>
  <c r="D553" i="2"/>
  <c r="D521" i="2"/>
  <c r="D489" i="2"/>
  <c r="D457" i="2"/>
  <c r="E557" i="2"/>
  <c r="E525" i="2"/>
  <c r="E493" i="2"/>
  <c r="E461" i="2"/>
  <c r="E429" i="2"/>
  <c r="E396" i="2"/>
  <c r="E362" i="2"/>
  <c r="E330" i="2"/>
  <c r="E298" i="2"/>
  <c r="E266" i="2"/>
  <c r="D234" i="2"/>
  <c r="D202" i="2"/>
  <c r="E171" i="2"/>
  <c r="D139" i="2"/>
  <c r="D107" i="2"/>
  <c r="D74" i="2"/>
  <c r="E42" i="2"/>
  <c r="D10" i="2"/>
  <c r="D827" i="2"/>
  <c r="D859" i="2"/>
  <c r="D891" i="2"/>
  <c r="D923" i="2"/>
  <c r="D955" i="2"/>
  <c r="D987" i="2"/>
  <c r="D1019" i="2"/>
  <c r="D1051" i="2"/>
  <c r="D1083" i="2"/>
  <c r="E1068" i="2"/>
  <c r="E29" i="2"/>
  <c r="E61" i="2"/>
  <c r="D93" i="2"/>
  <c r="E124" i="2"/>
  <c r="D156" i="2"/>
  <c r="E189" i="2"/>
  <c r="E221" i="2"/>
  <c r="D253" i="2"/>
  <c r="D285" i="2"/>
  <c r="D317" i="2"/>
  <c r="D349" i="2"/>
  <c r="D383" i="2"/>
  <c r="D415" i="2"/>
  <c r="D446" i="2"/>
  <c r="D478" i="2"/>
  <c r="D510" i="2"/>
  <c r="D542" i="2"/>
  <c r="D574" i="2"/>
  <c r="E605" i="2"/>
  <c r="E637" i="2"/>
  <c r="E669" i="2"/>
  <c r="E700" i="2"/>
  <c r="E738" i="2"/>
  <c r="E770" i="2"/>
  <c r="E802" i="2"/>
  <c r="E834" i="2"/>
  <c r="E866" i="2"/>
  <c r="E898" i="2"/>
  <c r="E930" i="2"/>
  <c r="E962" i="2"/>
  <c r="E994" i="2"/>
  <c r="E1026" i="2"/>
  <c r="E1086" i="2"/>
  <c r="E773" i="2"/>
  <c r="E805" i="2"/>
  <c r="E837" i="2"/>
  <c r="E869" i="2"/>
  <c r="E901" i="2"/>
  <c r="E933" i="2"/>
  <c r="E965" i="2"/>
  <c r="E997" i="2"/>
  <c r="E1029" i="2"/>
  <c r="E1061" i="2"/>
  <c r="E1093" i="2"/>
  <c r="D1088" i="2"/>
  <c r="D31" i="2"/>
  <c r="D63" i="2"/>
  <c r="E95" i="2"/>
  <c r="D126" i="2"/>
  <c r="E158" i="2"/>
  <c r="D191" i="2"/>
  <c r="D223" i="2"/>
  <c r="E255" i="2"/>
  <c r="E287" i="2"/>
  <c r="E319" i="2"/>
  <c r="E351" i="2"/>
  <c r="E389" i="2"/>
  <c r="E421" i="2"/>
  <c r="E452" i="2"/>
  <c r="E484" i="2"/>
  <c r="E516" i="2"/>
  <c r="E548" i="2"/>
  <c r="E580" i="2"/>
  <c r="D611" i="2"/>
  <c r="D643" i="2"/>
  <c r="D675" i="2"/>
  <c r="D706" i="2"/>
  <c r="D740" i="2"/>
  <c r="D772" i="2"/>
  <c r="D804" i="2"/>
  <c r="D836" i="2"/>
  <c r="D868" i="2"/>
  <c r="D900" i="2"/>
  <c r="D932" i="2"/>
  <c r="D964" i="2"/>
  <c r="D996" i="2"/>
  <c r="D1028" i="2"/>
  <c r="D1090" i="2"/>
  <c r="D763" i="2"/>
  <c r="E721" i="2"/>
  <c r="E688" i="2"/>
  <c r="E656" i="2"/>
  <c r="E624" i="2"/>
  <c r="D591" i="2"/>
  <c r="A591" i="5" s="1"/>
  <c r="D559" i="2"/>
  <c r="A559" i="5" s="1"/>
  <c r="D527" i="2"/>
  <c r="A527" i="5" s="1"/>
  <c r="D495" i="2"/>
  <c r="A495" i="5" s="1"/>
  <c r="D463" i="2"/>
  <c r="A463" i="5" s="1"/>
  <c r="D431" i="2"/>
  <c r="A431" i="5" s="1"/>
  <c r="D398" i="2"/>
  <c r="A398" i="5" s="1"/>
  <c r="D364" i="2"/>
  <c r="A364" i="5" s="1"/>
  <c r="D332" i="2"/>
  <c r="A332" i="5" s="1"/>
  <c r="D300" i="2"/>
  <c r="A300" i="5" s="1"/>
  <c r="D268" i="2"/>
  <c r="A268" i="5" s="1"/>
  <c r="E236" i="2"/>
  <c r="E204" i="2"/>
  <c r="D173" i="2"/>
  <c r="A173" i="5" s="1"/>
  <c r="E141" i="2"/>
  <c r="E109" i="2"/>
  <c r="E76" i="2"/>
  <c r="D42" i="2"/>
  <c r="A42" i="5" s="1"/>
  <c r="D789" i="2"/>
  <c r="A789" i="5" s="1"/>
  <c r="D725" i="2"/>
  <c r="D692" i="2"/>
  <c r="D660" i="2"/>
  <c r="D628" i="2"/>
  <c r="E595" i="2"/>
  <c r="E563" i="2"/>
  <c r="E531" i="2"/>
  <c r="E499" i="2"/>
  <c r="E467" i="2"/>
  <c r="E435" i="2"/>
  <c r="E402" i="2"/>
  <c r="E360" i="2"/>
  <c r="E328" i="2"/>
  <c r="E296" i="2"/>
  <c r="E264" i="2"/>
  <c r="D232" i="2"/>
  <c r="D200" i="2"/>
  <c r="E169" i="2"/>
  <c r="D137" i="2"/>
  <c r="D105" i="2"/>
  <c r="D72" i="2"/>
  <c r="E40" i="2"/>
  <c r="D8" i="2"/>
  <c r="D829" i="2"/>
  <c r="D861" i="2"/>
  <c r="D893" i="2"/>
  <c r="D925" i="2"/>
  <c r="D957" i="2"/>
  <c r="D989" i="2"/>
  <c r="D1021" i="2"/>
  <c r="D1053" i="2"/>
  <c r="D1085" i="2"/>
  <c r="E1072" i="2"/>
  <c r="E23" i="2"/>
  <c r="E55" i="2"/>
  <c r="D87" i="2"/>
  <c r="E118" i="2"/>
  <c r="E150" i="2"/>
  <c r="E183" i="2"/>
  <c r="E215" i="2"/>
  <c r="E247" i="2"/>
  <c r="D279" i="2"/>
  <c r="D311" i="2"/>
  <c r="D343" i="2"/>
  <c r="D381" i="2"/>
  <c r="D413" i="2"/>
  <c r="D444" i="2"/>
  <c r="D476" i="2"/>
  <c r="D508" i="2"/>
  <c r="D540" i="2"/>
  <c r="D572" i="2"/>
  <c r="E603" i="2"/>
  <c r="E635" i="2"/>
  <c r="E667" i="2"/>
  <c r="E698" i="2"/>
  <c r="E730" i="2"/>
  <c r="E764" i="2"/>
  <c r="E796" i="2"/>
  <c r="E828" i="2"/>
  <c r="E860" i="2"/>
  <c r="E892" i="2"/>
  <c r="E924" i="2"/>
  <c r="E956" i="2"/>
  <c r="E988" i="2"/>
  <c r="E1020" i="2"/>
  <c r="E1074" i="2"/>
  <c r="E767" i="2"/>
  <c r="E799" i="2"/>
  <c r="E831" i="2"/>
  <c r="E863" i="2"/>
  <c r="E895" i="2"/>
  <c r="E927" i="2"/>
  <c r="E959" i="2"/>
  <c r="E991" i="2"/>
  <c r="E1023" i="2"/>
  <c r="E1055" i="2"/>
  <c r="E1087" i="2"/>
  <c r="D1076" i="2"/>
  <c r="A1076" i="5" s="1"/>
  <c r="D25" i="2"/>
  <c r="D57" i="2"/>
  <c r="A57" i="5" s="1"/>
  <c r="E89" i="2"/>
  <c r="D120" i="2"/>
  <c r="A120" i="5" s="1"/>
  <c r="D152" i="2"/>
  <c r="D185" i="2"/>
  <c r="A185" i="5" s="1"/>
  <c r="D217" i="2"/>
  <c r="E249" i="2"/>
  <c r="E281" i="2"/>
  <c r="E313" i="2"/>
  <c r="E345" i="2"/>
  <c r="E379" i="2"/>
  <c r="E411" i="2"/>
  <c r="E442" i="2"/>
  <c r="E474" i="2"/>
  <c r="E506" i="2"/>
  <c r="E538" i="2"/>
  <c r="E570" i="2"/>
  <c r="D601" i="2"/>
  <c r="D633" i="2"/>
  <c r="A633" i="5" s="1"/>
  <c r="D665" i="2"/>
  <c r="D696" i="2"/>
  <c r="A696" i="5" s="1"/>
  <c r="D728" i="2"/>
  <c r="D766" i="2"/>
  <c r="A766" i="5" s="1"/>
  <c r="D798" i="2"/>
  <c r="D830" i="2"/>
  <c r="A830" i="5" s="1"/>
  <c r="D862" i="2"/>
  <c r="D894" i="2"/>
  <c r="A894" i="5" s="1"/>
  <c r="D926" i="2"/>
  <c r="D958" i="2"/>
  <c r="A958" i="5" s="1"/>
  <c r="D990" i="2"/>
  <c r="D1022" i="2"/>
  <c r="A1022" i="5" s="1"/>
  <c r="D1078" i="2"/>
  <c r="D775" i="2"/>
  <c r="A775" i="5" s="1"/>
  <c r="E727" i="2"/>
  <c r="E694" i="2"/>
  <c r="E662" i="2"/>
  <c r="E630" i="2"/>
  <c r="D597" i="2"/>
  <c r="D565" i="2"/>
  <c r="D533" i="2"/>
  <c r="D501" i="2"/>
  <c r="A501" i="5" s="1"/>
  <c r="D469" i="2"/>
  <c r="D437" i="2"/>
  <c r="D404" i="2"/>
  <c r="D338" i="2"/>
  <c r="A338" i="5" s="1"/>
  <c r="D306" i="2"/>
  <c r="D274" i="2"/>
  <c r="E242" i="2"/>
  <c r="E210" i="2"/>
  <c r="E178" i="2"/>
  <c r="E147" i="2"/>
  <c r="E115" i="2"/>
  <c r="D82" i="2"/>
  <c r="A82" i="5" s="1"/>
  <c r="E50" i="2"/>
  <c r="D618" i="2"/>
  <c r="E585" i="2"/>
  <c r="E553" i="2"/>
  <c r="E521" i="2"/>
  <c r="E489" i="2"/>
  <c r="E457" i="2"/>
  <c r="E424" i="2"/>
  <c r="E392" i="2"/>
  <c r="E358" i="2"/>
  <c r="E326" i="2"/>
  <c r="E294" i="2"/>
  <c r="E262" i="2"/>
  <c r="D230" i="2"/>
  <c r="D198" i="2"/>
  <c r="E167" i="2"/>
  <c r="D135" i="2"/>
  <c r="D103" i="2"/>
  <c r="D70" i="2"/>
  <c r="E38" i="2"/>
  <c r="E24" i="2"/>
  <c r="D847" i="2"/>
  <c r="A847" i="5" s="1"/>
  <c r="D879" i="2"/>
  <c r="A879" i="5" s="1"/>
  <c r="D911" i="2"/>
  <c r="A911" i="5" s="1"/>
  <c r="D943" i="2"/>
  <c r="A943" i="5" s="1"/>
  <c r="D975" i="2"/>
  <c r="A975" i="5" s="1"/>
  <c r="D1007" i="2"/>
  <c r="A1007" i="5" s="1"/>
  <c r="D1039" i="2"/>
  <c r="A1039" i="5" s="1"/>
  <c r="D1071" i="2"/>
  <c r="A1071" i="5" s="1"/>
  <c r="E1044" i="2"/>
  <c r="E9" i="2"/>
  <c r="D41" i="2"/>
  <c r="A41" i="5" s="1"/>
  <c r="E73" i="2"/>
  <c r="E104" i="2"/>
  <c r="E136" i="2"/>
  <c r="D168" i="2"/>
  <c r="A168" i="5" s="1"/>
  <c r="E201" i="2"/>
  <c r="E233" i="2"/>
  <c r="D265" i="2"/>
  <c r="A265" i="5" s="1"/>
  <c r="D297" i="2"/>
  <c r="A297" i="5" s="1"/>
  <c r="D329" i="2"/>
  <c r="A329" i="5" s="1"/>
  <c r="D361" i="2"/>
  <c r="A361" i="5" s="1"/>
  <c r="D395" i="2"/>
  <c r="A395" i="5" s="1"/>
  <c r="D427" i="2"/>
  <c r="A427" i="5" s="1"/>
  <c r="D458" i="2"/>
  <c r="A458" i="5" s="1"/>
  <c r="D490" i="2"/>
  <c r="A490" i="5" s="1"/>
  <c r="D522" i="2"/>
  <c r="A522" i="5" s="1"/>
  <c r="D554" i="2"/>
  <c r="A554" i="5" s="1"/>
  <c r="D586" i="2"/>
  <c r="A586" i="5" s="1"/>
  <c r="E617" i="2"/>
  <c r="E649" i="2"/>
  <c r="E681" i="2"/>
  <c r="E712" i="2"/>
  <c r="E750" i="2"/>
  <c r="E782" i="2"/>
  <c r="E814" i="2"/>
  <c r="E846" i="2"/>
  <c r="E878" i="2"/>
  <c r="E910" i="2"/>
  <c r="E942" i="2"/>
  <c r="E974" i="2"/>
  <c r="E1006" i="2"/>
  <c r="E1046" i="2"/>
  <c r="E753" i="2"/>
  <c r="E785" i="2"/>
  <c r="E817" i="2"/>
  <c r="E849" i="2"/>
  <c r="E881" i="2"/>
  <c r="E913" i="2"/>
  <c r="E945" i="2"/>
  <c r="E977" i="2"/>
  <c r="E1009" i="2"/>
  <c r="E1041" i="2"/>
  <c r="E1073" i="2"/>
  <c r="D1048" i="2"/>
  <c r="D11" i="2"/>
  <c r="E43" i="2"/>
  <c r="D75" i="2"/>
  <c r="D106" i="2"/>
  <c r="D138" i="2"/>
  <c r="E170" i="2"/>
  <c r="D203" i="2"/>
  <c r="D235" i="2"/>
  <c r="E267" i="2"/>
  <c r="E299" i="2"/>
  <c r="E331" i="2"/>
  <c r="E363" i="2"/>
  <c r="E401" i="2"/>
  <c r="E432" i="2"/>
  <c r="E464" i="2"/>
  <c r="E496" i="2"/>
  <c r="E528" i="2"/>
  <c r="E560" i="2"/>
  <c r="E592" i="2"/>
  <c r="D623" i="2"/>
  <c r="D655" i="2"/>
  <c r="D687" i="2"/>
  <c r="D718" i="2"/>
  <c r="D768" i="2"/>
  <c r="D800" i="2"/>
  <c r="D832" i="2"/>
  <c r="D864" i="2"/>
  <c r="D896" i="2"/>
  <c r="D928" i="2"/>
  <c r="D960" i="2"/>
  <c r="D992" i="2"/>
  <c r="D1024" i="2"/>
  <c r="D1082" i="2"/>
  <c r="D771" i="2"/>
  <c r="E717" i="2"/>
  <c r="E684" i="2"/>
  <c r="E652" i="2"/>
  <c r="E620" i="2"/>
  <c r="D587" i="2"/>
  <c r="A587" i="5" s="1"/>
  <c r="D555" i="2"/>
  <c r="D523" i="2"/>
  <c r="A523" i="5" s="1"/>
  <c r="D491" i="2"/>
  <c r="A491" i="5" s="1"/>
  <c r="D459" i="2"/>
  <c r="A459" i="5" s="1"/>
  <c r="D426" i="2"/>
  <c r="D394" i="2"/>
  <c r="A394" i="5" s="1"/>
  <c r="D352" i="2"/>
  <c r="A352" i="5" s="1"/>
  <c r="D320" i="2"/>
  <c r="A320" i="5" s="1"/>
  <c r="D288" i="2"/>
  <c r="D256" i="2"/>
  <c r="A256" i="5" s="1"/>
  <c r="E224" i="2"/>
  <c r="E192" i="2"/>
  <c r="D161" i="2"/>
  <c r="E129" i="2"/>
  <c r="D96" i="2"/>
  <c r="A96" i="5" s="1"/>
  <c r="E64" i="2"/>
  <c r="D797" i="2"/>
  <c r="D739" i="2"/>
  <c r="D705" i="2"/>
  <c r="D672" i="2"/>
  <c r="D640" i="2"/>
  <c r="D608" i="2"/>
  <c r="E575" i="2"/>
  <c r="E543" i="2"/>
  <c r="E511" i="2"/>
  <c r="E479" i="2"/>
  <c r="E447" i="2"/>
  <c r="E414" i="2"/>
  <c r="E382" i="2"/>
  <c r="E348" i="2"/>
  <c r="E316" i="2"/>
  <c r="E284" i="2"/>
  <c r="E252" i="2"/>
  <c r="D220" i="2"/>
  <c r="D188" i="2"/>
  <c r="E157" i="2"/>
  <c r="D125" i="2"/>
  <c r="E92" i="2"/>
  <c r="D60" i="2"/>
  <c r="D28" i="2"/>
  <c r="E28" i="2"/>
  <c r="D841" i="2"/>
  <c r="D873" i="2"/>
  <c r="D905" i="2"/>
  <c r="D937" i="2"/>
  <c r="D969" i="2"/>
  <c r="D1001" i="2"/>
  <c r="D1033" i="2"/>
  <c r="D1065" i="2"/>
  <c r="E1032" i="2"/>
  <c r="E1096" i="2"/>
  <c r="D35" i="2"/>
  <c r="E67" i="2"/>
  <c r="E130" i="2"/>
  <c r="E195" i="2"/>
  <c r="D259" i="2"/>
  <c r="A259" i="5" s="1"/>
  <c r="D323" i="2"/>
  <c r="D393" i="2"/>
  <c r="A393" i="5" s="1"/>
  <c r="D456" i="2"/>
  <c r="D520" i="2"/>
  <c r="A520" i="5" s="1"/>
  <c r="D584" i="2"/>
  <c r="E647" i="2"/>
  <c r="E710" i="2"/>
  <c r="E776" i="2"/>
  <c r="E840" i="2"/>
  <c r="E904" i="2"/>
  <c r="E968" i="2"/>
  <c r="E1034" i="2"/>
  <c r="E779" i="2"/>
  <c r="E843" i="2"/>
  <c r="E907" i="2"/>
  <c r="E971" i="2"/>
  <c r="E1035" i="2"/>
  <c r="D1036" i="2"/>
  <c r="D45" i="2"/>
  <c r="A45" i="5" s="1"/>
  <c r="D108" i="2"/>
  <c r="E172" i="2"/>
  <c r="D237" i="2"/>
  <c r="E301" i="2"/>
  <c r="E365" i="2"/>
  <c r="E430" i="2"/>
  <c r="E494" i="2"/>
  <c r="E558" i="2"/>
  <c r="D621" i="2"/>
  <c r="D685" i="2"/>
  <c r="D754" i="2"/>
  <c r="D818" i="2"/>
  <c r="A818" i="5" s="1"/>
  <c r="D882" i="2"/>
  <c r="D946" i="2"/>
  <c r="D1010" i="2"/>
  <c r="D799" i="2"/>
  <c r="E707" i="2"/>
  <c r="E642" i="2"/>
  <c r="D577" i="2"/>
  <c r="A577" i="5" s="1"/>
  <c r="D513" i="2"/>
  <c r="E589" i="2"/>
  <c r="D606" i="2"/>
  <c r="D699" i="2"/>
  <c r="A699" i="5" s="1"/>
  <c r="D777" i="2"/>
  <c r="A777" i="5" s="1"/>
  <c r="D670" i="2"/>
  <c r="A670" i="5" s="1"/>
  <c r="D801" i="2"/>
  <c r="A801" i="5" s="1"/>
  <c r="D690" i="2"/>
  <c r="D769" i="2"/>
  <c r="D662" i="2"/>
  <c r="D727" i="2"/>
  <c r="E46" i="2"/>
  <c r="E111" i="2"/>
  <c r="D175" i="2"/>
  <c r="A175" i="5" s="1"/>
  <c r="E238" i="2"/>
  <c r="D318" i="2"/>
  <c r="A318" i="5" s="1"/>
  <c r="D400" i="2"/>
  <c r="A400" i="5" s="1"/>
  <c r="E26" i="2"/>
  <c r="E103" i="2"/>
  <c r="D167" i="2"/>
  <c r="A167" i="5" s="1"/>
  <c r="E230" i="2"/>
  <c r="D278" i="2"/>
  <c r="A278" i="5" s="1"/>
  <c r="D334" i="2"/>
  <c r="D392" i="2"/>
  <c r="D646" i="2"/>
  <c r="D715" i="2"/>
  <c r="A715" i="5" s="1"/>
  <c r="D809" i="2"/>
  <c r="D686" i="2"/>
  <c r="A686" i="5" s="1"/>
  <c r="D761" i="2"/>
  <c r="A761" i="5" s="1"/>
  <c r="D707" i="2"/>
  <c r="A707" i="5" s="1"/>
  <c r="D793" i="2"/>
  <c r="D678" i="2"/>
  <c r="D745" i="2"/>
  <c r="A745" i="5" s="1"/>
  <c r="E62" i="2"/>
  <c r="E127" i="2"/>
  <c r="E190" i="2"/>
  <c r="D262" i="2"/>
  <c r="A262" i="5" s="1"/>
  <c r="D342" i="2"/>
  <c r="A342" i="5" s="1"/>
  <c r="D416" i="2"/>
  <c r="E54" i="2"/>
  <c r="E119" i="2"/>
  <c r="E182" i="2"/>
  <c r="E246" i="2"/>
  <c r="D294" i="2"/>
  <c r="A294" i="5" s="1"/>
  <c r="D350" i="2"/>
  <c r="D408" i="2"/>
  <c r="A408" i="5" s="1"/>
  <c r="D622" i="2"/>
  <c r="D666" i="2"/>
  <c r="D731" i="2"/>
  <c r="A731" i="5" s="1"/>
  <c r="D642" i="2"/>
  <c r="D703" i="2"/>
  <c r="A703" i="5" s="1"/>
  <c r="D658" i="2"/>
  <c r="A658" i="5" s="1"/>
  <c r="D723" i="2"/>
  <c r="D638" i="2"/>
  <c r="D694" i="2"/>
  <c r="D785" i="2"/>
  <c r="E78" i="2"/>
  <c r="E143" i="2"/>
  <c r="E206" i="2"/>
  <c r="D286" i="2"/>
  <c r="D366" i="2"/>
  <c r="D433" i="2"/>
  <c r="A433" i="5" s="1"/>
  <c r="E70" i="2"/>
  <c r="E135" i="2"/>
  <c r="E198" i="2"/>
  <c r="D254" i="2"/>
  <c r="A254" i="5" s="1"/>
  <c r="D310" i="2"/>
  <c r="D358" i="2"/>
  <c r="D424" i="2"/>
  <c r="D682" i="2"/>
  <c r="D753" i="2"/>
  <c r="D654" i="2"/>
  <c r="D719" i="2"/>
  <c r="A719" i="5" s="1"/>
  <c r="D674" i="2"/>
  <c r="A674" i="5" s="1"/>
  <c r="D741" i="2"/>
  <c r="D650" i="2"/>
  <c r="A650" i="5" s="1"/>
  <c r="D711" i="2"/>
  <c r="D817" i="2"/>
  <c r="A817" i="5" s="1"/>
  <c r="D94" i="2"/>
  <c r="A94" i="5" s="1"/>
  <c r="D159" i="2"/>
  <c r="E222" i="2"/>
  <c r="D302" i="2"/>
  <c r="A302" i="5" s="1"/>
  <c r="D384" i="2"/>
  <c r="D449" i="2"/>
  <c r="A449" i="5" s="1"/>
  <c r="D86" i="2"/>
  <c r="E151" i="2"/>
  <c r="E214" i="2"/>
  <c r="D270" i="2"/>
  <c r="D326" i="2"/>
  <c r="D376" i="2"/>
  <c r="D441" i="2"/>
  <c r="A497" i="6" l="1"/>
  <c r="A296" i="6"/>
  <c r="A949" i="6"/>
  <c r="A734" i="6"/>
  <c r="A942" i="6"/>
  <c r="A836" i="6"/>
  <c r="A535" i="6"/>
  <c r="A675" i="6"/>
  <c r="A780" i="6"/>
  <c r="A252" i="6"/>
  <c r="A251" i="6"/>
  <c r="A825" i="6"/>
  <c r="A57" i="6"/>
  <c r="A120" i="6"/>
  <c r="A1077" i="6"/>
  <c r="A374" i="6"/>
  <c r="A134" i="6"/>
  <c r="A121" i="6"/>
  <c r="A719" i="6"/>
  <c r="A205" i="6"/>
  <c r="A673" i="6"/>
  <c r="A483" i="6"/>
  <c r="A884" i="6"/>
  <c r="A858" i="6"/>
  <c r="A244" i="6"/>
  <c r="A909" i="6"/>
  <c r="A830" i="6"/>
  <c r="A578" i="6"/>
  <c r="A733" i="6"/>
  <c r="A762" i="6"/>
  <c r="A757" i="6"/>
  <c r="A868" i="6"/>
  <c r="A1032" i="6"/>
  <c r="A833" i="6"/>
  <c r="A892" i="6"/>
  <c r="A188" i="6"/>
  <c r="A316" i="6"/>
  <c r="A317" i="6"/>
  <c r="A110" i="6"/>
  <c r="A639" i="6"/>
  <c r="A657" i="6"/>
  <c r="A185" i="6"/>
  <c r="A1042" i="6"/>
  <c r="A787" i="6"/>
  <c r="A389" i="6"/>
  <c r="A958" i="6"/>
  <c r="A948" i="6"/>
  <c r="A945" i="6"/>
  <c r="A570" i="6"/>
  <c r="A785" i="6"/>
  <c r="A54" i="6"/>
  <c r="A861" i="6"/>
  <c r="A968" i="6"/>
  <c r="A642" i="6"/>
  <c r="A576" i="6"/>
  <c r="A234" i="6"/>
  <c r="A751" i="6"/>
  <c r="A413" i="6"/>
  <c r="A669" i="6"/>
  <c r="A247" i="6"/>
  <c r="A254" i="6"/>
  <c r="A475" i="6"/>
  <c r="A194" i="6"/>
  <c r="A150" i="6"/>
  <c r="A287" i="6"/>
  <c r="A462" i="6"/>
  <c r="A815" i="6"/>
  <c r="A964" i="6"/>
  <c r="A95" i="6"/>
  <c r="A839" i="6"/>
  <c r="A507" i="6"/>
  <c r="A1008" i="6"/>
  <c r="A610" i="6"/>
  <c r="A39" i="6"/>
  <c r="A133" i="6"/>
  <c r="A663" i="6"/>
  <c r="A661" i="6"/>
  <c r="A43" i="6"/>
  <c r="A885" i="6"/>
  <c r="A962" i="6"/>
  <c r="A855" i="6"/>
  <c r="A461" i="6"/>
  <c r="A538" i="6"/>
  <c r="A912" i="6"/>
  <c r="A1060" i="6"/>
  <c r="A315" i="6"/>
  <c r="A239" i="6"/>
  <c r="A85" i="6"/>
  <c r="A667" i="6"/>
  <c r="A418" i="6"/>
  <c r="A523" i="6"/>
  <c r="A689" i="6"/>
  <c r="A258" i="6"/>
  <c r="A494" i="6"/>
  <c r="A260" i="6"/>
  <c r="A189" i="6"/>
  <c r="A866" i="6"/>
  <c r="A517" i="6"/>
  <c r="A350" i="6"/>
  <c r="A126" i="6"/>
  <c r="A114" i="6"/>
  <c r="A857" i="6"/>
  <c r="A997" i="6"/>
  <c r="A175" i="6"/>
  <c r="A345" i="6"/>
  <c r="A442" i="6"/>
  <c r="A128" i="6"/>
  <c r="A313" i="6"/>
  <c r="A680" i="6"/>
  <c r="A753" i="6"/>
  <c r="A1094" i="6"/>
  <c r="A263" i="6"/>
  <c r="A359" i="6"/>
  <c r="A157" i="6"/>
  <c r="A547" i="6"/>
  <c r="A253" i="6"/>
  <c r="A187" i="6"/>
  <c r="A977" i="6"/>
  <c r="A1058" i="6"/>
  <c r="A677" i="6"/>
  <c r="A852" i="6"/>
  <c r="A348" i="6"/>
  <c r="A633" i="6"/>
  <c r="A658" i="6"/>
  <c r="A1053" i="6"/>
  <c r="A153" i="6"/>
  <c r="A520" i="6"/>
  <c r="A106" i="6"/>
  <c r="A821" i="6"/>
  <c r="A779" i="6"/>
  <c r="A928" i="6"/>
  <c r="A693" i="6"/>
  <c r="A939" i="6"/>
  <c r="A86" i="5"/>
  <c r="A384" i="5"/>
  <c r="A711" i="5"/>
  <c r="A366" i="5"/>
  <c r="A723" i="5"/>
  <c r="A793" i="5"/>
  <c r="A809" i="5"/>
  <c r="A646" i="5"/>
  <c r="A769" i="5"/>
  <c r="A606" i="5"/>
  <c r="A513" i="5"/>
  <c r="A584" i="5"/>
  <c r="A456" i="5"/>
  <c r="A323" i="5"/>
  <c r="A1065" i="5"/>
  <c r="A1001" i="5"/>
  <c r="A937" i="5"/>
  <c r="A873" i="5"/>
  <c r="A60" i="5"/>
  <c r="A125" i="5"/>
  <c r="A188" i="5"/>
  <c r="A640" i="5"/>
  <c r="A705" i="5"/>
  <c r="A763" i="5"/>
  <c r="A1028" i="5"/>
  <c r="A964" i="5"/>
  <c r="A900" i="5"/>
  <c r="A836" i="5"/>
  <c r="A772" i="5"/>
  <c r="A706" i="5"/>
  <c r="A643" i="5"/>
  <c r="A191" i="5"/>
  <c r="A126" i="5"/>
  <c r="A63" i="5"/>
  <c r="A1088" i="5"/>
  <c r="A1038" i="5"/>
  <c r="A970" i="5"/>
  <c r="A906" i="5"/>
  <c r="A842" i="5"/>
  <c r="A778" i="5"/>
  <c r="A708" i="5"/>
  <c r="A645" i="5"/>
  <c r="A197" i="5"/>
  <c r="A132" i="5"/>
  <c r="A69" i="5"/>
  <c r="A1084" i="5"/>
  <c r="A781" i="5"/>
  <c r="A562" i="5"/>
  <c r="A498" i="5"/>
  <c r="A434" i="5"/>
  <c r="A289" i="5"/>
  <c r="A160" i="5"/>
  <c r="A33" i="5"/>
  <c r="A1031" i="5"/>
  <c r="A903" i="5"/>
  <c r="A30" i="5"/>
  <c r="A1094" i="5"/>
  <c r="A998" i="5"/>
  <c r="A934" i="5"/>
  <c r="A870" i="5"/>
  <c r="A806" i="5"/>
  <c r="A742" i="5"/>
  <c r="A673" i="5"/>
  <c r="A609" i="5"/>
  <c r="A209" i="5"/>
  <c r="A144" i="5"/>
  <c r="A81" i="5"/>
  <c r="A17" i="5"/>
  <c r="A916" i="6"/>
  <c r="A743" i="6"/>
  <c r="A832" i="6"/>
  <c r="A470" i="6"/>
  <c r="A89" i="6"/>
  <c r="A333" i="6"/>
  <c r="A293" i="6"/>
  <c r="A712" i="6"/>
  <c r="A882" i="6"/>
  <c r="A692" i="6"/>
  <c r="A631" i="6"/>
  <c r="A499" i="6"/>
  <c r="A735" i="6"/>
  <c r="A74" i="6"/>
  <c r="A495" i="6"/>
  <c r="A217" i="6"/>
  <c r="A769" i="6"/>
  <c r="A629" i="6"/>
  <c r="A592" i="6"/>
  <c r="A58" i="6"/>
  <c r="A918" i="6"/>
  <c r="A213" i="6"/>
  <c r="A1025" i="6"/>
  <c r="A132" i="6"/>
  <c r="A563" i="6"/>
  <c r="A409" i="6"/>
  <c r="A696" i="6"/>
  <c r="A1027" i="6"/>
  <c r="A936" i="6"/>
  <c r="A182" i="6"/>
  <c r="A940" i="6"/>
  <c r="A738" i="6"/>
  <c r="A636" i="6"/>
  <c r="A729" i="6"/>
  <c r="A467" i="6"/>
  <c r="A960" i="6"/>
  <c r="A412" i="6"/>
  <c r="A924" i="6"/>
  <c r="A208" i="6"/>
  <c r="A270" i="5"/>
  <c r="A638" i="5"/>
  <c r="A1023" i="6"/>
  <c r="A605" i="6"/>
  <c r="A915" i="6"/>
  <c r="A686" i="6"/>
  <c r="A737" i="6"/>
  <c r="A423" i="6"/>
  <c r="A382" i="6"/>
  <c r="A1078" i="6"/>
  <c r="A602" i="6"/>
  <c r="A901" i="6"/>
  <c r="A26" i="6"/>
  <c r="A618" i="6"/>
  <c r="A268" i="6"/>
  <c r="A326" i="6"/>
  <c r="A435" i="6"/>
  <c r="A1043" i="6"/>
  <c r="A53" i="6"/>
  <c r="A934" i="6"/>
  <c r="A469" i="6"/>
  <c r="A1066" i="6"/>
  <c r="A1002" i="6"/>
  <c r="A623" i="6"/>
  <c r="A1081" i="6"/>
  <c r="A394" i="6"/>
  <c r="A551" i="6"/>
  <c r="A941" i="6"/>
  <c r="A1088" i="6"/>
  <c r="A376" i="5"/>
  <c r="A654" i="5"/>
  <c r="A678" i="5"/>
  <c r="A690" i="5"/>
  <c r="A1010" i="5"/>
  <c r="A882" i="5"/>
  <c r="A754" i="5"/>
  <c r="A621" i="5"/>
  <c r="A237" i="5"/>
  <c r="A108" i="5"/>
  <c r="A1036" i="5"/>
  <c r="A35" i="5"/>
  <c r="A1033" i="5"/>
  <c r="A905" i="5"/>
  <c r="A220" i="5"/>
  <c r="A608" i="5"/>
  <c r="A739" i="5"/>
  <c r="A996" i="5"/>
  <c r="A868" i="5"/>
  <c r="A740" i="5"/>
  <c r="A611" i="5"/>
  <c r="A223" i="5"/>
  <c r="A10" i="5"/>
  <c r="A938" i="5"/>
  <c r="A810" i="5"/>
  <c r="A677" i="5"/>
  <c r="A651" i="6"/>
  <c r="A478" i="5"/>
  <c r="A349" i="5"/>
  <c r="A93" i="5"/>
  <c r="A1083" i="5"/>
  <c r="A955" i="5"/>
  <c r="A827" i="5"/>
  <c r="A500" i="5"/>
  <c r="A373" i="5"/>
  <c r="A981" i="5"/>
  <c r="A853" i="5"/>
  <c r="A850" i="5"/>
  <c r="A77" i="5"/>
  <c r="A497" i="5"/>
  <c r="A1050" i="5"/>
  <c r="A912" i="5"/>
  <c r="A784" i="5"/>
  <c r="A639" i="5"/>
  <c r="A122" i="5"/>
  <c r="A1080" i="5"/>
  <c r="A444" i="6"/>
  <c r="A680" i="5"/>
  <c r="A73" i="6"/>
  <c r="A476" i="5"/>
  <c r="A343" i="5"/>
  <c r="A87" i="5"/>
  <c r="A1085" i="5"/>
  <c r="A957" i="5"/>
  <c r="A829" i="5"/>
  <c r="A358" i="5"/>
  <c r="A969" i="5"/>
  <c r="A841" i="5"/>
  <c r="A105" i="5"/>
  <c r="A232" i="5"/>
  <c r="A628" i="5"/>
  <c r="A1090" i="5"/>
  <c r="A932" i="5"/>
  <c r="A804" i="5"/>
  <c r="A675" i="5"/>
  <c r="A31" i="5"/>
  <c r="A574" i="5"/>
  <c r="A446" i="5"/>
  <c r="A317" i="5"/>
  <c r="A1051" i="5"/>
  <c r="A923" i="5"/>
  <c r="A815" i="5"/>
  <c r="A20" i="5"/>
  <c r="A1016" i="5"/>
  <c r="A888" i="5"/>
  <c r="A760" i="5"/>
  <c r="A631" i="5"/>
  <c r="A243" i="5"/>
  <c r="A114" i="5"/>
  <c r="A1064" i="5"/>
  <c r="A530" i="5"/>
  <c r="A403" i="5"/>
  <c r="A257" i="5"/>
  <c r="A999" i="5"/>
  <c r="A871" i="5"/>
  <c r="A566" i="5"/>
  <c r="A438" i="5"/>
  <c r="A309" i="5"/>
  <c r="A1043" i="5"/>
  <c r="A915" i="5"/>
  <c r="A666" i="5"/>
  <c r="A441" i="5"/>
  <c r="A310" i="5"/>
  <c r="A694" i="5"/>
  <c r="A334" i="5"/>
  <c r="A946" i="5"/>
  <c r="A685" i="5"/>
  <c r="A161" i="5"/>
  <c r="A288" i="5"/>
  <c r="A426" i="5"/>
  <c r="A555" i="5"/>
  <c r="A1024" i="5"/>
  <c r="A896" i="5"/>
  <c r="A768" i="5"/>
  <c r="A623" i="5"/>
  <c r="A235" i="5"/>
  <c r="A106" i="5"/>
  <c r="A1048" i="5"/>
  <c r="A564" i="5"/>
  <c r="A436" i="5"/>
  <c r="A303" i="5"/>
  <c r="A174" i="5"/>
  <c r="A1045" i="5"/>
  <c r="A917" i="5"/>
  <c r="A978" i="5"/>
  <c r="A716" i="5"/>
  <c r="A205" i="5"/>
  <c r="A561" i="5"/>
  <c r="A976" i="5"/>
  <c r="A848" i="5"/>
  <c r="A702" i="5"/>
  <c r="A187" i="5"/>
  <c r="A59" i="5"/>
  <c r="A672" i="5"/>
  <c r="A733" i="5"/>
  <c r="A1082" i="5"/>
  <c r="A928" i="5"/>
  <c r="A800" i="5"/>
  <c r="A655" i="5"/>
  <c r="A138" i="5"/>
  <c r="A11" i="5"/>
  <c r="A966" i="5"/>
  <c r="A838" i="5"/>
  <c r="A704" i="5"/>
  <c r="A177" i="5"/>
  <c r="A49" i="5"/>
  <c r="A596" i="5"/>
  <c r="A468" i="5"/>
  <c r="A335" i="5"/>
  <c r="A113" i="5"/>
  <c r="A240" i="5"/>
  <c r="A636" i="5"/>
  <c r="A672" i="6"/>
  <c r="A676" i="5"/>
  <c r="A218" i="5"/>
  <c r="A998" i="6"/>
  <c r="A1077" i="5"/>
  <c r="A949" i="5"/>
  <c r="A425" i="5"/>
  <c r="A162" i="5"/>
  <c r="A529" i="5"/>
  <c r="A1008" i="5"/>
  <c r="A880" i="5"/>
  <c r="A752" i="5"/>
  <c r="A607" i="5"/>
  <c r="A219" i="5"/>
  <c r="A807" i="5"/>
  <c r="A622" i="5"/>
  <c r="A682" i="5"/>
  <c r="A510" i="5"/>
  <c r="A383" i="5"/>
  <c r="A253" i="5"/>
  <c r="A987" i="5"/>
  <c r="A859" i="5"/>
  <c r="A594" i="5"/>
  <c r="A466" i="5"/>
  <c r="A321" i="5"/>
  <c r="A1063" i="5"/>
  <c r="A935" i="5"/>
  <c r="A552" i="5"/>
  <c r="A291" i="5"/>
  <c r="A326" i="5"/>
  <c r="A424" i="5"/>
  <c r="A350" i="5"/>
  <c r="A799" i="5"/>
  <c r="A771" i="5"/>
  <c r="A960" i="5"/>
  <c r="A832" i="5"/>
  <c r="A687" i="5"/>
  <c r="A306" i="5"/>
  <c r="A469" i="5"/>
  <c r="A597" i="5"/>
  <c r="A990" i="5"/>
  <c r="A862" i="5"/>
  <c r="A728" i="5"/>
  <c r="A601" i="5"/>
  <c r="A217" i="5"/>
  <c r="A508" i="5"/>
  <c r="A381" i="5"/>
  <c r="A989" i="5"/>
  <c r="A861" i="5"/>
  <c r="A72" i="5"/>
  <c r="A200" i="5"/>
  <c r="A725" i="5"/>
  <c r="A107" i="5"/>
  <c r="A234" i="5"/>
  <c r="A751" i="5"/>
  <c r="A1066" i="5"/>
  <c r="A920" i="5"/>
  <c r="A792" i="5"/>
  <c r="A663" i="5"/>
  <c r="A146" i="5"/>
  <c r="A19" i="5"/>
  <c r="A80" i="5"/>
  <c r="A208" i="5"/>
  <c r="A604" i="5"/>
  <c r="A743" i="5"/>
  <c r="A598" i="5"/>
  <c r="A470" i="5"/>
  <c r="A341" i="5"/>
  <c r="A85" i="5"/>
  <c r="A1075" i="5"/>
  <c r="A947" i="5"/>
  <c r="A133" i="5"/>
  <c r="A648" i="5"/>
  <c r="A121" i="5"/>
  <c r="A248" i="5"/>
  <c r="A644" i="5"/>
  <c r="A732" i="5"/>
  <c r="A767" i="6"/>
  <c r="A641" i="6"/>
  <c r="A342" i="6"/>
  <c r="A159" i="5"/>
  <c r="A741" i="5"/>
  <c r="A753" i="5"/>
  <c r="A416" i="5"/>
  <c r="A727" i="5"/>
  <c r="A797" i="5"/>
  <c r="A404" i="5"/>
  <c r="A533" i="5"/>
  <c r="A1078" i="5"/>
  <c r="A926" i="5"/>
  <c r="A798" i="5"/>
  <c r="A665" i="5"/>
  <c r="A152" i="5"/>
  <c r="A25" i="5"/>
  <c r="A572" i="5"/>
  <c r="A444" i="5"/>
  <c r="A311" i="5"/>
  <c r="A1053" i="5"/>
  <c r="A925" i="5"/>
  <c r="A8" i="5"/>
  <c r="A137" i="5"/>
  <c r="A660" i="5"/>
  <c r="A542" i="5"/>
  <c r="A415" i="5"/>
  <c r="A285" i="5"/>
  <c r="A156" i="5"/>
  <c r="A1019" i="5"/>
  <c r="A891" i="5"/>
  <c r="A984" i="5"/>
  <c r="A856" i="5"/>
  <c r="A726" i="5"/>
  <c r="A211" i="5"/>
  <c r="A353" i="5"/>
  <c r="A97" i="5"/>
  <c r="A1095" i="5"/>
  <c r="A967" i="5"/>
  <c r="A839" i="5"/>
  <c r="A145" i="5"/>
  <c r="A668" i="5"/>
  <c r="A534" i="5"/>
  <c r="A407" i="5"/>
  <c r="A277" i="5"/>
  <c r="A1011" i="5"/>
  <c r="A883" i="5"/>
  <c r="A355" i="5"/>
  <c r="A99" i="5"/>
  <c r="A56" i="5"/>
  <c r="A184" i="5"/>
  <c r="A709" i="5"/>
  <c r="A101" i="5"/>
  <c r="A228" i="5"/>
  <c r="A616" i="5"/>
  <c r="A870" i="6"/>
  <c r="A34" i="6"/>
  <c r="A42" i="6"/>
  <c r="A775" i="6"/>
  <c r="A666" i="6"/>
  <c r="A549" i="6"/>
  <c r="A1039" i="6"/>
  <c r="A539" i="6"/>
  <c r="A360" i="6"/>
  <c r="A569" i="6"/>
  <c r="A286" i="5"/>
  <c r="A992" i="5"/>
  <c r="A864" i="5"/>
  <c r="A718" i="5"/>
  <c r="A203" i="5"/>
  <c r="A75" i="5"/>
  <c r="A618" i="5"/>
  <c r="A274" i="5"/>
  <c r="A437" i="5"/>
  <c r="A565" i="5"/>
  <c r="A540" i="5"/>
  <c r="A413" i="5"/>
  <c r="A279" i="5"/>
  <c r="A1021" i="5"/>
  <c r="A893" i="5"/>
  <c r="A692" i="5"/>
  <c r="A74" i="5"/>
  <c r="A202" i="5"/>
  <c r="A1002" i="5"/>
  <c r="A874" i="5"/>
  <c r="A746" i="5"/>
  <c r="A613" i="5"/>
  <c r="A229" i="5"/>
  <c r="A100" i="5"/>
  <c r="A952" i="5"/>
  <c r="A824" i="5"/>
  <c r="A695" i="5"/>
  <c r="A179" i="5"/>
  <c r="A51" i="5"/>
  <c r="A36" i="5"/>
  <c r="A1030" i="5"/>
  <c r="A902" i="5"/>
  <c r="A774" i="5"/>
  <c r="A641" i="5"/>
  <c r="A241" i="5"/>
  <c r="A112" i="5"/>
  <c r="A1060" i="5"/>
  <c r="A532" i="5"/>
  <c r="A405" i="5"/>
  <c r="A271" i="5"/>
  <c r="A1013" i="5"/>
  <c r="A885" i="5"/>
  <c r="A48" i="5"/>
  <c r="A176" i="5"/>
  <c r="A701" i="5"/>
  <c r="A502" i="5"/>
  <c r="A375" i="5"/>
  <c r="A979" i="5"/>
  <c r="A851" i="5"/>
  <c r="A914" i="5"/>
  <c r="A653" i="5"/>
  <c r="A140" i="5"/>
  <c r="A465" i="5"/>
  <c r="A593" i="5"/>
  <c r="A944" i="5"/>
  <c r="A816" i="5"/>
  <c r="A671" i="5"/>
  <c r="A27" i="5"/>
  <c r="A216" i="5"/>
  <c r="A612" i="5"/>
  <c r="A167" i="6"/>
  <c r="A665" i="6"/>
  <c r="A789" i="6"/>
  <c r="A581" i="6"/>
  <c r="A797" i="6"/>
  <c r="A139" i="5"/>
  <c r="A602" i="5"/>
  <c r="A531" i="6"/>
  <c r="A98" i="6"/>
  <c r="A969" i="6"/>
  <c r="A215" i="6"/>
  <c r="A859" i="6"/>
  <c r="A582" i="6"/>
  <c r="A590" i="6"/>
  <c r="A125" i="6"/>
  <c r="A695" i="6"/>
  <c r="A1093" i="6"/>
  <c r="A736" i="6"/>
  <c r="A957" i="6"/>
  <c r="A380" i="6"/>
  <c r="A87" i="6"/>
  <c r="A622" i="6"/>
  <c r="A591" i="6"/>
  <c r="A904" i="6"/>
  <c r="A144" i="6"/>
  <c r="A650" i="6"/>
  <c r="A99" i="6"/>
  <c r="A250" i="6"/>
  <c r="A799" i="6"/>
  <c r="A155" i="6"/>
  <c r="A805" i="6"/>
  <c r="A443" i="6"/>
  <c r="A985" i="6"/>
  <c r="A51" i="6"/>
  <c r="A853" i="6"/>
  <c r="A954" i="6"/>
  <c r="A337" i="6"/>
  <c r="A588" i="6"/>
  <c r="A979" i="6"/>
  <c r="A994" i="6"/>
  <c r="A878" i="6"/>
  <c r="A407" i="6"/>
  <c r="A426" i="6"/>
  <c r="A428" i="6"/>
  <c r="A140" i="6"/>
  <c r="A489" i="6"/>
  <c r="A883" i="6"/>
  <c r="A834" i="6"/>
  <c r="A320" i="6"/>
  <c r="A63" i="6"/>
  <c r="A758" i="6"/>
  <c r="A408" i="6"/>
  <c r="A235" i="6"/>
  <c r="A1069" i="6"/>
  <c r="A599" i="6"/>
  <c r="A522" i="6"/>
  <c r="A678" i="6"/>
  <c r="A362" i="6"/>
  <c r="A1074" i="6"/>
  <c r="A58" i="5"/>
  <c r="A186" i="5"/>
  <c r="A384" i="6"/>
  <c r="A323" i="6"/>
  <c r="A262" i="6"/>
  <c r="A632" i="6"/>
  <c r="A265" i="6"/>
  <c r="A971" i="6"/>
  <c r="A690" i="6"/>
  <c r="A445" i="6"/>
  <c r="A395" i="6"/>
  <c r="A1071" i="6"/>
  <c r="A772" i="6"/>
  <c r="A225" i="6"/>
  <c r="A567" i="6"/>
  <c r="A135" i="6"/>
  <c r="A761" i="6"/>
  <c r="A67" i="6"/>
  <c r="A656" i="6"/>
  <c r="A937" i="6"/>
  <c r="A668" i="6"/>
  <c r="A822" i="6"/>
  <c r="A400" i="6"/>
  <c r="A439" i="6"/>
  <c r="A889" i="6"/>
  <c r="A794" i="6"/>
  <c r="A441" i="6"/>
  <c r="A1015" i="6"/>
  <c r="A593" i="6"/>
  <c r="A484" i="6"/>
  <c r="A504" i="6"/>
  <c r="A216" i="6"/>
  <c r="A1059" i="6"/>
  <c r="A824" i="6"/>
  <c r="A256" i="6"/>
  <c r="A953" i="6"/>
  <c r="A846" i="6"/>
  <c r="A231" i="6"/>
  <c r="A478" i="6"/>
  <c r="A159" i="6"/>
  <c r="A486" i="6"/>
  <c r="A681" i="6"/>
  <c r="A625" i="6"/>
  <c r="A944" i="6"/>
  <c r="A817" i="6"/>
  <c r="A404" i="6"/>
  <c r="A285" i="6"/>
  <c r="A309" i="6"/>
  <c r="A68" i="6"/>
  <c r="A1070" i="6"/>
  <c r="A793" i="6"/>
  <c r="A910" i="6"/>
  <c r="A312" i="6"/>
  <c r="A881" i="6"/>
  <c r="A1054" i="6"/>
  <c r="A328" i="6"/>
  <c r="A27" i="6"/>
  <c r="A88" i="6"/>
  <c r="A401" i="6"/>
  <c r="A991" i="6"/>
  <c r="A519" i="6"/>
  <c r="A1068" i="6"/>
  <c r="A33" i="6"/>
  <c r="A307" i="6"/>
  <c r="A479" i="6"/>
  <c r="A212" i="6"/>
  <c r="A209" i="6"/>
  <c r="A324" i="6"/>
  <c r="A437" i="6"/>
  <c r="A1004" i="6"/>
  <c r="A473" i="6"/>
  <c r="A363" i="6"/>
  <c r="A903" i="6"/>
  <c r="A496" i="6"/>
  <c r="A620" i="6"/>
  <c r="A1052" i="6"/>
  <c r="A907" i="6"/>
  <c r="A203" i="6"/>
  <c r="A335" i="6"/>
  <c r="A988" i="6"/>
  <c r="A116" i="6"/>
  <c r="A34" i="5"/>
  <c r="A191" i="6"/>
  <c r="A655" i="6"/>
  <c r="A463" i="6"/>
  <c r="A390" i="6"/>
  <c r="A746" i="6"/>
  <c r="A202" i="6"/>
  <c r="A31" i="6"/>
  <c r="A399" i="6"/>
  <c r="A905" i="6"/>
  <c r="A223" i="6"/>
  <c r="A458" i="6"/>
  <c r="A809" i="6"/>
  <c r="A100" i="6"/>
  <c r="A65" i="6"/>
  <c r="A318" i="6"/>
  <c r="A298" i="6"/>
  <c r="A131" i="6"/>
  <c r="A525" i="6"/>
  <c r="A717" i="6"/>
  <c r="A702" i="6"/>
  <c r="A740" i="6"/>
  <c r="A749" i="6"/>
  <c r="A532" i="6"/>
  <c r="A764" i="6"/>
  <c r="A987" i="6"/>
  <c r="A177" i="6"/>
  <c r="A600" i="6"/>
  <c r="A648" i="6"/>
  <c r="A1022" i="6"/>
  <c r="A843" i="6"/>
  <c r="A580" i="6"/>
  <c r="A1030" i="6"/>
  <c r="A372" i="6"/>
  <c r="A899" i="6"/>
  <c r="A311" i="6"/>
  <c r="A537" i="6"/>
  <c r="A364" i="6"/>
  <c r="A1011" i="6"/>
  <c r="A801" i="6"/>
  <c r="A102" i="6"/>
  <c r="A46" i="6"/>
  <c r="A637" i="6"/>
  <c r="A615" i="6"/>
  <c r="A141" i="6"/>
  <c r="A518" i="6"/>
  <c r="A1065" i="6"/>
  <c r="A862" i="6"/>
  <c r="A186" i="6"/>
  <c r="A221" i="6"/>
  <c r="A498" i="6"/>
  <c r="A162" i="6"/>
  <c r="A589" i="6"/>
  <c r="A232" i="6"/>
  <c r="A459" i="6"/>
  <c r="A699" i="6"/>
  <c r="A503" i="6"/>
  <c r="A329" i="6"/>
  <c r="A70" i="6"/>
  <c r="A860" i="6"/>
  <c r="A1072" i="6"/>
  <c r="A218" i="6"/>
  <c r="A90" i="6"/>
  <c r="A920" i="6"/>
  <c r="A609" i="6"/>
  <c r="A652" i="6"/>
  <c r="A993" i="6"/>
  <c r="A55" i="6"/>
  <c r="A621" i="6"/>
  <c r="A718" i="6"/>
  <c r="A649" i="6"/>
  <c r="A867" i="6"/>
  <c r="A624" i="6"/>
  <c r="A376" i="6"/>
  <c r="A267" i="6"/>
  <c r="A123" i="6"/>
  <c r="A240" i="6"/>
  <c r="A906" i="6"/>
  <c r="A893" i="6"/>
  <c r="A452" i="6"/>
  <c r="A601" i="6"/>
  <c r="A879" i="6"/>
  <c r="A886" i="6"/>
  <c r="A471" i="6"/>
  <c r="A379" i="6"/>
  <c r="A760" i="6"/>
  <c r="A990" i="6"/>
  <c r="A492" i="6"/>
  <c r="A1061" i="6"/>
  <c r="A837" i="6"/>
  <c r="A781" i="6"/>
  <c r="A546" i="6"/>
  <c r="A211" i="6"/>
  <c r="A491" i="6"/>
  <c r="A272" i="6"/>
  <c r="A617" i="6"/>
  <c r="A619" i="6"/>
  <c r="A585" i="6"/>
  <c r="A81" i="6"/>
  <c r="A626" i="6"/>
  <c r="A455" i="6"/>
  <c r="A219" i="6"/>
  <c r="A543" i="6"/>
  <c r="A266" i="6"/>
  <c r="A149" i="6"/>
  <c r="A784" i="6"/>
  <c r="A704" i="6"/>
  <c r="A926" i="6"/>
  <c r="A397" i="6"/>
  <c r="A917" i="6"/>
  <c r="A829" i="6"/>
  <c r="A343" i="6"/>
  <c r="A931" i="6"/>
  <c r="A721" i="6"/>
  <c r="A598" i="6"/>
  <c r="A1014" i="6"/>
  <c r="A527" i="6"/>
  <c r="A691" i="6"/>
  <c r="A40" i="6"/>
  <c r="A874" i="6"/>
  <c r="A770" i="6"/>
  <c r="A558" i="6"/>
  <c r="A438" i="6"/>
  <c r="A562" i="6"/>
  <c r="A214" i="6"/>
  <c r="A288" i="6"/>
  <c r="A468" i="6"/>
  <c r="A854" i="6"/>
  <c r="A812" i="6"/>
  <c r="A304" i="6"/>
  <c r="A516" i="6"/>
  <c r="A597" i="6"/>
  <c r="A49" i="6"/>
  <c r="A433" i="6"/>
  <c r="A50" i="6"/>
  <c r="A369" i="6"/>
  <c r="A584" i="6"/>
  <c r="A614" i="6"/>
  <c r="A447" i="6"/>
  <c r="A847" i="6"/>
  <c r="A32" i="6"/>
  <c r="A228" i="6"/>
  <c r="A1000" i="6"/>
  <c r="A284" i="6"/>
  <c r="A595" i="6"/>
  <c r="A572" i="6"/>
  <c r="A932" i="6"/>
  <c r="A91" i="6"/>
  <c r="A877" i="6"/>
  <c r="A1067" i="6"/>
  <c r="A613" i="6"/>
  <c r="A487" i="6"/>
  <c r="A587" i="6"/>
  <c r="A230" i="6"/>
  <c r="A975" i="6"/>
  <c r="A720" i="6"/>
  <c r="A552" i="6"/>
  <c r="A356" i="6"/>
  <c r="A229" i="6"/>
  <c r="A357" i="6"/>
  <c r="A1041" i="6"/>
  <c r="A405" i="6"/>
  <c r="A554" i="6"/>
  <c r="A292" i="6"/>
  <c r="A872" i="6"/>
  <c r="A561" i="6"/>
  <c r="A220" i="6"/>
  <c r="A1056" i="6"/>
  <c r="A196" i="6"/>
  <c r="A844" i="6"/>
  <c r="A402" i="6"/>
  <c r="A197" i="6"/>
  <c r="A1046" i="6"/>
  <c r="A1079" i="6"/>
  <c r="A838" i="6"/>
  <c r="A890" i="6"/>
  <c r="A545" i="6"/>
  <c r="A396" i="6"/>
  <c r="A274" i="6"/>
  <c r="A807" i="6"/>
  <c r="A66" i="6"/>
  <c r="A963" i="6"/>
  <c r="A278" i="6"/>
  <c r="A1017" i="6"/>
  <c r="A823" i="6"/>
  <c r="A544" i="6"/>
  <c r="A1006" i="6"/>
  <c r="A512" i="6"/>
  <c r="A671" i="6"/>
  <c r="A242" i="6"/>
  <c r="A69" i="6"/>
  <c r="A880" i="6"/>
  <c r="A974" i="6"/>
  <c r="A93" i="6"/>
  <c r="A596" i="6"/>
  <c r="A685" i="6"/>
  <c r="A174" i="6"/>
  <c r="A612" i="6"/>
  <c r="A816" i="6"/>
  <c r="A210" i="6"/>
  <c r="A112" i="6"/>
  <c r="A748" i="6"/>
  <c r="A608" i="6"/>
  <c r="A1045" i="6"/>
  <c r="A1084" i="6"/>
  <c r="A806" i="6"/>
  <c r="A340" i="6"/>
  <c r="A800" i="6"/>
  <c r="A683" i="6"/>
  <c r="A694" i="6"/>
  <c r="A137" i="6"/>
  <c r="A490" i="6"/>
  <c r="A645" i="6"/>
  <c r="A75" i="6"/>
  <c r="A1092" i="6"/>
  <c r="A385" i="6"/>
  <c r="A166" i="6"/>
  <c r="A1033" i="6"/>
  <c r="A178" i="6"/>
  <c r="A900" i="6"/>
  <c r="A565" i="6"/>
  <c r="A716" i="6"/>
  <c r="A28" i="6"/>
  <c r="A104" i="6"/>
  <c r="A526" i="6"/>
  <c r="A493" i="6"/>
  <c r="A310" i="6"/>
  <c r="A813" i="6"/>
  <c r="A398" i="6"/>
  <c r="A1087" i="6"/>
  <c r="A222" i="6"/>
  <c r="A111" i="6"/>
  <c r="A711" i="6"/>
  <c r="A863" i="6"/>
  <c r="A981" i="6"/>
  <c r="A346" i="6"/>
  <c r="A1003" i="6"/>
  <c r="A181" i="6"/>
  <c r="A744" i="6"/>
  <c r="A842" i="6"/>
  <c r="A59" i="6"/>
  <c r="A349" i="6"/>
  <c r="A1012" i="6"/>
  <c r="A276" i="6"/>
  <c r="A424" i="6"/>
  <c r="A1038" i="6"/>
  <c r="A897" i="6"/>
  <c r="A482" i="6"/>
  <c r="A714" i="6"/>
  <c r="A919" i="6"/>
  <c r="A86" i="6"/>
  <c r="A481" i="6"/>
  <c r="A768" i="6"/>
  <c r="A154" i="6"/>
  <c r="A119" i="6"/>
  <c r="A164" i="6"/>
  <c r="A726" i="6"/>
  <c r="A776" i="6"/>
  <c r="A457" i="6"/>
  <c r="A96" i="6"/>
  <c r="A1083" i="6"/>
  <c r="A29" i="6"/>
  <c r="A146" i="6"/>
  <c r="A679" i="6"/>
  <c r="A198" i="6"/>
  <c r="A604" i="6"/>
  <c r="A1044" i="6"/>
  <c r="A820" i="6"/>
  <c r="A327" i="6"/>
  <c r="A851" i="6"/>
  <c r="A869" i="6"/>
  <c r="A575" i="6"/>
  <c r="A914" i="6"/>
  <c r="A233" i="6"/>
  <c r="A646" i="6"/>
  <c r="A783" i="6"/>
  <c r="A682" i="6"/>
  <c r="A1010" i="6"/>
  <c r="A571" i="6"/>
  <c r="A982" i="6"/>
  <c r="A275" i="6"/>
  <c r="A659" i="6"/>
  <c r="A1085" i="6"/>
  <c r="A574" i="6"/>
  <c r="A436" i="6"/>
  <c r="A811" i="6"/>
  <c r="A184" i="6"/>
  <c r="A660" i="6"/>
  <c r="A606" i="6"/>
  <c r="A136" i="6"/>
  <c r="A72" i="6"/>
  <c r="A158" i="6"/>
  <c r="A201" i="6"/>
  <c r="A559" i="6"/>
  <c r="A986" i="6"/>
  <c r="A453" i="6"/>
  <c r="A286" i="6"/>
  <c r="A950" i="6"/>
  <c r="A534" i="6"/>
  <c r="A1049" i="6"/>
  <c r="A101" i="6"/>
  <c r="A1057" i="6"/>
  <c r="A421" i="6"/>
  <c r="A282" i="6"/>
  <c r="A314" i="6"/>
  <c r="A956" i="6"/>
  <c r="A1037" i="6"/>
  <c r="A466" i="6"/>
  <c r="A908" i="6"/>
  <c r="A984" i="6"/>
  <c r="A1029" i="6"/>
  <c r="A82" i="6"/>
  <c r="A935" i="6"/>
  <c r="A151" i="6"/>
  <c r="A992" i="6"/>
  <c r="A952" i="6"/>
  <c r="A41" i="6"/>
  <c r="A1021" i="6"/>
  <c r="A273" i="6"/>
  <c r="A708" i="6"/>
  <c r="A607" i="6"/>
  <c r="A245" i="6"/>
  <c r="A630" i="6"/>
  <c r="A192" i="6"/>
  <c r="A1034" i="6"/>
  <c r="A553" i="6"/>
  <c r="A1080" i="6"/>
  <c r="A52" i="6"/>
  <c r="A766" i="6"/>
  <c r="A334" i="6"/>
  <c r="A375" i="6"/>
  <c r="A864" i="6"/>
  <c r="A301" i="6"/>
  <c r="A723" i="6"/>
  <c r="A163" i="6"/>
  <c r="A664" i="6"/>
  <c r="A387" i="6"/>
  <c r="A319" i="6"/>
  <c r="A1048" i="6"/>
  <c r="A510" i="6"/>
  <c r="A938" i="6"/>
  <c r="A967" i="6"/>
  <c r="A887" i="6"/>
  <c r="A173" i="6"/>
  <c r="A476" i="6"/>
  <c r="A831" i="6"/>
  <c r="A782" i="6"/>
  <c r="A21" i="6"/>
  <c r="A127" i="6"/>
  <c r="A989" i="6"/>
  <c r="A411" i="6"/>
  <c r="A700" i="6"/>
  <c r="A654" i="6"/>
  <c r="A1051" i="6"/>
  <c r="A1073" i="6"/>
  <c r="A344" i="6"/>
  <c r="A138" i="6"/>
  <c r="A280" i="6"/>
  <c r="A1063" i="6"/>
  <c r="A352" i="6"/>
  <c r="A354" i="6"/>
  <c r="A246" i="6"/>
  <c r="A995" i="6"/>
  <c r="A206" i="6"/>
  <c r="A270" i="6"/>
  <c r="A145" i="6"/>
  <c r="A676" i="6"/>
  <c r="A728" i="6"/>
  <c r="A577" i="6"/>
  <c r="A160" i="6"/>
  <c r="A78" i="6"/>
  <c r="A1016" i="6"/>
  <c r="A406" i="6"/>
  <c r="A419" i="6"/>
  <c r="A1089" i="6"/>
  <c r="A616" i="6"/>
  <c r="A124" i="6"/>
  <c r="A207" i="6"/>
  <c r="A77" i="6"/>
  <c r="A44" i="6"/>
  <c r="A509" i="6"/>
  <c r="A706" i="6"/>
  <c r="A947" i="6"/>
  <c r="A295" i="6"/>
  <c r="A161" i="6"/>
  <c r="A741" i="6"/>
  <c r="A1095" i="6"/>
  <c r="A955" i="6"/>
  <c r="A330" i="6"/>
  <c r="A980" i="6"/>
  <c r="A701" i="6"/>
  <c r="A774" i="6"/>
  <c r="A226" i="6"/>
  <c r="A514" i="6"/>
  <c r="A339" i="6"/>
  <c r="A808" i="6"/>
  <c r="A698" i="6"/>
  <c r="A451" i="6"/>
  <c r="A755" i="6"/>
  <c r="A381" i="6"/>
  <c r="A94" i="6"/>
  <c r="A183" i="6"/>
  <c r="A611" i="6"/>
  <c r="A996" i="6"/>
  <c r="A358" i="6"/>
  <c r="A798" i="6"/>
  <c r="A550" i="6"/>
  <c r="A417" i="6"/>
  <c r="A148" i="6"/>
  <c r="A341" i="6"/>
  <c r="A460" i="6"/>
  <c r="A97" i="6"/>
  <c r="A361" i="6"/>
  <c r="A763" i="6"/>
  <c r="A965" i="6"/>
  <c r="A635" i="6"/>
  <c r="A403" i="6"/>
  <c r="A802" i="6"/>
  <c r="A647" i="6"/>
  <c r="A200" i="6"/>
  <c r="A1076" i="6"/>
  <c r="A804" i="6"/>
  <c r="A281" i="6"/>
  <c r="A434" i="6"/>
  <c r="A810" i="6"/>
  <c r="A373" i="6"/>
  <c r="A674" i="6"/>
  <c r="A429" i="6"/>
  <c r="A156" i="6"/>
  <c r="A765" i="6"/>
  <c r="A727" i="6"/>
  <c r="A790" i="6"/>
  <c r="A322" i="6"/>
  <c r="A898" i="6"/>
  <c r="A670" i="6"/>
  <c r="A946" i="6"/>
  <c r="A894" i="6"/>
  <c r="A243" i="6"/>
  <c r="A524" i="6"/>
  <c r="A566" i="6"/>
  <c r="A560" i="6"/>
  <c r="A1013" i="6"/>
  <c r="A30" i="6"/>
  <c r="A756" i="6"/>
  <c r="A541" i="6"/>
  <c r="A83" i="6"/>
  <c r="A378" i="6"/>
  <c r="A289" i="6"/>
  <c r="A325" i="6"/>
  <c r="A536" i="6"/>
  <c r="A548" i="6"/>
  <c r="A1062" i="6"/>
  <c r="A739" i="6"/>
  <c r="A506" i="6"/>
  <c r="A117" i="6"/>
  <c r="A321" i="6"/>
  <c r="A1096" i="6"/>
  <c r="A76" i="6"/>
  <c r="A224" i="6"/>
  <c r="A951" i="6"/>
  <c r="A485" i="6"/>
  <c r="A294" i="6"/>
  <c r="A477" i="6"/>
  <c r="A427" i="6"/>
  <c r="A118" i="6"/>
  <c r="A454" i="6"/>
  <c r="A71" i="6"/>
  <c r="A64" i="6"/>
  <c r="A1086" i="6"/>
  <c r="A391" i="6"/>
  <c r="A60" i="6"/>
  <c r="A108" i="6"/>
  <c r="A684" i="6"/>
  <c r="A169" i="6"/>
  <c r="A249" i="6"/>
  <c r="A386" i="6"/>
  <c r="A828" i="6"/>
  <c r="A876" i="6"/>
  <c r="A305" i="6"/>
  <c r="A271" i="6"/>
  <c r="A840" i="6"/>
  <c r="A530" i="6"/>
  <c r="A754" i="6"/>
  <c r="A827" i="6"/>
  <c r="A139" i="6"/>
  <c r="A84" i="6"/>
  <c r="A415" i="6"/>
  <c r="A586" i="6"/>
  <c r="A36" i="6"/>
  <c r="A147" i="6"/>
  <c r="A568" i="6"/>
  <c r="A1090" i="6"/>
  <c r="A848" i="6"/>
  <c r="A921" i="6"/>
  <c r="A422" i="6"/>
  <c r="A377" i="6"/>
  <c r="A703" i="6"/>
  <c r="A195" i="6"/>
  <c r="A564" i="6"/>
  <c r="A25" i="6"/>
  <c r="A383" i="6"/>
  <c r="A911" i="6"/>
  <c r="A778" i="6"/>
  <c r="A976" i="6"/>
  <c r="A713" i="6"/>
  <c r="A238" i="6"/>
  <c r="A742" i="6"/>
  <c r="A643" i="6"/>
  <c r="A47" i="6"/>
  <c r="A638" i="6"/>
  <c r="A795" i="6"/>
  <c r="A579" i="6"/>
  <c r="A446" i="6"/>
  <c r="A432" i="6"/>
  <c r="A1036" i="6"/>
  <c r="A803" i="6"/>
  <c r="A1009" i="6"/>
  <c r="A819" i="6"/>
  <c r="A22" i="6"/>
  <c r="A788" i="6"/>
  <c r="A20" i="6"/>
  <c r="A92" i="6"/>
  <c r="A845" i="6"/>
  <c r="A513" i="6"/>
  <c r="A277" i="6"/>
  <c r="A1020" i="6"/>
  <c r="A709" i="6"/>
  <c r="A165" i="6"/>
  <c r="A983" i="6"/>
  <c r="A508" i="6"/>
  <c r="A555" i="6"/>
  <c r="A521" i="6"/>
  <c r="A730" i="6"/>
  <c r="A556" i="6"/>
  <c r="A850" i="6"/>
  <c r="A347" i="6"/>
  <c r="A430" i="6"/>
  <c r="A180" i="6"/>
  <c r="A431" i="6"/>
  <c r="A113" i="6"/>
  <c r="A688" i="6"/>
  <c r="A759" i="6"/>
  <c r="A933" i="6"/>
  <c r="A368" i="6"/>
  <c r="A922" i="6"/>
  <c r="A796" i="6"/>
  <c r="A750" i="6"/>
  <c r="A856" i="6"/>
  <c r="A745" i="6"/>
  <c r="A871" i="6"/>
  <c r="A902" i="6"/>
  <c r="A722" i="6"/>
  <c r="A115" i="6"/>
  <c r="A542" i="6"/>
  <c r="A913" i="6"/>
  <c r="A959" i="6"/>
  <c r="A777" i="6"/>
  <c r="A978" i="6"/>
  <c r="A371" i="6"/>
  <c r="A533" i="6"/>
  <c r="A332" i="6"/>
  <c r="A966" i="6"/>
  <c r="A1018" i="6"/>
  <c r="A891" i="6"/>
  <c r="A925" i="6"/>
  <c r="A875" i="6"/>
  <c r="A168" i="6"/>
  <c r="A1055" i="6"/>
  <c r="A923" i="6"/>
  <c r="A302" i="6"/>
  <c r="A662" i="6"/>
  <c r="A300" i="6"/>
  <c r="A355" i="6"/>
  <c r="A594" i="6"/>
  <c r="A61" i="6"/>
  <c r="A540" i="6"/>
  <c r="A1005" i="6"/>
  <c r="A308" i="6"/>
  <c r="A888" i="6"/>
  <c r="A170" i="6"/>
  <c r="A724" i="6"/>
  <c r="A1082" i="6"/>
  <c r="A236" i="6"/>
  <c r="A653" i="6"/>
  <c r="A628" i="6"/>
  <c r="A425" i="6"/>
  <c r="A449" i="6"/>
  <c r="A23" i="6"/>
  <c r="A972" i="6"/>
  <c r="A388" i="6"/>
  <c r="A634" i="6"/>
  <c r="A488" i="6"/>
  <c r="A122" i="6"/>
  <c r="A896" i="6"/>
  <c r="A269" i="6"/>
  <c r="A107" i="6"/>
  <c r="A818" i="6"/>
  <c r="A529" i="6"/>
  <c r="A179" i="6"/>
  <c r="A199" i="6"/>
  <c r="A1091" i="6"/>
  <c r="A56" i="6"/>
  <c r="A37" i="6"/>
  <c r="A143" i="6"/>
  <c r="A392" i="6"/>
  <c r="A171" i="6"/>
  <c r="A1064" i="6"/>
  <c r="A35" i="6"/>
  <c r="A62" i="6"/>
  <c r="A710" i="6"/>
  <c r="A1050" i="6"/>
  <c r="A999" i="6"/>
  <c r="A448" i="6"/>
  <c r="A1040" i="6"/>
  <c r="A255" i="6"/>
  <c r="A142" i="6"/>
  <c r="A190" i="6"/>
  <c r="A283" i="6"/>
  <c r="A835" i="6"/>
  <c r="A814" i="6"/>
  <c r="A366" i="6"/>
  <c r="A873" i="6"/>
  <c r="A290" i="6"/>
  <c r="A464" i="6"/>
  <c r="A152" i="6"/>
  <c r="A172" i="6"/>
  <c r="A264" i="6"/>
  <c r="A791" i="6"/>
  <c r="A715" i="6"/>
  <c r="A927" i="6"/>
  <c r="A705" i="6"/>
  <c r="A747" i="6"/>
  <c r="A338" i="6"/>
  <c r="A573" i="6"/>
  <c r="A410" i="6"/>
  <c r="A505" i="6"/>
  <c r="A259" i="6"/>
  <c r="A707" i="6"/>
  <c r="A393" i="6"/>
  <c r="A306" i="6"/>
  <c r="A241" i="6"/>
  <c r="A1007" i="6"/>
  <c r="A1028" i="6"/>
  <c r="A841" i="6"/>
  <c r="A501" i="6"/>
  <c r="A299" i="6"/>
  <c r="A414" i="6"/>
  <c r="A640" i="6"/>
  <c r="A528" i="6"/>
  <c r="A731" i="6"/>
  <c r="A644" i="6"/>
  <c r="A687" i="6"/>
  <c r="A786" i="6"/>
  <c r="A603" i="6"/>
  <c r="A1035" i="6"/>
  <c r="A103" i="6"/>
  <c r="A557" i="6"/>
  <c r="A1075" i="6"/>
  <c r="A583" i="6"/>
  <c r="A440" i="6"/>
  <c r="A970" i="6"/>
  <c r="A105" i="6"/>
  <c r="A297" i="6"/>
  <c r="A1031" i="6"/>
  <c r="A237" i="6"/>
  <c r="A331" i="6"/>
  <c r="A79" i="6"/>
  <c r="A248" i="6"/>
  <c r="A351" i="6"/>
  <c r="A456" i="6"/>
  <c r="A420" i="6"/>
  <c r="A697" i="6"/>
  <c r="A38" i="6"/>
  <c r="A416" i="6"/>
  <c r="A353" i="6"/>
  <c r="A80" i="6"/>
  <c r="A474" i="6"/>
  <c r="A480" i="6"/>
  <c r="A973" i="6"/>
  <c r="A1026" i="6"/>
  <c r="A732" i="6"/>
  <c r="A130" i="6"/>
  <c r="A515" i="6"/>
  <c r="A1019" i="6"/>
  <c r="A773" i="6"/>
  <c r="A291" i="6"/>
  <c r="A370" i="6"/>
  <c r="A929" i="6"/>
  <c r="A204" i="6"/>
  <c r="A752" i="6"/>
  <c r="A257" i="6"/>
  <c r="A500" i="6"/>
  <c r="A1047" i="6"/>
  <c r="A68" i="5"/>
  <c r="A196" i="5"/>
  <c r="A713" i="5"/>
  <c r="A123" i="5"/>
  <c r="A813" i="5"/>
  <c r="A821" i="5"/>
  <c r="A759" i="5"/>
  <c r="A757" i="5"/>
  <c r="A785" i="5"/>
  <c r="A392" i="5"/>
  <c r="A662" i="5"/>
  <c r="A642" i="5"/>
  <c r="A18" i="5"/>
  <c r="A70" i="5"/>
  <c r="A135" i="5"/>
  <c r="A198" i="5"/>
  <c r="A489" i="5"/>
  <c r="A553" i="5"/>
  <c r="A592" i="5"/>
  <c r="A528" i="5"/>
  <c r="A464" i="5"/>
  <c r="A401" i="5"/>
  <c r="A331" i="5"/>
  <c r="A267" i="5"/>
  <c r="A1073" i="5"/>
  <c r="A1009" i="5"/>
  <c r="A945" i="5"/>
  <c r="A881" i="5"/>
  <c r="A264" i="5"/>
  <c r="A328" i="5"/>
  <c r="A402" i="5"/>
  <c r="A467" i="5"/>
  <c r="A531" i="5"/>
  <c r="A595" i="5"/>
  <c r="A222" i="5"/>
  <c r="A266" i="5"/>
  <c r="A330" i="5"/>
  <c r="A396" i="5"/>
  <c r="A461" i="5"/>
  <c r="A525" i="5"/>
  <c r="A589" i="5"/>
  <c r="A308" i="5"/>
  <c r="A374" i="5"/>
  <c r="A439" i="5"/>
  <c r="A503" i="5"/>
  <c r="A567" i="5"/>
  <c r="A779" i="5"/>
  <c r="A1020" i="5"/>
  <c r="A956" i="5"/>
  <c r="A892" i="5"/>
  <c r="A828" i="5"/>
  <c r="A764" i="5"/>
  <c r="A698" i="5"/>
  <c r="A635" i="5"/>
  <c r="A247" i="5"/>
  <c r="A183" i="5"/>
  <c r="A118" i="5"/>
  <c r="A55" i="5"/>
  <c r="A1072" i="5"/>
  <c r="A50" i="5"/>
  <c r="A115" i="5"/>
  <c r="A178" i="5"/>
  <c r="A242" i="5"/>
  <c r="A481" i="5"/>
  <c r="A767" i="5"/>
  <c r="A1026" i="5"/>
  <c r="A962" i="5"/>
  <c r="A898" i="5"/>
  <c r="A834" i="5"/>
  <c r="A770" i="5"/>
  <c r="A700" i="5"/>
  <c r="A637" i="5"/>
  <c r="A189" i="5"/>
  <c r="A124" i="5"/>
  <c r="A61" i="5"/>
  <c r="A1068" i="5"/>
  <c r="A600" i="5"/>
  <c r="A536" i="5"/>
  <c r="A472" i="5"/>
  <c r="A409" i="5"/>
  <c r="A339" i="5"/>
  <c r="A275" i="5"/>
  <c r="A83" i="5"/>
  <c r="A1081" i="5"/>
  <c r="A1017" i="5"/>
  <c r="A953" i="5"/>
  <c r="A889" i="5"/>
  <c r="A825" i="5"/>
  <c r="A109" i="5"/>
  <c r="A236" i="5"/>
  <c r="A624" i="5"/>
  <c r="A688" i="5"/>
  <c r="A765" i="5"/>
  <c r="A272" i="5"/>
  <c r="A336" i="5"/>
  <c r="A410" i="5"/>
  <c r="A475" i="5"/>
  <c r="A539" i="5"/>
  <c r="A538" i="5"/>
  <c r="A474" i="5"/>
  <c r="A411" i="5"/>
  <c r="A345" i="5"/>
  <c r="A281" i="5"/>
  <c r="A89" i="5"/>
  <c r="A1087" i="5"/>
  <c r="A1023" i="5"/>
  <c r="A959" i="5"/>
  <c r="A895" i="5"/>
  <c r="A831" i="5"/>
  <c r="A54" i="5"/>
  <c r="A119" i="5"/>
  <c r="A182" i="5"/>
  <c r="A246" i="5"/>
  <c r="A1046" i="5"/>
  <c r="A974" i="5"/>
  <c r="A910" i="5"/>
  <c r="A846" i="5"/>
  <c r="A782" i="5"/>
  <c r="A712" i="5"/>
  <c r="A649" i="5"/>
  <c r="A201" i="5"/>
  <c r="A136" i="5"/>
  <c r="A73" i="5"/>
  <c r="A9" i="5"/>
  <c r="A92" i="5"/>
  <c r="A157" i="5"/>
  <c r="A284" i="5"/>
  <c r="A348" i="5"/>
  <c r="A414" i="5"/>
  <c r="A479" i="5"/>
  <c r="A543" i="5"/>
  <c r="A1058" i="5"/>
  <c r="A980" i="5"/>
  <c r="A916" i="5"/>
  <c r="A852" i="5"/>
  <c r="A788" i="5"/>
  <c r="A722" i="5"/>
  <c r="A659" i="5"/>
  <c r="A207" i="5"/>
  <c r="A142" i="5"/>
  <c r="A79" i="5"/>
  <c r="A15" i="5"/>
  <c r="A558" i="5"/>
  <c r="A494" i="5"/>
  <c r="A430" i="5"/>
  <c r="A365" i="5"/>
  <c r="A301" i="5"/>
  <c r="A172" i="5"/>
  <c r="A1035" i="5"/>
  <c r="A971" i="5"/>
  <c r="A907" i="5"/>
  <c r="A843" i="5"/>
  <c r="A26" i="5"/>
  <c r="A473" i="5"/>
  <c r="A537" i="5"/>
  <c r="A1070" i="5"/>
  <c r="A986" i="5"/>
  <c r="A922" i="5"/>
  <c r="A858" i="5"/>
  <c r="A794" i="5"/>
  <c r="A724" i="5"/>
  <c r="A661" i="5"/>
  <c r="A213" i="5"/>
  <c r="A148" i="5"/>
  <c r="A21" i="5"/>
  <c r="A544" i="5"/>
  <c r="A480" i="5"/>
  <c r="A417" i="5"/>
  <c r="A347" i="5"/>
  <c r="A283" i="5"/>
  <c r="A154" i="5"/>
  <c r="A91" i="5"/>
  <c r="A1089" i="5"/>
  <c r="A1025" i="5"/>
  <c r="A961" i="5"/>
  <c r="A897" i="5"/>
  <c r="A833" i="5"/>
  <c r="A312" i="5"/>
  <c r="A386" i="5"/>
  <c r="A451" i="5"/>
  <c r="A515" i="5"/>
  <c r="A579" i="5"/>
  <c r="A819" i="5"/>
  <c r="A1000" i="5"/>
  <c r="A936" i="5"/>
  <c r="A872" i="5"/>
  <c r="A808" i="5"/>
  <c r="A744" i="5"/>
  <c r="A679" i="5"/>
  <c r="A615" i="5"/>
  <c r="A227" i="5"/>
  <c r="A1032" i="5"/>
  <c r="A578" i="5"/>
  <c r="A514" i="5"/>
  <c r="A450" i="5"/>
  <c r="A387" i="5"/>
  <c r="A305" i="5"/>
  <c r="A1047" i="5"/>
  <c r="A983" i="5"/>
  <c r="A919" i="5"/>
  <c r="A855" i="5"/>
  <c r="A14" i="5"/>
  <c r="A78" i="5"/>
  <c r="A143" i="5"/>
  <c r="A206" i="5"/>
  <c r="A250" i="5"/>
  <c r="A314" i="5"/>
  <c r="A380" i="5"/>
  <c r="A445" i="5"/>
  <c r="A509" i="5"/>
  <c r="A573" i="5"/>
  <c r="A1062" i="5"/>
  <c r="A982" i="5"/>
  <c r="A918" i="5"/>
  <c r="A854" i="5"/>
  <c r="A790" i="5"/>
  <c r="A720" i="5"/>
  <c r="A657" i="5"/>
  <c r="A193" i="5"/>
  <c r="A128" i="5"/>
  <c r="A65" i="5"/>
  <c r="A1092" i="5"/>
  <c r="A548" i="5"/>
  <c r="A484" i="5"/>
  <c r="A421" i="5"/>
  <c r="A351" i="5"/>
  <c r="A287" i="5"/>
  <c r="A158" i="5"/>
  <c r="A95" i="5"/>
  <c r="A1093" i="5"/>
  <c r="A1029" i="5"/>
  <c r="A965" i="5"/>
  <c r="A901" i="5"/>
  <c r="A837" i="5"/>
  <c r="A32" i="5"/>
  <c r="A224" i="5"/>
  <c r="A620" i="5"/>
  <c r="A684" i="5"/>
  <c r="A773" i="5"/>
  <c r="A260" i="5"/>
  <c r="A324" i="5"/>
  <c r="A390" i="5"/>
  <c r="A455" i="5"/>
  <c r="A519" i="5"/>
  <c r="A583" i="5"/>
  <c r="A811" i="5"/>
  <c r="A1004" i="5"/>
  <c r="A940" i="5"/>
  <c r="A876" i="5"/>
  <c r="A812" i="5"/>
  <c r="A748" i="5"/>
  <c r="A683" i="5"/>
  <c r="A619" i="5"/>
  <c r="A231" i="5"/>
  <c r="A102" i="5"/>
  <c r="A550" i="5"/>
  <c r="A486" i="5"/>
  <c r="A423" i="5"/>
  <c r="A357" i="5"/>
  <c r="A293" i="5"/>
  <c r="A164" i="5"/>
  <c r="A37" i="5"/>
  <c r="A1091" i="5"/>
  <c r="A1027" i="5"/>
  <c r="A963" i="5"/>
  <c r="A899" i="5"/>
  <c r="A835" i="5"/>
  <c r="A226" i="5"/>
  <c r="A614" i="5"/>
  <c r="A28" i="5"/>
  <c r="A103" i="5"/>
  <c r="A230" i="5"/>
  <c r="A457" i="5"/>
  <c r="A521" i="5"/>
  <c r="A585" i="5"/>
  <c r="A560" i="5"/>
  <c r="A496" i="5"/>
  <c r="A432" i="5"/>
  <c r="A363" i="5"/>
  <c r="A299" i="5"/>
  <c r="A170" i="5"/>
  <c r="A43" i="5"/>
  <c r="A1041" i="5"/>
  <c r="A977" i="5"/>
  <c r="A913" i="5"/>
  <c r="A849" i="5"/>
  <c r="A169" i="5"/>
  <c r="A296" i="5"/>
  <c r="A360" i="5"/>
  <c r="A435" i="5"/>
  <c r="A499" i="5"/>
  <c r="A563" i="5"/>
  <c r="A38" i="5"/>
  <c r="A62" i="5"/>
  <c r="A127" i="5"/>
  <c r="A190" i="5"/>
  <c r="A171" i="5"/>
  <c r="A298" i="5"/>
  <c r="A362" i="5"/>
  <c r="A429" i="5"/>
  <c r="A493" i="5"/>
  <c r="A557" i="5"/>
  <c r="A805" i="5"/>
  <c r="A84" i="5"/>
  <c r="A276" i="5"/>
  <c r="A340" i="5"/>
  <c r="A406" i="5"/>
  <c r="A471" i="5"/>
  <c r="A535" i="5"/>
  <c r="A599" i="5"/>
  <c r="A1074" i="5"/>
  <c r="A988" i="5"/>
  <c r="A924" i="5"/>
  <c r="A860" i="5"/>
  <c r="A796" i="5"/>
  <c r="A730" i="5"/>
  <c r="A667" i="5"/>
  <c r="A603" i="5"/>
  <c r="A215" i="5"/>
  <c r="A150" i="5"/>
  <c r="A23" i="5"/>
  <c r="A147" i="5"/>
  <c r="A210" i="5"/>
  <c r="A630" i="5"/>
  <c r="A545" i="5"/>
  <c r="A1086" i="5"/>
  <c r="A994" i="5"/>
  <c r="A930" i="5"/>
  <c r="A866" i="5"/>
  <c r="A802" i="5"/>
  <c r="A738" i="5"/>
  <c r="A669" i="5"/>
  <c r="A605" i="5"/>
  <c r="A221" i="5"/>
  <c r="A29" i="5"/>
  <c r="A568" i="5"/>
  <c r="A504" i="5"/>
  <c r="A440" i="5"/>
  <c r="A377" i="5"/>
  <c r="A307" i="5"/>
  <c r="A1049" i="5"/>
  <c r="A985" i="5"/>
  <c r="A921" i="5"/>
  <c r="A857" i="5"/>
  <c r="A76" i="5"/>
  <c r="A141" i="5"/>
  <c r="A204" i="5"/>
  <c r="A656" i="5"/>
  <c r="A721" i="5"/>
  <c r="A304" i="5"/>
  <c r="A378" i="5"/>
  <c r="A443" i="5"/>
  <c r="A507" i="5"/>
  <c r="A571" i="5"/>
  <c r="A803" i="5"/>
  <c r="A570" i="5"/>
  <c r="A506" i="5"/>
  <c r="A442" i="5"/>
  <c r="A379" i="5"/>
  <c r="A313" i="5"/>
  <c r="A249" i="5"/>
  <c r="A1055" i="5"/>
  <c r="A991" i="5"/>
  <c r="A927" i="5"/>
  <c r="A863" i="5"/>
  <c r="A151" i="5"/>
  <c r="A214" i="5"/>
  <c r="A1006" i="5"/>
  <c r="A942" i="5"/>
  <c r="A878" i="5"/>
  <c r="A814" i="5"/>
  <c r="A750" i="5"/>
  <c r="A681" i="5"/>
  <c r="A617" i="5"/>
  <c r="A233" i="5"/>
  <c r="A104" i="5"/>
  <c r="A1044" i="5"/>
  <c r="A24" i="5"/>
  <c r="A252" i="5"/>
  <c r="A316" i="5"/>
  <c r="A382" i="5"/>
  <c r="A447" i="5"/>
  <c r="A511" i="5"/>
  <c r="A575" i="5"/>
  <c r="A795" i="5"/>
  <c r="A1012" i="5"/>
  <c r="A948" i="5"/>
  <c r="A884" i="5"/>
  <c r="A820" i="5"/>
  <c r="A756" i="5"/>
  <c r="A691" i="5"/>
  <c r="A627" i="5"/>
  <c r="A239" i="5"/>
  <c r="A110" i="5"/>
  <c r="A47" i="5"/>
  <c r="A1056" i="5"/>
  <c r="A590" i="5"/>
  <c r="A526" i="5"/>
  <c r="A462" i="5"/>
  <c r="A399" i="5"/>
  <c r="A333" i="5"/>
  <c r="A269" i="5"/>
  <c r="A1067" i="5"/>
  <c r="A1003" i="5"/>
  <c r="A939" i="5"/>
  <c r="A875" i="5"/>
  <c r="A505" i="5"/>
  <c r="A569" i="5"/>
  <c r="A783" i="5"/>
  <c r="A1018" i="5"/>
  <c r="A954" i="5"/>
  <c r="A890" i="5"/>
  <c r="A826" i="5"/>
  <c r="A762" i="5"/>
  <c r="A693" i="5"/>
  <c r="A629" i="5"/>
  <c r="A245" i="5"/>
  <c r="A181" i="5"/>
  <c r="A116" i="5"/>
  <c r="A53" i="5"/>
  <c r="A1052" i="5"/>
  <c r="A576" i="5"/>
  <c r="A512" i="5"/>
  <c r="A448" i="5"/>
  <c r="A385" i="5"/>
  <c r="A315" i="5"/>
  <c r="A251" i="5"/>
  <c r="A1057" i="5"/>
  <c r="A993" i="5"/>
  <c r="A929" i="5"/>
  <c r="A865" i="5"/>
  <c r="A40" i="5"/>
  <c r="A88" i="5"/>
  <c r="A153" i="5"/>
  <c r="A280" i="5"/>
  <c r="A344" i="5"/>
  <c r="A418" i="5"/>
  <c r="A483" i="5"/>
  <c r="A547" i="5"/>
  <c r="A755" i="5"/>
  <c r="A1034" i="5"/>
  <c r="A968" i="5"/>
  <c r="A904" i="5"/>
  <c r="A840" i="5"/>
  <c r="A776" i="5"/>
  <c r="A710" i="5"/>
  <c r="A647" i="5"/>
  <c r="A195" i="5"/>
  <c r="A130" i="5"/>
  <c r="A67" i="5"/>
  <c r="A1096" i="5"/>
  <c r="A546" i="5"/>
  <c r="A482" i="5"/>
  <c r="A419" i="5"/>
  <c r="A337" i="5"/>
  <c r="A273" i="5"/>
  <c r="A1079" i="5"/>
  <c r="A1015" i="5"/>
  <c r="A951" i="5"/>
  <c r="A887" i="5"/>
  <c r="A46" i="5"/>
  <c r="A111" i="5"/>
  <c r="A238" i="5"/>
  <c r="A626" i="5"/>
  <c r="A90" i="5"/>
  <c r="A155" i="5"/>
  <c r="A282" i="5"/>
  <c r="A346" i="5"/>
  <c r="A412" i="5"/>
  <c r="A477" i="5"/>
  <c r="A541" i="5"/>
  <c r="A791" i="5"/>
  <c r="A1014" i="5"/>
  <c r="A950" i="5"/>
  <c r="A886" i="5"/>
  <c r="A822" i="5"/>
  <c r="A758" i="5"/>
  <c r="A689" i="5"/>
  <c r="A625" i="5"/>
  <c r="A225" i="5"/>
  <c r="A580" i="5"/>
  <c r="A516" i="5"/>
  <c r="A452" i="5"/>
  <c r="A389" i="5"/>
  <c r="A319" i="5"/>
  <c r="A255" i="5"/>
  <c r="A1061" i="5"/>
  <c r="A997" i="5"/>
  <c r="A933" i="5"/>
  <c r="A869" i="5"/>
  <c r="A64" i="5"/>
  <c r="A129" i="5"/>
  <c r="A192" i="5"/>
  <c r="A652" i="5"/>
  <c r="A717" i="5"/>
  <c r="A165" i="5"/>
  <c r="A292" i="5"/>
  <c r="A356" i="5"/>
  <c r="A422" i="5"/>
  <c r="A487" i="5"/>
  <c r="A551" i="5"/>
  <c r="A747" i="5"/>
  <c r="A1042" i="5"/>
  <c r="A972" i="5"/>
  <c r="A908" i="5"/>
  <c r="A844" i="5"/>
  <c r="A780" i="5"/>
  <c r="A714" i="5"/>
  <c r="A651" i="5"/>
  <c r="A199" i="5"/>
  <c r="A134" i="5"/>
  <c r="A71" i="5"/>
  <c r="A1040" i="5"/>
  <c r="A582" i="5"/>
  <c r="A518" i="5"/>
  <c r="A454" i="5"/>
  <c r="A391" i="5"/>
  <c r="A325" i="5"/>
  <c r="A261" i="5"/>
  <c r="A1059" i="5"/>
  <c r="A995" i="5"/>
  <c r="A931" i="5"/>
  <c r="A867" i="5"/>
  <c r="A44" i="5"/>
  <c r="A66" i="5"/>
  <c r="A131" i="5"/>
  <c r="A194" i="5"/>
  <c r="A823" i="5"/>
  <c r="A634" i="5"/>
</calcChain>
</file>

<file path=xl/sharedStrings.xml><?xml version="1.0" encoding="utf-8"?>
<sst xmlns="http://schemas.openxmlformats.org/spreadsheetml/2006/main" count="63" uniqueCount="39">
  <si>
    <t>Weerkundige waarnemingen Saba</t>
  </si>
  <si>
    <t>13.45</t>
  </si>
  <si>
    <t>19.45</t>
  </si>
  <si>
    <t>The Bottom</t>
  </si>
  <si>
    <t>Sint Johns</t>
  </si>
  <si>
    <t>Windwardside</t>
  </si>
  <si>
    <t>Datum</t>
  </si>
  <si>
    <t>07.45</t>
  </si>
  <si>
    <r>
      <t xml:space="preserve">Barometerstand </t>
    </r>
    <r>
      <rPr>
        <b/>
        <sz val="6"/>
        <color theme="1"/>
        <rFont val="Calibri"/>
        <family val="2"/>
        <scheme val="minor"/>
      </rPr>
      <t>(zonder correcties)</t>
    </r>
  </si>
  <si>
    <t>Thermometerstand [°C]</t>
  </si>
  <si>
    <t>Regenval [0,1 mm]</t>
  </si>
  <si>
    <t>Stn</t>
  </si>
  <si>
    <t>Niveau</t>
  </si>
  <si>
    <t>Rd</t>
  </si>
  <si>
    <t>qRd</t>
  </si>
  <si>
    <t>Tijd</t>
  </si>
  <si>
    <t>P</t>
  </si>
  <si>
    <t>qP</t>
  </si>
  <si>
    <t>T</t>
  </si>
  <si>
    <t>qT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</si>
  <si>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</si>
  <si>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</si>
  <si>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</si>
  <si>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</si>
  <si>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</si>
  <si>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</si>
  <si>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</si>
  <si>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</si>
  <si>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</si>
  <si>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</si>
  <si>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</si>
  <si>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Barometerstand (zonder correcties)</t>
  </si>
  <si>
    <t>Kwaliteitskenmerken</t>
  </si>
  <si>
    <t>Parameters</t>
  </si>
  <si>
    <t>Notatie</t>
  </si>
  <si>
    <t>Barometer</t>
  </si>
  <si>
    <t>Instrument</t>
  </si>
  <si>
    <t>Thermometer</t>
  </si>
  <si>
    <t>Regenmeter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</si>
</sst>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yyyy\.mm\.dd"/>
    <numFmt numFmtId="165" formatCode="General_0_0_0"/>
    <numFmt numFmtId="166" formatCode="0_0_0_0_0_0;\-0_0_0_0_0_0;&quot;∙&quot;_,_0_0_0_0_0;@_0_0_0_0_0"/>
    <numFmt numFmtId="167" formatCode="000"/>
    <numFmt numFmtId="168" formatCode="0_0_0_0_("/>
    <numFmt numFmtId="169" formatCode="00_0_0_0"/>
    <numFmt numFmtId="170" formatCode="0_0_0_0;\-0_0_0_0;0_0_0_0;@_0_0_0"/>
    <numFmt numFmtId="171" formatCode="0.0_,_0"/>
    <numFmt numFmtId="172" formatCode="0.0_,_0_0_0_0;\-0.0_,_0_0_0_0;&quot;∙&quot;_,_0_0_0_0_0;@_0_0_0_0_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6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0">
    <xf numFmtId="0" fontId="0" fillId="0" borderId="0" xfId="0"/>
    <xf numFmtId="164" fontId="0" fillId="2" borderId="0" xfId="0" applyNumberFormat="1" applyFill="1" applyAlignment="1">
      <alignment horizontal="left"/>
    </xf>
    <xf numFmtId="0" fontId="1" fillId="6" borderId="4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7" xfId="0" applyFont="1" applyFill="1" applyBorder="1" applyAlignment="1">
      <alignment horizontal="center"/>
    </xf>
    <xf numFmtId="165" fontId="0" fillId="4" borderId="5" xfId="0" applyNumberFormat="1" applyFill="1" applyBorder="1" applyProtection="1">
      <protection locked="0"/>
    </xf>
    <xf numFmtId="165" fontId="0" fillId="4" borderId="0" xfId="0" applyNumberFormat="1" applyFill="1" applyBorder="1" applyProtection="1">
      <protection locked="0"/>
    </xf>
    <xf numFmtId="165" fontId="0" fillId="3" borderId="5" xfId="0" applyNumberFormat="1" applyFill="1" applyBorder="1" applyProtection="1">
      <protection locked="0"/>
    </xf>
    <xf numFmtId="165" fontId="0" fillId="3" borderId="0" xfId="0" applyNumberFormat="1" applyFill="1" applyBorder="1" applyProtection="1">
      <protection locked="0"/>
    </xf>
    <xf numFmtId="166" fontId="0" fillId="5" borderId="5" xfId="0" applyNumberFormat="1" applyFill="1" applyBorder="1" applyProtection="1">
      <protection locked="0"/>
    </xf>
    <xf numFmtId="166" fontId="0" fillId="5" borderId="0" xfId="0" applyNumberFormat="1" applyFill="1" applyBorder="1" applyProtection="1">
      <protection locked="0"/>
    </xf>
    <xf numFmtId="166" fontId="0" fillId="5" borderId="8" xfId="0" applyNumberFormat="1" applyFill="1" applyBorder="1" applyProtection="1">
      <protection locked="0"/>
    </xf>
    <xf numFmtId="166" fontId="0" fillId="5" borderId="5" xfId="0" applyNumberFormat="1" applyFill="1" applyBorder="1" applyAlignment="1" applyProtection="1">
      <protection locked="0"/>
    </xf>
    <xf numFmtId="165" fontId="0" fillId="3" borderId="5" xfId="0" applyNumberFormat="1" applyFill="1" applyBorder="1" applyAlignment="1" applyProtection="1">
      <alignment horizontal="right"/>
      <protection locked="0"/>
    </xf>
    <xf numFmtId="166" fontId="0" fillId="5" borderId="5" xfId="0" applyNumberFormat="1" applyFill="1" applyBorder="1" applyAlignment="1" applyProtection="1">
      <alignment horizontal="right"/>
      <protection locked="0"/>
    </xf>
    <xf numFmtId="0" fontId="0" fillId="0" borderId="1" xfId="0" applyBorder="1"/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168" fontId="0" fillId="0" borderId="0" xfId="0" applyNumberFormat="1"/>
    <xf numFmtId="0" fontId="0" fillId="0" borderId="9" xfId="0" applyBorder="1"/>
    <xf numFmtId="168" fontId="0" fillId="0" borderId="9" xfId="0" applyNumberFormat="1" applyBorder="1"/>
    <xf numFmtId="167" fontId="0" fillId="0" borderId="9" xfId="0" applyNumberFormat="1" applyBorder="1" applyAlignment="1">
      <alignment horizontal="center"/>
    </xf>
    <xf numFmtId="0" fontId="4" fillId="0" borderId="10" xfId="0" applyFont="1" applyFill="1" applyBorder="1" applyAlignment="1">
      <alignment horizontal="center"/>
    </xf>
    <xf numFmtId="170" fontId="0" fillId="0" borderId="0" xfId="0" applyNumberFormat="1" applyAlignment="1">
      <alignment horizontal="right"/>
    </xf>
    <xf numFmtId="169" fontId="0" fillId="0" borderId="0" xfId="0" applyNumberFormat="1" applyAlignment="1"/>
    <xf numFmtId="0" fontId="5" fillId="0" borderId="0" xfId="0" applyFont="1"/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171" fontId="0" fillId="4" borderId="5" xfId="0" applyNumberFormat="1" applyFill="1" applyBorder="1"/>
    <xf numFmtId="171" fontId="0" fillId="4" borderId="0" xfId="0" applyNumberFormat="1" applyFill="1" applyBorder="1"/>
    <xf numFmtId="171" fontId="0" fillId="3" borderId="5" xfId="0" applyNumberFormat="1" applyFill="1" applyBorder="1"/>
    <xf numFmtId="171" fontId="0" fillId="3" borderId="0" xfId="0" applyNumberFormat="1" applyFill="1" applyBorder="1"/>
    <xf numFmtId="172" fontId="0" fillId="5" borderId="5" xfId="0" applyNumberFormat="1" applyFill="1" applyBorder="1"/>
    <xf numFmtId="172" fontId="0" fillId="5" borderId="0" xfId="0" applyNumberFormat="1" applyFill="1" applyBorder="1"/>
    <xf numFmtId="172" fontId="0" fillId="5" borderId="8" xfId="0" applyNumberFormat="1" applyFill="1" applyBorder="1"/>
    <xf numFmtId="0" fontId="0" fillId="0" borderId="0" xfId="0" applyAlignment="1">
      <alignment horizontal="center"/>
    </xf>
    <xf numFmtId="0" fontId="1" fillId="0" borderId="10" xfId="0" applyFont="1" applyBorder="1"/>
    <xf numFmtId="0" fontId="1" fillId="0" borderId="10" xfId="0" applyFont="1" applyBorder="1" applyAlignment="1">
      <alignment horizontal="center"/>
    </xf>
    <xf numFmtId="0" fontId="0" fillId="0" borderId="0" xfId="0" applyBorder="1"/>
    <xf numFmtId="0" fontId="0" fillId="0" borderId="9" xfId="0" applyFill="1" applyBorder="1"/>
    <xf numFmtId="169" fontId="0" fillId="0" borderId="0" xfId="0" applyNumberFormat="1" applyAlignment="1">
      <alignment horizontal="right"/>
    </xf>
    <xf numFmtId="0" fontId="1" fillId="6" borderId="3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left" vertical="center"/>
    </xf>
    <xf numFmtId="0" fontId="3" fillId="0" borderId="0" xfId="0" applyFont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1" xfId="0" applyFont="1" applyBorder="1" applyAlignment="1">
      <alignment vertical="center"/>
    </xf>
    <xf numFmtId="0" fontId="1" fillId="0" borderId="1" xfId="0" applyFont="1" applyBorder="1" applyAlignment="1">
      <alignment vertical="center"/>
    </xf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CC"/>
      <color rgb="FFCCFF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J382"/>
  <sheetViews>
    <sheetView tabSelected="1" workbookViewId="0">
      <pane xSplit="1" ySplit="4" topLeftCell="B349" activePane="bottomRight" state="frozen"/>
      <selection pane="topRight" activeCell="B1" sqref="B1"/>
      <selection pane="bottomLeft" activeCell="A5" sqref="A5"/>
      <selection pane="bottomRight" activeCell="B381" sqref="B381"/>
    </sheetView>
  </sheetViews>
  <sheetFormatPr defaultRowHeight="15" x14ac:dyDescent="0.25"/>
  <cols>
    <col min="1" max="1" width="10.140625" customWidth="1"/>
    <col min="8" max="10" width="14.28515625" customWidth="1"/>
  </cols>
  <sheetData>
    <row r="1" spans="1:10" ht="20.25" x14ac:dyDescent="0.3">
      <c r="A1" s="46" t="s">
        <v>0</v>
      </c>
      <c r="B1" s="46"/>
      <c r="C1" s="46"/>
      <c r="D1" s="46"/>
      <c r="E1" s="46"/>
      <c r="F1" s="46"/>
      <c r="G1" s="46"/>
      <c r="H1" s="46"/>
      <c r="I1" s="46"/>
      <c r="J1" s="46"/>
    </row>
    <row r="3" spans="1:10" x14ac:dyDescent="0.25">
      <c r="A3" s="44" t="s">
        <v>6</v>
      </c>
      <c r="B3" s="41" t="s">
        <v>8</v>
      </c>
      <c r="C3" s="42"/>
      <c r="D3" s="42"/>
      <c r="E3" s="41" t="s">
        <v>9</v>
      </c>
      <c r="F3" s="42"/>
      <c r="G3" s="42"/>
      <c r="H3" s="41" t="s">
        <v>10</v>
      </c>
      <c r="I3" s="42"/>
      <c r="J3" s="43"/>
    </row>
    <row r="4" spans="1:10" x14ac:dyDescent="0.25">
      <c r="A4" s="45"/>
      <c r="B4" s="2" t="s">
        <v>7</v>
      </c>
      <c r="C4" s="3" t="s">
        <v>1</v>
      </c>
      <c r="D4" s="3" t="s">
        <v>2</v>
      </c>
      <c r="E4" s="2" t="s">
        <v>7</v>
      </c>
      <c r="F4" s="3" t="s">
        <v>1</v>
      </c>
      <c r="G4" s="3" t="s">
        <v>2</v>
      </c>
      <c r="H4" s="2" t="s">
        <v>3</v>
      </c>
      <c r="I4" s="3" t="s">
        <v>4</v>
      </c>
      <c r="J4" s="4" t="s">
        <v>5</v>
      </c>
    </row>
    <row r="5" spans="1:10" x14ac:dyDescent="0.25">
      <c r="A5" s="1">
        <f ca="1">DATE(VALUE(MID(CELL("bestandsnaam"),FIND(".",CELL("bestandsnaam"))-4,4)),1,1)</f>
        <v>14611</v>
      </c>
      <c r="B5" s="5">
        <v>749</v>
      </c>
      <c r="C5" s="6">
        <v>748</v>
      </c>
      <c r="D5" s="6">
        <v>749</v>
      </c>
      <c r="E5" s="7">
        <v>26</v>
      </c>
      <c r="F5" s="8">
        <v>28</v>
      </c>
      <c r="G5" s="8">
        <v>27</v>
      </c>
      <c r="H5" s="9">
        <v>10</v>
      </c>
      <c r="I5" s="10">
        <v>15</v>
      </c>
      <c r="J5" s="11">
        <v>0</v>
      </c>
    </row>
    <row r="6" spans="1:10" x14ac:dyDescent="0.25">
      <c r="A6" s="1">
        <f ca="1">IF(ISTEXT(A5),A4+1,IF(MONTH(A5+1)=MONTH(A5),A5+1,"Totaal"))</f>
        <v>14612</v>
      </c>
      <c r="B6" s="5">
        <v>750</v>
      </c>
      <c r="C6" s="6">
        <v>749</v>
      </c>
      <c r="D6" s="6">
        <v>750</v>
      </c>
      <c r="E6" s="7">
        <v>26</v>
      </c>
      <c r="F6" s="8">
        <v>27</v>
      </c>
      <c r="G6" s="8">
        <v>27</v>
      </c>
      <c r="H6" s="12">
        <v>0</v>
      </c>
      <c r="I6" s="10">
        <v>0</v>
      </c>
      <c r="J6" s="11">
        <v>0</v>
      </c>
    </row>
    <row r="7" spans="1:10" x14ac:dyDescent="0.25">
      <c r="A7" s="1">
        <f t="shared" ref="A7:A70" ca="1" si="0">IF(ISTEXT(A6),A5+1,IF(MONTH(A6+1)=MONTH(A6),A6+1,"Totaal"))</f>
        <v>14613</v>
      </c>
      <c r="B7" s="5">
        <v>750</v>
      </c>
      <c r="C7" s="6">
        <v>750</v>
      </c>
      <c r="D7" s="6">
        <v>750</v>
      </c>
      <c r="E7" s="13">
        <v>26</v>
      </c>
      <c r="F7" s="8">
        <v>28</v>
      </c>
      <c r="G7" s="8">
        <v>27</v>
      </c>
      <c r="H7" s="14">
        <v>0</v>
      </c>
      <c r="I7" s="10">
        <v>0</v>
      </c>
      <c r="J7" s="11">
        <v>0</v>
      </c>
    </row>
    <row r="8" spans="1:10" x14ac:dyDescent="0.25">
      <c r="A8" s="1">
        <f t="shared" ca="1" si="0"/>
        <v>14614</v>
      </c>
      <c r="B8" s="5">
        <v>750</v>
      </c>
      <c r="C8" s="6">
        <v>750</v>
      </c>
      <c r="D8" s="6">
        <v>750</v>
      </c>
      <c r="E8" s="7">
        <v>26</v>
      </c>
      <c r="F8" s="8">
        <v>28</v>
      </c>
      <c r="G8" s="8">
        <v>27</v>
      </c>
      <c r="H8" s="9">
        <v>0</v>
      </c>
      <c r="I8" s="10">
        <v>0</v>
      </c>
      <c r="J8" s="11">
        <v>0</v>
      </c>
    </row>
    <row r="9" spans="1:10" x14ac:dyDescent="0.25">
      <c r="A9" s="1">
        <f t="shared" ca="1" si="0"/>
        <v>14615</v>
      </c>
      <c r="B9" s="5">
        <v>750</v>
      </c>
      <c r="C9" s="6">
        <v>750</v>
      </c>
      <c r="D9" s="6">
        <v>750</v>
      </c>
      <c r="E9" s="7">
        <v>26</v>
      </c>
      <c r="F9" s="8">
        <v>28</v>
      </c>
      <c r="G9" s="8">
        <v>27</v>
      </c>
      <c r="H9" s="9">
        <v>0</v>
      </c>
      <c r="I9" s="10">
        <v>0</v>
      </c>
      <c r="J9" s="11">
        <v>0</v>
      </c>
    </row>
    <row r="10" spans="1:10" x14ac:dyDescent="0.25">
      <c r="A10" s="1">
        <f t="shared" ca="1" si="0"/>
        <v>14616</v>
      </c>
      <c r="B10" s="5">
        <v>750</v>
      </c>
      <c r="C10" s="6">
        <v>750</v>
      </c>
      <c r="D10" s="6">
        <v>750</v>
      </c>
      <c r="E10" s="7">
        <v>26</v>
      </c>
      <c r="F10" s="8">
        <v>28</v>
      </c>
      <c r="G10" s="8">
        <v>27</v>
      </c>
      <c r="H10" s="9">
        <v>0</v>
      </c>
      <c r="I10" s="10">
        <v>0</v>
      </c>
      <c r="J10" s="11">
        <v>0</v>
      </c>
    </row>
    <row r="11" spans="1:10" x14ac:dyDescent="0.25">
      <c r="A11" s="1">
        <f t="shared" ca="1" si="0"/>
        <v>14617</v>
      </c>
      <c r="B11" s="5">
        <v>750</v>
      </c>
      <c r="C11" s="6">
        <v>750</v>
      </c>
      <c r="D11" s="6">
        <v>750</v>
      </c>
      <c r="E11" s="7">
        <v>26</v>
      </c>
      <c r="F11" s="8">
        <v>28</v>
      </c>
      <c r="G11" s="8">
        <v>27</v>
      </c>
      <c r="H11" s="9">
        <v>0</v>
      </c>
      <c r="I11" s="10">
        <v>0</v>
      </c>
      <c r="J11" s="11">
        <v>23</v>
      </c>
    </row>
    <row r="12" spans="1:10" x14ac:dyDescent="0.25">
      <c r="A12" s="1">
        <f t="shared" ca="1" si="0"/>
        <v>14618</v>
      </c>
      <c r="B12" s="5">
        <v>751</v>
      </c>
      <c r="C12" s="6">
        <v>751</v>
      </c>
      <c r="D12" s="6">
        <v>751</v>
      </c>
      <c r="E12" s="7">
        <v>26</v>
      </c>
      <c r="F12" s="8">
        <v>27</v>
      </c>
      <c r="G12" s="8">
        <v>26</v>
      </c>
      <c r="H12" s="9">
        <v>6</v>
      </c>
      <c r="I12" s="10">
        <v>0</v>
      </c>
      <c r="J12" s="11">
        <v>0</v>
      </c>
    </row>
    <row r="13" spans="1:10" x14ac:dyDescent="0.25">
      <c r="A13" s="1">
        <f t="shared" ca="1" si="0"/>
        <v>14619</v>
      </c>
      <c r="B13" s="5">
        <v>751</v>
      </c>
      <c r="C13" s="6">
        <v>751</v>
      </c>
      <c r="D13" s="6">
        <v>751</v>
      </c>
      <c r="E13" s="7">
        <v>26</v>
      </c>
      <c r="F13" s="8">
        <v>27</v>
      </c>
      <c r="G13" s="8">
        <v>27</v>
      </c>
      <c r="H13" s="9">
        <v>0</v>
      </c>
      <c r="I13" s="10">
        <v>0</v>
      </c>
      <c r="J13" s="11">
        <v>0</v>
      </c>
    </row>
    <row r="14" spans="1:10" x14ac:dyDescent="0.25">
      <c r="A14" s="1">
        <f t="shared" ca="1" si="0"/>
        <v>14620</v>
      </c>
      <c r="B14" s="5">
        <v>751</v>
      </c>
      <c r="C14" s="6">
        <v>750</v>
      </c>
      <c r="D14" s="6">
        <v>751</v>
      </c>
      <c r="E14" s="7">
        <v>26</v>
      </c>
      <c r="F14" s="8">
        <v>28</v>
      </c>
      <c r="G14" s="8">
        <v>27</v>
      </c>
      <c r="H14" s="9">
        <v>8</v>
      </c>
      <c r="I14" s="10">
        <v>10</v>
      </c>
      <c r="J14" s="11">
        <v>35</v>
      </c>
    </row>
    <row r="15" spans="1:10" x14ac:dyDescent="0.25">
      <c r="A15" s="1">
        <f t="shared" ca="1" si="0"/>
        <v>14621</v>
      </c>
      <c r="B15" s="5">
        <v>750</v>
      </c>
      <c r="C15" s="6">
        <v>749</v>
      </c>
      <c r="D15" s="6">
        <v>749</v>
      </c>
      <c r="E15" s="7">
        <v>25</v>
      </c>
      <c r="F15" s="8">
        <v>27</v>
      </c>
      <c r="G15" s="8">
        <v>26</v>
      </c>
      <c r="H15" s="9">
        <v>0</v>
      </c>
      <c r="I15" s="10">
        <v>0</v>
      </c>
      <c r="J15" s="11">
        <v>7</v>
      </c>
    </row>
    <row r="16" spans="1:10" x14ac:dyDescent="0.25">
      <c r="A16" s="1">
        <f t="shared" ca="1" si="0"/>
        <v>14622</v>
      </c>
      <c r="B16" s="5">
        <v>749</v>
      </c>
      <c r="C16" s="6">
        <v>748</v>
      </c>
      <c r="D16" s="6">
        <v>748</v>
      </c>
      <c r="E16" s="7">
        <v>25</v>
      </c>
      <c r="F16" s="8">
        <v>27</v>
      </c>
      <c r="G16" s="8">
        <v>26</v>
      </c>
      <c r="H16" s="9">
        <v>0</v>
      </c>
      <c r="I16" s="10">
        <v>0</v>
      </c>
      <c r="J16" s="11">
        <v>0</v>
      </c>
    </row>
    <row r="17" spans="1:10" x14ac:dyDescent="0.25">
      <c r="A17" s="1">
        <f t="shared" ca="1" si="0"/>
        <v>14623</v>
      </c>
      <c r="B17" s="5">
        <v>748</v>
      </c>
      <c r="C17" s="6">
        <v>748</v>
      </c>
      <c r="D17" s="6">
        <v>748</v>
      </c>
      <c r="E17" s="7">
        <v>25</v>
      </c>
      <c r="F17" s="8">
        <v>26</v>
      </c>
      <c r="G17" s="8">
        <v>25</v>
      </c>
      <c r="H17" s="9">
        <v>0</v>
      </c>
      <c r="I17" s="10">
        <v>0</v>
      </c>
      <c r="J17" s="11">
        <v>0</v>
      </c>
    </row>
    <row r="18" spans="1:10" x14ac:dyDescent="0.25">
      <c r="A18" s="1">
        <f t="shared" ca="1" si="0"/>
        <v>14624</v>
      </c>
      <c r="B18" s="5">
        <v>748</v>
      </c>
      <c r="C18" s="6">
        <v>747</v>
      </c>
      <c r="D18" s="6">
        <v>748</v>
      </c>
      <c r="E18" s="7">
        <v>24</v>
      </c>
      <c r="F18" s="8">
        <v>26</v>
      </c>
      <c r="G18" s="8">
        <v>26</v>
      </c>
      <c r="H18" s="9">
        <v>0</v>
      </c>
      <c r="I18" s="10">
        <v>0</v>
      </c>
      <c r="J18" s="11">
        <v>0</v>
      </c>
    </row>
    <row r="19" spans="1:10" x14ac:dyDescent="0.25">
      <c r="A19" s="1">
        <f t="shared" ca="1" si="0"/>
        <v>14625</v>
      </c>
      <c r="B19" s="5">
        <v>748</v>
      </c>
      <c r="C19" s="6">
        <v>748</v>
      </c>
      <c r="D19" s="6">
        <v>748</v>
      </c>
      <c r="E19" s="7">
        <v>25</v>
      </c>
      <c r="F19" s="8">
        <v>27</v>
      </c>
      <c r="G19" s="8">
        <v>26</v>
      </c>
      <c r="H19" s="9">
        <v>135</v>
      </c>
      <c r="I19" s="10">
        <v>140</v>
      </c>
      <c r="J19" s="11">
        <v>0</v>
      </c>
    </row>
    <row r="20" spans="1:10" x14ac:dyDescent="0.25">
      <c r="A20" s="1">
        <f t="shared" ca="1" si="0"/>
        <v>14626</v>
      </c>
      <c r="B20" s="5">
        <v>748</v>
      </c>
      <c r="C20" s="6">
        <v>747</v>
      </c>
      <c r="D20" s="6">
        <v>748</v>
      </c>
      <c r="E20" s="7">
        <v>25</v>
      </c>
      <c r="F20" s="8">
        <v>27</v>
      </c>
      <c r="G20" s="8">
        <v>27</v>
      </c>
      <c r="H20" s="9">
        <v>0</v>
      </c>
      <c r="I20" s="10">
        <v>0</v>
      </c>
      <c r="J20" s="11">
        <v>0</v>
      </c>
    </row>
    <row r="21" spans="1:10" x14ac:dyDescent="0.25">
      <c r="A21" s="1">
        <f t="shared" ca="1" si="0"/>
        <v>14627</v>
      </c>
      <c r="B21" s="5">
        <v>747</v>
      </c>
      <c r="C21" s="6">
        <v>747</v>
      </c>
      <c r="D21" s="6">
        <v>748</v>
      </c>
      <c r="E21" s="7">
        <v>26</v>
      </c>
      <c r="F21" s="8">
        <v>27</v>
      </c>
      <c r="G21" s="8">
        <v>26</v>
      </c>
      <c r="H21" s="9">
        <v>0</v>
      </c>
      <c r="I21" s="10">
        <v>0</v>
      </c>
      <c r="J21" s="11">
        <v>33</v>
      </c>
    </row>
    <row r="22" spans="1:10" x14ac:dyDescent="0.25">
      <c r="A22" s="1">
        <f t="shared" ca="1" si="0"/>
        <v>14628</v>
      </c>
      <c r="B22" s="5">
        <v>749</v>
      </c>
      <c r="C22" s="6">
        <v>748</v>
      </c>
      <c r="D22" s="6">
        <v>749</v>
      </c>
      <c r="E22" s="7">
        <v>25</v>
      </c>
      <c r="F22" s="8">
        <v>27</v>
      </c>
      <c r="G22" s="8">
        <v>26</v>
      </c>
      <c r="H22" s="9">
        <v>0</v>
      </c>
      <c r="I22" s="10">
        <v>0</v>
      </c>
      <c r="J22" s="11">
        <v>0</v>
      </c>
    </row>
    <row r="23" spans="1:10" x14ac:dyDescent="0.25">
      <c r="A23" s="1">
        <f t="shared" ca="1" si="0"/>
        <v>14629</v>
      </c>
      <c r="B23" s="5">
        <v>749</v>
      </c>
      <c r="C23" s="6">
        <v>749</v>
      </c>
      <c r="D23" s="6">
        <v>749</v>
      </c>
      <c r="E23" s="7">
        <v>25</v>
      </c>
      <c r="F23" s="8">
        <v>28</v>
      </c>
      <c r="G23" s="8">
        <v>27</v>
      </c>
      <c r="H23" s="9">
        <v>0</v>
      </c>
      <c r="I23" s="10">
        <v>0</v>
      </c>
      <c r="J23" s="11">
        <v>0</v>
      </c>
    </row>
    <row r="24" spans="1:10" x14ac:dyDescent="0.25">
      <c r="A24" s="1">
        <f t="shared" ca="1" si="0"/>
        <v>14630</v>
      </c>
      <c r="B24" s="5">
        <v>749</v>
      </c>
      <c r="C24" s="6">
        <v>749</v>
      </c>
      <c r="D24" s="6">
        <v>749</v>
      </c>
      <c r="E24" s="7">
        <v>25</v>
      </c>
      <c r="F24" s="8">
        <v>27</v>
      </c>
      <c r="G24" s="8">
        <v>26</v>
      </c>
      <c r="H24" s="9">
        <v>0</v>
      </c>
      <c r="I24" s="10">
        <v>0</v>
      </c>
      <c r="J24" s="11">
        <v>0</v>
      </c>
    </row>
    <row r="25" spans="1:10" x14ac:dyDescent="0.25">
      <c r="A25" s="1">
        <f t="shared" ca="1" si="0"/>
        <v>14631</v>
      </c>
      <c r="B25" s="5">
        <v>749</v>
      </c>
      <c r="C25" s="6">
        <v>749</v>
      </c>
      <c r="D25" s="6">
        <v>749</v>
      </c>
      <c r="E25" s="7">
        <v>25</v>
      </c>
      <c r="F25" s="8">
        <v>28</v>
      </c>
      <c r="G25" s="8">
        <v>27</v>
      </c>
      <c r="H25" s="9">
        <v>8</v>
      </c>
      <c r="I25" s="10">
        <v>0</v>
      </c>
      <c r="J25" s="11">
        <v>0</v>
      </c>
    </row>
    <row r="26" spans="1:10" x14ac:dyDescent="0.25">
      <c r="A26" s="1">
        <f t="shared" ca="1" si="0"/>
        <v>14632</v>
      </c>
      <c r="B26" s="5">
        <v>749</v>
      </c>
      <c r="C26" s="6">
        <v>749</v>
      </c>
      <c r="D26" s="6">
        <v>750</v>
      </c>
      <c r="E26" s="7">
        <v>26</v>
      </c>
      <c r="F26" s="8">
        <v>28</v>
      </c>
      <c r="G26" s="8">
        <v>27</v>
      </c>
      <c r="H26" s="9">
        <v>0</v>
      </c>
      <c r="I26" s="10">
        <v>0</v>
      </c>
      <c r="J26" s="11">
        <v>0</v>
      </c>
    </row>
    <row r="27" spans="1:10" x14ac:dyDescent="0.25">
      <c r="A27" s="1">
        <f t="shared" ca="1" si="0"/>
        <v>14633</v>
      </c>
      <c r="B27" s="5">
        <v>750</v>
      </c>
      <c r="C27" s="6">
        <v>750</v>
      </c>
      <c r="D27" s="6">
        <v>750</v>
      </c>
      <c r="E27" s="7">
        <v>25</v>
      </c>
      <c r="F27" s="8">
        <v>27</v>
      </c>
      <c r="G27" s="8">
        <v>26</v>
      </c>
      <c r="H27" s="9">
        <v>61</v>
      </c>
      <c r="I27" s="10">
        <v>50</v>
      </c>
      <c r="J27" s="11">
        <v>230</v>
      </c>
    </row>
    <row r="28" spans="1:10" x14ac:dyDescent="0.25">
      <c r="A28" s="1">
        <f t="shared" ca="1" si="0"/>
        <v>14634</v>
      </c>
      <c r="B28" s="5">
        <v>750</v>
      </c>
      <c r="C28" s="6">
        <v>750</v>
      </c>
      <c r="D28" s="6">
        <v>750</v>
      </c>
      <c r="E28" s="7">
        <v>25</v>
      </c>
      <c r="F28" s="8">
        <v>26</v>
      </c>
      <c r="G28" s="8">
        <v>26</v>
      </c>
      <c r="H28" s="9">
        <v>50</v>
      </c>
      <c r="I28" s="10">
        <v>30</v>
      </c>
      <c r="J28" s="11">
        <v>75</v>
      </c>
    </row>
    <row r="29" spans="1:10" x14ac:dyDescent="0.25">
      <c r="A29" s="1">
        <f t="shared" ca="1" si="0"/>
        <v>14635</v>
      </c>
      <c r="B29" s="5">
        <v>749</v>
      </c>
      <c r="C29" s="6">
        <v>749</v>
      </c>
      <c r="D29" s="6">
        <v>749</v>
      </c>
      <c r="E29" s="7">
        <v>25</v>
      </c>
      <c r="F29" s="8">
        <v>25</v>
      </c>
      <c r="G29" s="8">
        <v>25</v>
      </c>
      <c r="H29" s="9">
        <v>75</v>
      </c>
      <c r="I29" s="10">
        <v>90</v>
      </c>
      <c r="J29" s="11">
        <v>0</v>
      </c>
    </row>
    <row r="30" spans="1:10" x14ac:dyDescent="0.25">
      <c r="A30" s="1">
        <f t="shared" ca="1" si="0"/>
        <v>14636</v>
      </c>
      <c r="B30" s="5">
        <v>749</v>
      </c>
      <c r="C30" s="6">
        <v>749</v>
      </c>
      <c r="D30" s="6">
        <v>748</v>
      </c>
      <c r="E30" s="7">
        <v>25</v>
      </c>
      <c r="F30" s="8">
        <v>27</v>
      </c>
      <c r="G30" s="8">
        <v>26</v>
      </c>
      <c r="H30" s="9">
        <v>95</v>
      </c>
      <c r="I30" s="10">
        <v>40</v>
      </c>
      <c r="J30" s="11">
        <v>24</v>
      </c>
    </row>
    <row r="31" spans="1:10" x14ac:dyDescent="0.25">
      <c r="A31" s="1">
        <f t="shared" ca="1" si="0"/>
        <v>14637</v>
      </c>
      <c r="B31" s="5">
        <v>749</v>
      </c>
      <c r="C31" s="6">
        <v>749</v>
      </c>
      <c r="D31" s="6">
        <v>749</v>
      </c>
      <c r="E31" s="7">
        <v>25</v>
      </c>
      <c r="F31" s="8">
        <v>27</v>
      </c>
      <c r="G31" s="8">
        <v>26</v>
      </c>
      <c r="H31" s="9">
        <v>0</v>
      </c>
      <c r="I31" s="10">
        <v>0</v>
      </c>
      <c r="J31" s="11">
        <v>0</v>
      </c>
    </row>
    <row r="32" spans="1:10" x14ac:dyDescent="0.25">
      <c r="A32" s="1">
        <f t="shared" ca="1" si="0"/>
        <v>14638</v>
      </c>
      <c r="B32" s="5">
        <v>750</v>
      </c>
      <c r="C32" s="6">
        <v>750</v>
      </c>
      <c r="D32" s="6">
        <v>750</v>
      </c>
      <c r="E32" s="7">
        <v>25</v>
      </c>
      <c r="F32" s="8">
        <v>27</v>
      </c>
      <c r="G32" s="8">
        <v>26</v>
      </c>
      <c r="H32" s="9">
        <v>0</v>
      </c>
      <c r="I32" s="10">
        <v>0</v>
      </c>
      <c r="J32" s="11">
        <v>0</v>
      </c>
    </row>
    <row r="33" spans="1:10" x14ac:dyDescent="0.25">
      <c r="A33" s="1">
        <f t="shared" ca="1" si="0"/>
        <v>14639</v>
      </c>
      <c r="B33" s="5">
        <v>750</v>
      </c>
      <c r="C33" s="6">
        <v>750</v>
      </c>
      <c r="D33" s="6">
        <v>750</v>
      </c>
      <c r="E33" s="7">
        <v>26</v>
      </c>
      <c r="F33" s="8">
        <v>27</v>
      </c>
      <c r="G33" s="8">
        <v>27</v>
      </c>
      <c r="H33" s="9">
        <v>0</v>
      </c>
      <c r="I33" s="10">
        <v>0</v>
      </c>
      <c r="J33" s="11">
        <v>0</v>
      </c>
    </row>
    <row r="34" spans="1:10" x14ac:dyDescent="0.25">
      <c r="A34" s="1">
        <f t="shared" ca="1" si="0"/>
        <v>14640</v>
      </c>
      <c r="B34" s="5">
        <v>750</v>
      </c>
      <c r="C34" s="6">
        <v>749</v>
      </c>
      <c r="D34" s="6">
        <v>749</v>
      </c>
      <c r="E34" s="7">
        <v>26</v>
      </c>
      <c r="F34" s="8">
        <v>28</v>
      </c>
      <c r="G34" s="8">
        <v>27</v>
      </c>
      <c r="H34" s="9">
        <v>0</v>
      </c>
      <c r="I34" s="10">
        <v>0</v>
      </c>
      <c r="J34" s="11">
        <v>0</v>
      </c>
    </row>
    <row r="35" spans="1:10" x14ac:dyDescent="0.25">
      <c r="A35" s="1">
        <f t="shared" ca="1" si="0"/>
        <v>14641</v>
      </c>
      <c r="B35" s="5">
        <v>749</v>
      </c>
      <c r="C35" s="6">
        <v>749</v>
      </c>
      <c r="D35" s="6">
        <v>749</v>
      </c>
      <c r="E35" s="7">
        <v>26</v>
      </c>
      <c r="F35" s="8">
        <v>28</v>
      </c>
      <c r="G35" s="8">
        <v>27</v>
      </c>
      <c r="H35" s="9">
        <v>0</v>
      </c>
      <c r="I35" s="10">
        <v>0</v>
      </c>
      <c r="J35" s="11">
        <v>5</v>
      </c>
    </row>
    <row r="36" spans="1:10" x14ac:dyDescent="0.25">
      <c r="A36" s="1" t="str">
        <f t="shared" ca="1" si="0"/>
        <v>Totaal</v>
      </c>
      <c r="B36" s="28">
        <f>IF(COUNT(B5:B35)&gt;0,AVERAGE(B5:B35),"")</f>
        <v>749.38709677419354</v>
      </c>
      <c r="C36" s="29">
        <f t="shared" ref="C36:G36" si="1">IF(COUNT(C5:C35)&gt;0,AVERAGE(C5:C35),"")</f>
        <v>749.09677419354841</v>
      </c>
      <c r="D36" s="29">
        <f t="shared" si="1"/>
        <v>749.32258064516134</v>
      </c>
      <c r="E36" s="30">
        <f t="shared" si="1"/>
        <v>25.451612903225808</v>
      </c>
      <c r="F36" s="31">
        <f t="shared" si="1"/>
        <v>27.225806451612904</v>
      </c>
      <c r="G36" s="31">
        <f t="shared" si="1"/>
        <v>26.451612903225808</v>
      </c>
      <c r="H36" s="32">
        <f>SUM(H5:H35)/10</f>
        <v>44.8</v>
      </c>
      <c r="I36" s="33">
        <f>SUM(I5:I35)/10</f>
        <v>37.5</v>
      </c>
      <c r="J36" s="34">
        <f>SUM(J5:J35)/10</f>
        <v>43.2</v>
      </c>
    </row>
    <row r="37" spans="1:10" x14ac:dyDescent="0.25">
      <c r="A37" s="1">
        <f t="shared" ca="1" si="0"/>
        <v>14642</v>
      </c>
      <c r="B37" s="5">
        <v>749</v>
      </c>
      <c r="C37" s="6">
        <v>748</v>
      </c>
      <c r="D37" s="6">
        <v>749</v>
      </c>
      <c r="E37" s="7">
        <v>25</v>
      </c>
      <c r="F37" s="8">
        <v>27</v>
      </c>
      <c r="G37" s="8">
        <v>26</v>
      </c>
      <c r="H37" s="9">
        <v>0</v>
      </c>
      <c r="I37" s="10">
        <v>0</v>
      </c>
      <c r="J37" s="11">
        <v>0</v>
      </c>
    </row>
    <row r="38" spans="1:10" x14ac:dyDescent="0.25">
      <c r="A38" s="1">
        <f t="shared" ca="1" si="0"/>
        <v>14643</v>
      </c>
      <c r="B38" s="5">
        <v>748</v>
      </c>
      <c r="C38" s="6">
        <v>748</v>
      </c>
      <c r="D38" s="6">
        <v>748</v>
      </c>
      <c r="E38" s="7">
        <v>25</v>
      </c>
      <c r="F38" s="8">
        <v>26</v>
      </c>
      <c r="G38" s="8">
        <v>25</v>
      </c>
      <c r="H38" s="9">
        <v>4</v>
      </c>
      <c r="I38" s="10">
        <v>0</v>
      </c>
      <c r="J38" s="11">
        <v>0</v>
      </c>
    </row>
    <row r="39" spans="1:10" x14ac:dyDescent="0.25">
      <c r="A39" s="1">
        <f t="shared" ca="1" si="0"/>
        <v>14644</v>
      </c>
      <c r="B39" s="5">
        <v>748</v>
      </c>
      <c r="C39" s="6">
        <v>748</v>
      </c>
      <c r="D39" s="6">
        <v>748</v>
      </c>
      <c r="E39" s="7">
        <v>24</v>
      </c>
      <c r="F39" s="8">
        <v>26</v>
      </c>
      <c r="G39" s="8">
        <v>25</v>
      </c>
      <c r="H39" s="9">
        <v>0</v>
      </c>
      <c r="I39" s="10">
        <v>0</v>
      </c>
      <c r="J39" s="11">
        <v>0</v>
      </c>
    </row>
    <row r="40" spans="1:10" x14ac:dyDescent="0.25">
      <c r="A40" s="1">
        <f t="shared" ca="1" si="0"/>
        <v>14645</v>
      </c>
      <c r="B40" s="5">
        <v>749</v>
      </c>
      <c r="C40" s="6">
        <v>749</v>
      </c>
      <c r="D40" s="6">
        <v>749</v>
      </c>
      <c r="E40" s="7">
        <v>24</v>
      </c>
      <c r="F40" s="8">
        <v>25</v>
      </c>
      <c r="G40" s="8">
        <v>24</v>
      </c>
      <c r="H40" s="9">
        <v>90</v>
      </c>
      <c r="I40" s="10">
        <v>80</v>
      </c>
      <c r="J40" s="11">
        <v>0</v>
      </c>
    </row>
    <row r="41" spans="1:10" x14ac:dyDescent="0.25">
      <c r="A41" s="1">
        <f t="shared" ca="1" si="0"/>
        <v>14646</v>
      </c>
      <c r="B41" s="5">
        <v>749</v>
      </c>
      <c r="C41" s="6">
        <v>749</v>
      </c>
      <c r="D41" s="6">
        <v>750</v>
      </c>
      <c r="E41" s="7">
        <v>23</v>
      </c>
      <c r="F41" s="8">
        <v>25</v>
      </c>
      <c r="G41" s="8">
        <v>24</v>
      </c>
      <c r="H41" s="9">
        <v>0</v>
      </c>
      <c r="I41" s="10">
        <v>0</v>
      </c>
      <c r="J41" s="11">
        <v>120</v>
      </c>
    </row>
    <row r="42" spans="1:10" x14ac:dyDescent="0.25">
      <c r="A42" s="1">
        <f t="shared" ca="1" si="0"/>
        <v>14647</v>
      </c>
      <c r="B42" s="5">
        <v>750</v>
      </c>
      <c r="C42" s="6">
        <v>750</v>
      </c>
      <c r="D42" s="6">
        <v>750</v>
      </c>
      <c r="E42" s="7">
        <v>24</v>
      </c>
      <c r="F42" s="8">
        <v>26</v>
      </c>
      <c r="G42" s="8">
        <v>25</v>
      </c>
      <c r="H42" s="9">
        <v>0</v>
      </c>
      <c r="I42" s="10">
        <v>0</v>
      </c>
      <c r="J42" s="11">
        <v>115</v>
      </c>
    </row>
    <row r="43" spans="1:10" x14ac:dyDescent="0.25">
      <c r="A43" s="1">
        <f t="shared" ca="1" si="0"/>
        <v>14648</v>
      </c>
      <c r="B43" s="5">
        <v>750</v>
      </c>
      <c r="C43" s="6">
        <v>750</v>
      </c>
      <c r="D43" s="6">
        <v>750</v>
      </c>
      <c r="E43" s="7">
        <v>24</v>
      </c>
      <c r="F43" s="8">
        <v>27</v>
      </c>
      <c r="G43" s="8">
        <v>25</v>
      </c>
      <c r="H43" s="9">
        <v>28</v>
      </c>
      <c r="I43" s="10">
        <v>40</v>
      </c>
      <c r="J43" s="11">
        <v>0</v>
      </c>
    </row>
    <row r="44" spans="1:10" x14ac:dyDescent="0.25">
      <c r="A44" s="1">
        <f t="shared" ca="1" si="0"/>
        <v>14649</v>
      </c>
      <c r="B44" s="5">
        <v>750</v>
      </c>
      <c r="C44" s="6">
        <v>750</v>
      </c>
      <c r="D44" s="6">
        <v>750</v>
      </c>
      <c r="E44" s="7">
        <v>25</v>
      </c>
      <c r="F44" s="8">
        <v>27</v>
      </c>
      <c r="G44" s="8">
        <v>26</v>
      </c>
      <c r="H44" s="9">
        <v>0</v>
      </c>
      <c r="I44" s="10">
        <v>0</v>
      </c>
      <c r="J44" s="11">
        <v>45</v>
      </c>
    </row>
    <row r="45" spans="1:10" x14ac:dyDescent="0.25">
      <c r="A45" s="1">
        <f t="shared" ca="1" si="0"/>
        <v>14650</v>
      </c>
      <c r="B45" s="5">
        <v>751</v>
      </c>
      <c r="C45" s="6">
        <v>750</v>
      </c>
      <c r="D45" s="6">
        <v>750</v>
      </c>
      <c r="E45" s="7">
        <v>26</v>
      </c>
      <c r="F45" s="8">
        <v>28</v>
      </c>
      <c r="G45" s="8">
        <v>26</v>
      </c>
      <c r="H45" s="9">
        <v>0</v>
      </c>
      <c r="I45" s="10">
        <v>0</v>
      </c>
      <c r="J45" s="11">
        <v>0</v>
      </c>
    </row>
    <row r="46" spans="1:10" x14ac:dyDescent="0.25">
      <c r="A46" s="1">
        <f t="shared" ca="1" si="0"/>
        <v>14651</v>
      </c>
      <c r="B46" s="5">
        <v>750</v>
      </c>
      <c r="C46" s="6">
        <v>749</v>
      </c>
      <c r="D46" s="6">
        <v>748</v>
      </c>
      <c r="E46" s="7">
        <v>26</v>
      </c>
      <c r="F46" s="8">
        <v>27</v>
      </c>
      <c r="G46" s="8">
        <v>26</v>
      </c>
      <c r="H46" s="9">
        <v>62</v>
      </c>
      <c r="I46" s="10">
        <v>70</v>
      </c>
      <c r="J46" s="11">
        <v>50</v>
      </c>
    </row>
    <row r="47" spans="1:10" x14ac:dyDescent="0.25">
      <c r="A47" s="1">
        <f t="shared" ca="1" si="0"/>
        <v>14652</v>
      </c>
      <c r="B47" s="5">
        <v>749</v>
      </c>
      <c r="C47" s="6">
        <v>749</v>
      </c>
      <c r="D47" s="6">
        <v>749</v>
      </c>
      <c r="E47" s="7">
        <v>25</v>
      </c>
      <c r="F47" s="8">
        <v>27</v>
      </c>
      <c r="G47" s="8">
        <v>26</v>
      </c>
      <c r="H47" s="9">
        <v>0</v>
      </c>
      <c r="I47" s="10">
        <v>0</v>
      </c>
      <c r="J47" s="11">
        <v>0</v>
      </c>
    </row>
    <row r="48" spans="1:10" x14ac:dyDescent="0.25">
      <c r="A48" s="1">
        <f t="shared" ca="1" si="0"/>
        <v>14653</v>
      </c>
      <c r="B48" s="5">
        <v>750</v>
      </c>
      <c r="C48" s="6">
        <v>749</v>
      </c>
      <c r="D48" s="6">
        <v>749</v>
      </c>
      <c r="E48" s="7">
        <v>24</v>
      </c>
      <c r="F48" s="8">
        <v>26</v>
      </c>
      <c r="G48" s="8">
        <v>26</v>
      </c>
      <c r="H48" s="9">
        <v>145</v>
      </c>
      <c r="I48" s="10">
        <v>110</v>
      </c>
      <c r="J48" s="11">
        <v>110</v>
      </c>
    </row>
    <row r="49" spans="1:10" x14ac:dyDescent="0.25">
      <c r="A49" s="1">
        <f t="shared" ca="1" si="0"/>
        <v>14654</v>
      </c>
      <c r="B49" s="5">
        <v>750</v>
      </c>
      <c r="C49" s="6">
        <v>749</v>
      </c>
      <c r="D49" s="6">
        <v>749</v>
      </c>
      <c r="E49" s="7">
        <v>25</v>
      </c>
      <c r="F49" s="8">
        <v>27</v>
      </c>
      <c r="G49" s="8">
        <v>26</v>
      </c>
      <c r="H49" s="9">
        <v>43</v>
      </c>
      <c r="I49" s="10">
        <v>20</v>
      </c>
      <c r="J49" s="11">
        <v>60</v>
      </c>
    </row>
    <row r="50" spans="1:10" x14ac:dyDescent="0.25">
      <c r="A50" s="1">
        <f t="shared" ca="1" si="0"/>
        <v>14655</v>
      </c>
      <c r="B50" s="5">
        <v>748</v>
      </c>
      <c r="C50" s="6">
        <v>748</v>
      </c>
      <c r="D50" s="6">
        <v>748</v>
      </c>
      <c r="E50" s="7">
        <v>24</v>
      </c>
      <c r="F50" s="8">
        <v>28</v>
      </c>
      <c r="G50" s="8">
        <v>27</v>
      </c>
      <c r="H50" s="9">
        <v>0</v>
      </c>
      <c r="I50" s="10">
        <v>10</v>
      </c>
      <c r="J50" s="11">
        <v>0</v>
      </c>
    </row>
    <row r="51" spans="1:10" x14ac:dyDescent="0.25">
      <c r="A51" s="1">
        <f t="shared" ca="1" si="0"/>
        <v>14656</v>
      </c>
      <c r="B51" s="5">
        <v>749</v>
      </c>
      <c r="C51" s="6">
        <v>749</v>
      </c>
      <c r="D51" s="6">
        <v>749</v>
      </c>
      <c r="E51" s="7">
        <v>25</v>
      </c>
      <c r="F51" s="8">
        <v>27</v>
      </c>
      <c r="G51" s="8">
        <v>26</v>
      </c>
      <c r="H51" s="9">
        <v>0</v>
      </c>
      <c r="I51" s="10">
        <v>0</v>
      </c>
      <c r="J51" s="11">
        <v>0</v>
      </c>
    </row>
    <row r="52" spans="1:10" x14ac:dyDescent="0.25">
      <c r="A52" s="1">
        <f t="shared" ca="1" si="0"/>
        <v>14657</v>
      </c>
      <c r="B52" s="5">
        <v>749</v>
      </c>
      <c r="C52" s="6">
        <v>749</v>
      </c>
      <c r="D52" s="6">
        <v>749</v>
      </c>
      <c r="E52" s="7">
        <v>25</v>
      </c>
      <c r="F52" s="8">
        <v>27</v>
      </c>
      <c r="G52" s="8">
        <v>26</v>
      </c>
      <c r="H52" s="9">
        <v>0</v>
      </c>
      <c r="I52" s="10">
        <v>0</v>
      </c>
      <c r="J52" s="11">
        <v>0</v>
      </c>
    </row>
    <row r="53" spans="1:10" x14ac:dyDescent="0.25">
      <c r="A53" s="1">
        <f t="shared" ca="1" si="0"/>
        <v>14658</v>
      </c>
      <c r="B53" s="5">
        <v>749</v>
      </c>
      <c r="C53" s="6">
        <v>749</v>
      </c>
      <c r="D53" s="6">
        <v>749</v>
      </c>
      <c r="E53" s="7">
        <v>24</v>
      </c>
      <c r="F53" s="8">
        <v>25</v>
      </c>
      <c r="G53" s="8">
        <v>25</v>
      </c>
      <c r="H53" s="9">
        <v>0</v>
      </c>
      <c r="I53" s="10">
        <v>50</v>
      </c>
      <c r="J53" s="11">
        <v>60</v>
      </c>
    </row>
    <row r="54" spans="1:10" x14ac:dyDescent="0.25">
      <c r="A54" s="1">
        <f t="shared" ca="1" si="0"/>
        <v>14659</v>
      </c>
      <c r="B54" s="5">
        <v>750</v>
      </c>
      <c r="C54" s="6">
        <v>749</v>
      </c>
      <c r="D54" s="6">
        <v>749</v>
      </c>
      <c r="E54" s="7">
        <v>24</v>
      </c>
      <c r="F54" s="8">
        <v>26</v>
      </c>
      <c r="G54" s="8">
        <v>26</v>
      </c>
      <c r="H54" s="9">
        <v>125</v>
      </c>
      <c r="I54" s="10">
        <v>100</v>
      </c>
      <c r="J54" s="11">
        <v>0</v>
      </c>
    </row>
    <row r="55" spans="1:10" x14ac:dyDescent="0.25">
      <c r="A55" s="1">
        <f t="shared" ca="1" si="0"/>
        <v>14660</v>
      </c>
      <c r="B55" s="5">
        <v>750</v>
      </c>
      <c r="C55" s="6">
        <v>748</v>
      </c>
      <c r="D55" s="6">
        <v>748</v>
      </c>
      <c r="E55" s="7">
        <v>25</v>
      </c>
      <c r="F55" s="8">
        <v>27</v>
      </c>
      <c r="G55" s="8">
        <v>26</v>
      </c>
      <c r="H55" s="9">
        <v>0</v>
      </c>
      <c r="I55" s="10">
        <v>0</v>
      </c>
      <c r="J55" s="11">
        <v>0</v>
      </c>
    </row>
    <row r="56" spans="1:10" x14ac:dyDescent="0.25">
      <c r="A56" s="1">
        <f t="shared" ca="1" si="0"/>
        <v>14661</v>
      </c>
      <c r="B56" s="5">
        <v>749</v>
      </c>
      <c r="C56" s="6">
        <v>747</v>
      </c>
      <c r="D56" s="6">
        <v>748</v>
      </c>
      <c r="E56" s="7">
        <v>26</v>
      </c>
      <c r="F56" s="8">
        <v>27</v>
      </c>
      <c r="G56" s="8">
        <v>26</v>
      </c>
      <c r="H56" s="9">
        <v>0</v>
      </c>
      <c r="I56" s="10">
        <v>0</v>
      </c>
      <c r="J56" s="11">
        <v>35</v>
      </c>
    </row>
    <row r="57" spans="1:10" x14ac:dyDescent="0.25">
      <c r="A57" s="1">
        <f t="shared" ca="1" si="0"/>
        <v>14662</v>
      </c>
      <c r="B57" s="5">
        <v>749</v>
      </c>
      <c r="C57" s="6">
        <v>749</v>
      </c>
      <c r="D57" s="6">
        <v>750</v>
      </c>
      <c r="E57" s="7">
        <v>25</v>
      </c>
      <c r="F57" s="8">
        <v>28</v>
      </c>
      <c r="G57" s="8">
        <v>27</v>
      </c>
      <c r="H57" s="9">
        <v>0</v>
      </c>
      <c r="I57" s="10">
        <v>0</v>
      </c>
      <c r="J57" s="11">
        <v>0</v>
      </c>
    </row>
    <row r="58" spans="1:10" x14ac:dyDescent="0.25">
      <c r="A58" s="1">
        <f t="shared" ca="1" si="0"/>
        <v>14663</v>
      </c>
      <c r="B58" s="5">
        <v>751</v>
      </c>
      <c r="C58" s="6">
        <v>750</v>
      </c>
      <c r="D58" s="6">
        <v>751</v>
      </c>
      <c r="E58" s="7">
        <v>26</v>
      </c>
      <c r="F58" s="8">
        <v>28</v>
      </c>
      <c r="G58" s="8">
        <v>27</v>
      </c>
      <c r="H58" s="9">
        <v>0</v>
      </c>
      <c r="I58" s="10">
        <v>0</v>
      </c>
      <c r="J58" s="11">
        <v>0</v>
      </c>
    </row>
    <row r="59" spans="1:10" x14ac:dyDescent="0.25">
      <c r="A59" s="1">
        <f t="shared" ca="1" si="0"/>
        <v>14664</v>
      </c>
      <c r="B59" s="5">
        <v>750</v>
      </c>
      <c r="C59" s="6">
        <v>750</v>
      </c>
      <c r="D59" s="6">
        <v>750</v>
      </c>
      <c r="E59" s="7">
        <v>25</v>
      </c>
      <c r="F59" s="8">
        <v>28</v>
      </c>
      <c r="G59" s="8">
        <v>27</v>
      </c>
      <c r="H59" s="9">
        <v>0</v>
      </c>
      <c r="I59" s="10">
        <v>0</v>
      </c>
      <c r="J59" s="11">
        <v>0</v>
      </c>
    </row>
    <row r="60" spans="1:10" x14ac:dyDescent="0.25">
      <c r="A60" s="1">
        <f t="shared" ca="1" si="0"/>
        <v>14665</v>
      </c>
      <c r="B60" s="5">
        <v>751</v>
      </c>
      <c r="C60" s="6">
        <v>750</v>
      </c>
      <c r="D60" s="6">
        <v>749</v>
      </c>
      <c r="E60" s="7">
        <v>25</v>
      </c>
      <c r="F60" s="8">
        <v>28</v>
      </c>
      <c r="G60" s="8">
        <v>27</v>
      </c>
      <c r="H60" s="9">
        <v>0</v>
      </c>
      <c r="I60" s="10">
        <v>0</v>
      </c>
      <c r="J60" s="11">
        <v>0</v>
      </c>
    </row>
    <row r="61" spans="1:10" x14ac:dyDescent="0.25">
      <c r="A61" s="1">
        <f t="shared" ca="1" si="0"/>
        <v>14666</v>
      </c>
      <c r="B61" s="5">
        <v>750</v>
      </c>
      <c r="C61" s="6">
        <v>748</v>
      </c>
      <c r="D61" s="6">
        <v>748</v>
      </c>
      <c r="E61" s="7">
        <v>25</v>
      </c>
      <c r="F61" s="8">
        <v>28</v>
      </c>
      <c r="G61" s="8">
        <v>27</v>
      </c>
      <c r="H61" s="9">
        <v>0</v>
      </c>
      <c r="I61" s="10">
        <v>0</v>
      </c>
      <c r="J61" s="11">
        <v>0</v>
      </c>
    </row>
    <row r="62" spans="1:10" x14ac:dyDescent="0.25">
      <c r="A62" s="1">
        <f t="shared" ca="1" si="0"/>
        <v>14667</v>
      </c>
      <c r="B62" s="5">
        <v>747</v>
      </c>
      <c r="C62" s="6">
        <v>747</v>
      </c>
      <c r="D62" s="6">
        <v>747</v>
      </c>
      <c r="E62" s="7">
        <v>25</v>
      </c>
      <c r="F62" s="8">
        <v>28</v>
      </c>
      <c r="G62" s="8">
        <v>27</v>
      </c>
      <c r="H62" s="9">
        <v>0</v>
      </c>
      <c r="I62" s="10">
        <v>0</v>
      </c>
      <c r="J62" s="11">
        <v>0</v>
      </c>
    </row>
    <row r="63" spans="1:10" x14ac:dyDescent="0.25">
      <c r="A63" s="1">
        <f t="shared" ca="1" si="0"/>
        <v>14668</v>
      </c>
      <c r="B63" s="5">
        <v>749</v>
      </c>
      <c r="C63" s="6">
        <v>749</v>
      </c>
      <c r="D63" s="6">
        <v>750</v>
      </c>
      <c r="E63" s="7">
        <v>25</v>
      </c>
      <c r="F63" s="8">
        <v>25</v>
      </c>
      <c r="G63" s="8">
        <v>24</v>
      </c>
      <c r="H63" s="9">
        <v>21</v>
      </c>
      <c r="I63" s="10">
        <v>10</v>
      </c>
      <c r="J63" s="11">
        <v>0</v>
      </c>
    </row>
    <row r="64" spans="1:10" x14ac:dyDescent="0.25">
      <c r="A64" s="1">
        <f t="shared" ca="1" si="0"/>
        <v>14669</v>
      </c>
      <c r="B64" s="5">
        <v>749</v>
      </c>
      <c r="C64" s="6">
        <v>748</v>
      </c>
      <c r="D64" s="6">
        <v>748</v>
      </c>
      <c r="E64" s="7">
        <v>24</v>
      </c>
      <c r="F64" s="8">
        <v>27</v>
      </c>
      <c r="G64" s="8">
        <v>26</v>
      </c>
      <c r="H64" s="9">
        <v>35</v>
      </c>
      <c r="I64" s="10">
        <v>80</v>
      </c>
      <c r="J64" s="11">
        <v>95</v>
      </c>
    </row>
    <row r="65" spans="1:10" x14ac:dyDescent="0.25">
      <c r="A65" s="1">
        <f t="shared" ca="1" si="0"/>
        <v>14670</v>
      </c>
      <c r="B65" s="5">
        <v>748</v>
      </c>
      <c r="C65" s="6">
        <v>748</v>
      </c>
      <c r="D65" s="6">
        <v>749</v>
      </c>
      <c r="E65" s="7">
        <v>25</v>
      </c>
      <c r="F65" s="8">
        <v>27</v>
      </c>
      <c r="G65" s="8">
        <v>26</v>
      </c>
      <c r="H65" s="9">
        <v>142</v>
      </c>
      <c r="I65" s="10">
        <v>110</v>
      </c>
      <c r="J65" s="11">
        <v>110</v>
      </c>
    </row>
    <row r="66" spans="1:10" x14ac:dyDescent="0.25">
      <c r="A66" s="1" t="str">
        <f t="shared" ca="1" si="0"/>
        <v>Totaal</v>
      </c>
      <c r="B66" s="28">
        <f>IF(COUNT(B37:B65)&gt;0,AVERAGE(B37:B65),"")</f>
        <v>749.34482758620686</v>
      </c>
      <c r="C66" s="29">
        <f t="shared" ref="C66:G66" si="2">IF(COUNT(C37:C65)&gt;0,AVERAGE(C37:C65),"")</f>
        <v>748.82758620689651</v>
      </c>
      <c r="D66" s="29">
        <f t="shared" si="2"/>
        <v>749</v>
      </c>
      <c r="E66" s="30">
        <f t="shared" si="2"/>
        <v>24.758620689655171</v>
      </c>
      <c r="F66" s="31">
        <f t="shared" si="2"/>
        <v>26.827586206896552</v>
      </c>
      <c r="G66" s="31">
        <f t="shared" si="2"/>
        <v>25.862068965517242</v>
      </c>
      <c r="H66" s="32">
        <f>SUM(H37:H65)/10</f>
        <v>69.5</v>
      </c>
      <c r="I66" s="33">
        <f>SUM(I37:I65)/10</f>
        <v>68</v>
      </c>
      <c r="J66" s="34">
        <f>SUM(J37:J65)/10</f>
        <v>80</v>
      </c>
    </row>
    <row r="67" spans="1:10" x14ac:dyDescent="0.25">
      <c r="A67" s="1">
        <f t="shared" ca="1" si="0"/>
        <v>14671</v>
      </c>
      <c r="B67" s="5">
        <v>748</v>
      </c>
      <c r="C67" s="6">
        <v>748</v>
      </c>
      <c r="D67" s="6">
        <v>748</v>
      </c>
      <c r="E67" s="7">
        <v>25</v>
      </c>
      <c r="F67" s="8">
        <v>27</v>
      </c>
      <c r="G67" s="8">
        <v>26</v>
      </c>
      <c r="H67" s="9">
        <v>32</v>
      </c>
      <c r="I67" s="10">
        <v>30</v>
      </c>
      <c r="J67" s="11">
        <v>50</v>
      </c>
    </row>
    <row r="68" spans="1:10" x14ac:dyDescent="0.25">
      <c r="A68" s="1">
        <f t="shared" ca="1" si="0"/>
        <v>14672</v>
      </c>
      <c r="B68" s="5">
        <v>749</v>
      </c>
      <c r="C68" s="6">
        <v>748</v>
      </c>
      <c r="D68" s="6">
        <v>748</v>
      </c>
      <c r="E68" s="7">
        <v>24</v>
      </c>
      <c r="F68" s="8">
        <v>25</v>
      </c>
      <c r="G68" s="8">
        <v>25</v>
      </c>
      <c r="H68" s="9">
        <v>0</v>
      </c>
      <c r="I68" s="10">
        <v>0</v>
      </c>
      <c r="J68" s="11">
        <v>0</v>
      </c>
    </row>
    <row r="69" spans="1:10" x14ac:dyDescent="0.25">
      <c r="A69" s="1">
        <f t="shared" ca="1" si="0"/>
        <v>14673</v>
      </c>
      <c r="B69" s="5">
        <v>748</v>
      </c>
      <c r="C69" s="6">
        <v>748</v>
      </c>
      <c r="D69" s="6">
        <v>747</v>
      </c>
      <c r="E69" s="7">
        <v>23</v>
      </c>
      <c r="F69" s="8">
        <v>25</v>
      </c>
      <c r="G69" s="8">
        <v>24</v>
      </c>
      <c r="H69" s="9">
        <v>0</v>
      </c>
      <c r="I69" s="10">
        <v>0</v>
      </c>
      <c r="J69" s="11">
        <v>0</v>
      </c>
    </row>
    <row r="70" spans="1:10" x14ac:dyDescent="0.25">
      <c r="A70" s="1">
        <f t="shared" ca="1" si="0"/>
        <v>14674</v>
      </c>
      <c r="B70" s="5">
        <v>747</v>
      </c>
      <c r="C70" s="6">
        <v>747</v>
      </c>
      <c r="D70" s="6">
        <v>747</v>
      </c>
      <c r="E70" s="7">
        <v>23</v>
      </c>
      <c r="F70" s="8">
        <v>25</v>
      </c>
      <c r="G70" s="8">
        <v>24</v>
      </c>
      <c r="H70" s="9">
        <v>8</v>
      </c>
      <c r="I70" s="10">
        <v>0</v>
      </c>
      <c r="J70" s="11">
        <v>0</v>
      </c>
    </row>
    <row r="71" spans="1:10" x14ac:dyDescent="0.25">
      <c r="A71" s="1">
        <f t="shared" ref="A71:A134" ca="1" si="3">IF(ISTEXT(A70),A69+1,IF(MONTH(A70+1)=MONTH(A70),A70+1,"Totaal"))</f>
        <v>14675</v>
      </c>
      <c r="B71" s="5">
        <v>748</v>
      </c>
      <c r="C71" s="6">
        <v>748</v>
      </c>
      <c r="D71" s="6">
        <v>747</v>
      </c>
      <c r="E71" s="7">
        <v>24</v>
      </c>
      <c r="F71" s="8">
        <v>26</v>
      </c>
      <c r="G71" s="8">
        <v>25</v>
      </c>
      <c r="H71" s="9">
        <v>0</v>
      </c>
      <c r="I71" s="10">
        <v>0</v>
      </c>
      <c r="J71" s="11">
        <v>0</v>
      </c>
    </row>
    <row r="72" spans="1:10" x14ac:dyDescent="0.25">
      <c r="A72" s="1">
        <f t="shared" ca="1" si="3"/>
        <v>14676</v>
      </c>
      <c r="B72" s="5">
        <v>748</v>
      </c>
      <c r="C72" s="6">
        <v>746</v>
      </c>
      <c r="D72" s="6">
        <v>745</v>
      </c>
      <c r="E72" s="7">
        <v>24</v>
      </c>
      <c r="F72" s="8">
        <v>28</v>
      </c>
      <c r="G72" s="8">
        <v>27</v>
      </c>
      <c r="H72" s="9">
        <v>0</v>
      </c>
      <c r="I72" s="10">
        <v>0</v>
      </c>
      <c r="J72" s="11">
        <v>0</v>
      </c>
    </row>
    <row r="73" spans="1:10" x14ac:dyDescent="0.25">
      <c r="A73" s="1">
        <f t="shared" ca="1" si="3"/>
        <v>14677</v>
      </c>
      <c r="B73" s="5">
        <v>746</v>
      </c>
      <c r="C73" s="6">
        <v>747</v>
      </c>
      <c r="D73" s="6">
        <v>746</v>
      </c>
      <c r="E73" s="7">
        <v>26</v>
      </c>
      <c r="F73" s="8">
        <v>28</v>
      </c>
      <c r="G73" s="8">
        <v>27</v>
      </c>
      <c r="H73" s="9">
        <v>0</v>
      </c>
      <c r="I73" s="10">
        <v>0</v>
      </c>
      <c r="J73" s="11">
        <v>0</v>
      </c>
    </row>
    <row r="74" spans="1:10" x14ac:dyDescent="0.25">
      <c r="A74" s="1">
        <f t="shared" ca="1" si="3"/>
        <v>14678</v>
      </c>
      <c r="B74" s="5">
        <v>746</v>
      </c>
      <c r="C74" s="6">
        <v>745</v>
      </c>
      <c r="D74" s="6">
        <v>745</v>
      </c>
      <c r="E74" s="7">
        <v>26</v>
      </c>
      <c r="F74" s="8">
        <v>28</v>
      </c>
      <c r="G74" s="8">
        <v>27</v>
      </c>
      <c r="H74" s="9">
        <v>0</v>
      </c>
      <c r="I74" s="10">
        <v>0</v>
      </c>
      <c r="J74" s="11">
        <v>0</v>
      </c>
    </row>
    <row r="75" spans="1:10" x14ac:dyDescent="0.25">
      <c r="A75" s="1">
        <f t="shared" ca="1" si="3"/>
        <v>14679</v>
      </c>
      <c r="B75" s="5">
        <v>746</v>
      </c>
      <c r="C75" s="6">
        <v>746</v>
      </c>
      <c r="D75" s="6">
        <v>746</v>
      </c>
      <c r="E75" s="7">
        <v>26</v>
      </c>
      <c r="F75" s="8">
        <v>28</v>
      </c>
      <c r="G75" s="8">
        <v>27</v>
      </c>
      <c r="H75" s="9">
        <v>0</v>
      </c>
      <c r="I75" s="10">
        <v>0</v>
      </c>
      <c r="J75" s="11">
        <v>75</v>
      </c>
    </row>
    <row r="76" spans="1:10" x14ac:dyDescent="0.25">
      <c r="A76" s="1">
        <f t="shared" ca="1" si="3"/>
        <v>14680</v>
      </c>
      <c r="B76" s="5">
        <v>748</v>
      </c>
      <c r="C76" s="6">
        <v>748</v>
      </c>
      <c r="D76" s="6">
        <v>748</v>
      </c>
      <c r="E76" s="7">
        <v>26</v>
      </c>
      <c r="F76" s="8">
        <v>28</v>
      </c>
      <c r="G76" s="8">
        <v>27</v>
      </c>
      <c r="H76" s="9">
        <v>23</v>
      </c>
      <c r="I76" s="10">
        <v>0</v>
      </c>
      <c r="J76" s="11">
        <v>100</v>
      </c>
    </row>
    <row r="77" spans="1:10" x14ac:dyDescent="0.25">
      <c r="A77" s="1">
        <f t="shared" ca="1" si="3"/>
        <v>14681</v>
      </c>
      <c r="B77" s="5">
        <v>748</v>
      </c>
      <c r="C77" s="6">
        <v>748</v>
      </c>
      <c r="D77" s="6">
        <v>749</v>
      </c>
      <c r="E77" s="7">
        <v>26</v>
      </c>
      <c r="F77" s="8">
        <v>26</v>
      </c>
      <c r="G77" s="8">
        <v>25</v>
      </c>
      <c r="H77" s="9">
        <v>288</v>
      </c>
      <c r="I77" s="10">
        <v>180</v>
      </c>
      <c r="J77" s="11">
        <v>70</v>
      </c>
    </row>
    <row r="78" spans="1:10" x14ac:dyDescent="0.25">
      <c r="A78" s="1">
        <f t="shared" ca="1" si="3"/>
        <v>14682</v>
      </c>
      <c r="B78" s="5">
        <v>749</v>
      </c>
      <c r="C78" s="6">
        <v>749</v>
      </c>
      <c r="D78" s="6">
        <v>749</v>
      </c>
      <c r="E78" s="7">
        <v>24</v>
      </c>
      <c r="F78" s="8">
        <v>26</v>
      </c>
      <c r="G78" s="8">
        <v>26</v>
      </c>
      <c r="H78" s="9">
        <v>68</v>
      </c>
      <c r="I78" s="10">
        <v>50</v>
      </c>
      <c r="J78" s="11">
        <v>20</v>
      </c>
    </row>
    <row r="79" spans="1:10" x14ac:dyDescent="0.25">
      <c r="A79" s="1">
        <f t="shared" ca="1" si="3"/>
        <v>14683</v>
      </c>
      <c r="B79" s="5">
        <v>749</v>
      </c>
      <c r="C79" s="6">
        <v>749</v>
      </c>
      <c r="D79" s="6">
        <v>749</v>
      </c>
      <c r="E79" s="7">
        <v>24</v>
      </c>
      <c r="F79" s="8">
        <v>27</v>
      </c>
      <c r="G79" s="8">
        <v>26</v>
      </c>
      <c r="H79" s="9">
        <v>0</v>
      </c>
      <c r="I79" s="10">
        <v>0</v>
      </c>
      <c r="J79" s="11">
        <v>0</v>
      </c>
    </row>
    <row r="80" spans="1:10" x14ac:dyDescent="0.25">
      <c r="A80" s="1">
        <f t="shared" ca="1" si="3"/>
        <v>14684</v>
      </c>
      <c r="B80" s="5">
        <v>749</v>
      </c>
      <c r="C80" s="6">
        <v>749</v>
      </c>
      <c r="D80" s="6">
        <v>749</v>
      </c>
      <c r="E80" s="7">
        <v>24</v>
      </c>
      <c r="F80" s="8">
        <v>26</v>
      </c>
      <c r="G80" s="8">
        <v>25</v>
      </c>
      <c r="H80" s="9">
        <v>0</v>
      </c>
      <c r="I80" s="10">
        <v>0</v>
      </c>
      <c r="J80" s="11">
        <v>0</v>
      </c>
    </row>
    <row r="81" spans="1:10" x14ac:dyDescent="0.25">
      <c r="A81" s="1">
        <f t="shared" ca="1" si="3"/>
        <v>14685</v>
      </c>
      <c r="B81" s="5">
        <v>749</v>
      </c>
      <c r="C81" s="6">
        <v>749</v>
      </c>
      <c r="D81" s="6">
        <v>749</v>
      </c>
      <c r="E81" s="7">
        <v>24</v>
      </c>
      <c r="F81" s="8">
        <v>26</v>
      </c>
      <c r="G81" s="8">
        <v>25</v>
      </c>
      <c r="H81" s="9">
        <v>0</v>
      </c>
      <c r="I81" s="10">
        <v>0</v>
      </c>
      <c r="J81" s="11">
        <v>0</v>
      </c>
    </row>
    <row r="82" spans="1:10" x14ac:dyDescent="0.25">
      <c r="A82" s="1">
        <f t="shared" ca="1" si="3"/>
        <v>14686</v>
      </c>
      <c r="B82" s="5">
        <v>749</v>
      </c>
      <c r="C82" s="6">
        <v>749</v>
      </c>
      <c r="D82" s="6">
        <v>750</v>
      </c>
      <c r="E82" s="7">
        <v>24</v>
      </c>
      <c r="F82" s="8">
        <v>26</v>
      </c>
      <c r="G82" s="8">
        <v>25</v>
      </c>
      <c r="H82" s="9">
        <v>0</v>
      </c>
      <c r="I82" s="10">
        <v>0</v>
      </c>
      <c r="J82" s="11">
        <v>25</v>
      </c>
    </row>
    <row r="83" spans="1:10" x14ac:dyDescent="0.25">
      <c r="A83" s="1">
        <f t="shared" ca="1" si="3"/>
        <v>14687</v>
      </c>
      <c r="B83" s="5">
        <v>751</v>
      </c>
      <c r="C83" s="6">
        <v>750</v>
      </c>
      <c r="D83" s="6">
        <v>751</v>
      </c>
      <c r="E83" s="7">
        <v>24</v>
      </c>
      <c r="F83" s="8">
        <v>26</v>
      </c>
      <c r="G83" s="8">
        <v>25</v>
      </c>
      <c r="H83" s="9">
        <v>0</v>
      </c>
      <c r="I83" s="10">
        <v>0</v>
      </c>
      <c r="J83" s="11">
        <v>0</v>
      </c>
    </row>
    <row r="84" spans="1:10" x14ac:dyDescent="0.25">
      <c r="A84" s="1">
        <f t="shared" ca="1" si="3"/>
        <v>14688</v>
      </c>
      <c r="B84" s="5">
        <v>751</v>
      </c>
      <c r="C84" s="6">
        <v>749</v>
      </c>
      <c r="D84" s="6">
        <v>749</v>
      </c>
      <c r="E84" s="7">
        <v>25</v>
      </c>
      <c r="F84" s="8">
        <v>27</v>
      </c>
      <c r="G84" s="8">
        <v>26</v>
      </c>
      <c r="H84" s="9">
        <v>0</v>
      </c>
      <c r="I84" s="10">
        <v>0</v>
      </c>
      <c r="J84" s="11">
        <v>0</v>
      </c>
    </row>
    <row r="85" spans="1:10" x14ac:dyDescent="0.25">
      <c r="A85" s="1">
        <f t="shared" ca="1" si="3"/>
        <v>14689</v>
      </c>
      <c r="B85" s="5">
        <v>749</v>
      </c>
      <c r="C85" s="6">
        <v>748</v>
      </c>
      <c r="D85" s="6">
        <v>748</v>
      </c>
      <c r="E85" s="7">
        <v>26</v>
      </c>
      <c r="F85" s="8">
        <v>28</v>
      </c>
      <c r="G85" s="8">
        <v>27</v>
      </c>
      <c r="H85" s="9">
        <v>0</v>
      </c>
      <c r="I85" s="10">
        <v>0</v>
      </c>
      <c r="J85" s="11">
        <v>0</v>
      </c>
    </row>
    <row r="86" spans="1:10" x14ac:dyDescent="0.25">
      <c r="A86" s="1">
        <f t="shared" ca="1" si="3"/>
        <v>14690</v>
      </c>
      <c r="B86" s="5">
        <v>749</v>
      </c>
      <c r="C86" s="6">
        <v>748</v>
      </c>
      <c r="D86" s="6">
        <v>749</v>
      </c>
      <c r="E86" s="7">
        <v>26</v>
      </c>
      <c r="F86" s="8">
        <v>28</v>
      </c>
      <c r="G86" s="8">
        <v>27</v>
      </c>
      <c r="H86" s="9">
        <v>0</v>
      </c>
      <c r="I86" s="10">
        <v>0</v>
      </c>
      <c r="J86" s="11">
        <v>0</v>
      </c>
    </row>
    <row r="87" spans="1:10" x14ac:dyDescent="0.25">
      <c r="A87" s="1">
        <f t="shared" ca="1" si="3"/>
        <v>14691</v>
      </c>
      <c r="B87" s="5">
        <v>749</v>
      </c>
      <c r="C87" s="6">
        <v>749</v>
      </c>
      <c r="D87" s="6">
        <v>749</v>
      </c>
      <c r="E87" s="7">
        <v>26</v>
      </c>
      <c r="F87" s="8">
        <v>29</v>
      </c>
      <c r="G87" s="8">
        <v>28</v>
      </c>
      <c r="H87" s="9">
        <v>0</v>
      </c>
      <c r="I87" s="10">
        <v>0</v>
      </c>
      <c r="J87" s="11">
        <v>0</v>
      </c>
    </row>
    <row r="88" spans="1:10" x14ac:dyDescent="0.25">
      <c r="A88" s="1">
        <f t="shared" ca="1" si="3"/>
        <v>14692</v>
      </c>
      <c r="B88" s="5">
        <v>749</v>
      </c>
      <c r="C88" s="6">
        <v>748</v>
      </c>
      <c r="D88" s="6">
        <v>748</v>
      </c>
      <c r="E88" s="7">
        <v>26</v>
      </c>
      <c r="F88" s="8">
        <v>28</v>
      </c>
      <c r="G88" s="8">
        <v>26</v>
      </c>
      <c r="H88" s="9">
        <v>0</v>
      </c>
      <c r="I88" s="10">
        <v>0</v>
      </c>
      <c r="J88" s="11">
        <v>0</v>
      </c>
    </row>
    <row r="89" spans="1:10" x14ac:dyDescent="0.25">
      <c r="A89" s="1">
        <f t="shared" ca="1" si="3"/>
        <v>14693</v>
      </c>
      <c r="B89" s="5">
        <v>748</v>
      </c>
      <c r="C89" s="6">
        <v>748</v>
      </c>
      <c r="D89" s="6">
        <v>748</v>
      </c>
      <c r="E89" s="7">
        <v>26</v>
      </c>
      <c r="F89" s="8">
        <v>29</v>
      </c>
      <c r="G89" s="8">
        <v>28</v>
      </c>
      <c r="H89" s="9">
        <v>0</v>
      </c>
      <c r="I89" s="10">
        <v>0</v>
      </c>
      <c r="J89" s="11">
        <v>0</v>
      </c>
    </row>
    <row r="90" spans="1:10" x14ac:dyDescent="0.25">
      <c r="A90" s="1">
        <f t="shared" ca="1" si="3"/>
        <v>14694</v>
      </c>
      <c r="B90" s="5">
        <v>749</v>
      </c>
      <c r="C90" s="6">
        <v>749</v>
      </c>
      <c r="D90" s="6">
        <v>748</v>
      </c>
      <c r="E90" s="7">
        <v>26</v>
      </c>
      <c r="F90" s="8">
        <v>29</v>
      </c>
      <c r="G90" s="8">
        <v>28</v>
      </c>
      <c r="H90" s="9">
        <v>32</v>
      </c>
      <c r="I90" s="10">
        <v>40</v>
      </c>
      <c r="J90" s="11">
        <v>20</v>
      </c>
    </row>
    <row r="91" spans="1:10" x14ac:dyDescent="0.25">
      <c r="A91" s="1">
        <f t="shared" ca="1" si="3"/>
        <v>14695</v>
      </c>
      <c r="B91" s="5">
        <v>749</v>
      </c>
      <c r="C91" s="6">
        <v>749</v>
      </c>
      <c r="D91" s="6">
        <v>749</v>
      </c>
      <c r="E91" s="7">
        <v>26</v>
      </c>
      <c r="F91" s="8">
        <v>29</v>
      </c>
      <c r="G91" s="8">
        <v>28</v>
      </c>
      <c r="H91" s="9">
        <v>0</v>
      </c>
      <c r="I91" s="10">
        <v>0</v>
      </c>
      <c r="J91" s="11">
        <v>0</v>
      </c>
    </row>
    <row r="92" spans="1:10" x14ac:dyDescent="0.25">
      <c r="A92" s="1">
        <f t="shared" ca="1" si="3"/>
        <v>14696</v>
      </c>
      <c r="B92" s="5">
        <v>749</v>
      </c>
      <c r="C92" s="6">
        <v>750</v>
      </c>
      <c r="D92" s="6">
        <v>750</v>
      </c>
      <c r="E92" s="7">
        <v>26</v>
      </c>
      <c r="F92" s="8">
        <v>29</v>
      </c>
      <c r="G92" s="8">
        <v>27</v>
      </c>
      <c r="H92" s="9">
        <v>70</v>
      </c>
      <c r="I92" s="10">
        <v>30</v>
      </c>
      <c r="J92" s="11">
        <v>20</v>
      </c>
    </row>
    <row r="93" spans="1:10" x14ac:dyDescent="0.25">
      <c r="A93" s="1">
        <f t="shared" ca="1" si="3"/>
        <v>14697</v>
      </c>
      <c r="B93" s="5">
        <v>751</v>
      </c>
      <c r="C93" s="6">
        <v>750</v>
      </c>
      <c r="D93" s="6">
        <v>750</v>
      </c>
      <c r="E93" s="7">
        <v>25</v>
      </c>
      <c r="F93" s="8">
        <v>28</v>
      </c>
      <c r="G93" s="8">
        <v>27</v>
      </c>
      <c r="H93" s="9">
        <v>9</v>
      </c>
      <c r="I93" s="10">
        <v>0</v>
      </c>
      <c r="J93" s="11">
        <v>0</v>
      </c>
    </row>
    <row r="94" spans="1:10" x14ac:dyDescent="0.25">
      <c r="A94" s="1">
        <f t="shared" ca="1" si="3"/>
        <v>14698</v>
      </c>
      <c r="B94" s="5">
        <v>751</v>
      </c>
      <c r="C94" s="6">
        <v>750</v>
      </c>
      <c r="D94" s="6">
        <v>750</v>
      </c>
      <c r="E94" s="7">
        <v>26</v>
      </c>
      <c r="F94" s="8">
        <v>29</v>
      </c>
      <c r="G94" s="8">
        <v>27</v>
      </c>
      <c r="H94" s="9">
        <v>0</v>
      </c>
      <c r="I94" s="10">
        <v>0</v>
      </c>
      <c r="J94" s="11">
        <v>0</v>
      </c>
    </row>
    <row r="95" spans="1:10" x14ac:dyDescent="0.25">
      <c r="A95" s="1">
        <f t="shared" ca="1" si="3"/>
        <v>14699</v>
      </c>
      <c r="B95" s="5">
        <v>750</v>
      </c>
      <c r="C95" s="6">
        <v>750</v>
      </c>
      <c r="D95" s="6">
        <v>750</v>
      </c>
      <c r="E95" s="7">
        <v>26</v>
      </c>
      <c r="F95" s="8">
        <v>29</v>
      </c>
      <c r="G95" s="8">
        <v>27</v>
      </c>
      <c r="H95" s="9">
        <v>0</v>
      </c>
      <c r="I95" s="10">
        <v>0</v>
      </c>
      <c r="J95" s="11">
        <v>0</v>
      </c>
    </row>
    <row r="96" spans="1:10" x14ac:dyDescent="0.25">
      <c r="A96" s="1">
        <f t="shared" ca="1" si="3"/>
        <v>14700</v>
      </c>
      <c r="B96" s="5">
        <v>750</v>
      </c>
      <c r="C96" s="6">
        <v>750</v>
      </c>
      <c r="D96" s="6">
        <v>750</v>
      </c>
      <c r="E96" s="7">
        <v>26</v>
      </c>
      <c r="F96" s="8">
        <v>29</v>
      </c>
      <c r="G96" s="8">
        <v>26</v>
      </c>
      <c r="H96" s="9">
        <v>26</v>
      </c>
      <c r="I96" s="10">
        <v>0</v>
      </c>
      <c r="J96" s="11">
        <v>0</v>
      </c>
    </row>
    <row r="97" spans="1:10" x14ac:dyDescent="0.25">
      <c r="A97" s="1">
        <f t="shared" ca="1" si="3"/>
        <v>14701</v>
      </c>
      <c r="B97" s="5">
        <v>750</v>
      </c>
      <c r="C97" s="6">
        <v>751</v>
      </c>
      <c r="D97" s="6">
        <v>750</v>
      </c>
      <c r="E97" s="7">
        <v>26</v>
      </c>
      <c r="F97" s="8">
        <v>28</v>
      </c>
      <c r="G97" s="8">
        <v>26</v>
      </c>
      <c r="H97" s="9">
        <v>0</v>
      </c>
      <c r="I97" s="10">
        <v>0</v>
      </c>
      <c r="J97" s="11">
        <v>15</v>
      </c>
    </row>
    <row r="98" spans="1:10" x14ac:dyDescent="0.25">
      <c r="A98" s="1" t="str">
        <f t="shared" ca="1" si="3"/>
        <v>Totaal</v>
      </c>
      <c r="B98" s="28">
        <f>IF(COUNT(B67:B97)&gt;0,AVERAGE(B67:B97),"")</f>
        <v>748.77419354838707</v>
      </c>
      <c r="C98" s="29">
        <f t="shared" ref="C98" si="4">IF(COUNT(C67:C97)&gt;0,AVERAGE(C67:C97),"")</f>
        <v>748.48387096774195</v>
      </c>
      <c r="D98" s="29">
        <f t="shared" ref="D98" si="5">IF(COUNT(D67:D97)&gt;0,AVERAGE(D67:D97),"")</f>
        <v>748.41935483870964</v>
      </c>
      <c r="E98" s="30">
        <f t="shared" ref="E98" si="6">IF(COUNT(E67:E97)&gt;0,AVERAGE(E67:E97),"")</f>
        <v>25.129032258064516</v>
      </c>
      <c r="F98" s="31">
        <f t="shared" ref="F98" si="7">IF(COUNT(F67:F97)&gt;0,AVERAGE(F67:F97),"")</f>
        <v>27.419354838709676</v>
      </c>
      <c r="G98" s="31">
        <f t="shared" ref="G98" si="8">IF(COUNT(G67:G97)&gt;0,AVERAGE(G67:G97),"")</f>
        <v>26.258064516129032</v>
      </c>
      <c r="H98" s="32">
        <f>SUM(H67:H97)/10</f>
        <v>55.6</v>
      </c>
      <c r="I98" s="33">
        <f>SUM(I67:I97)/10</f>
        <v>33</v>
      </c>
      <c r="J98" s="34">
        <f>SUM(J67:J97)/10</f>
        <v>39.5</v>
      </c>
    </row>
    <row r="99" spans="1:10" x14ac:dyDescent="0.25">
      <c r="A99" s="1">
        <f t="shared" ca="1" si="3"/>
        <v>14702</v>
      </c>
      <c r="B99" s="5">
        <v>750</v>
      </c>
      <c r="C99" s="6">
        <v>750</v>
      </c>
      <c r="D99" s="6">
        <v>750</v>
      </c>
      <c r="E99" s="7">
        <v>26</v>
      </c>
      <c r="F99" s="8">
        <v>29</v>
      </c>
      <c r="G99" s="8">
        <v>27</v>
      </c>
      <c r="H99" s="9">
        <v>0</v>
      </c>
      <c r="I99" s="10">
        <v>30</v>
      </c>
      <c r="J99" s="11">
        <v>0</v>
      </c>
    </row>
    <row r="100" spans="1:10" x14ac:dyDescent="0.25">
      <c r="A100" s="1">
        <f t="shared" ca="1" si="3"/>
        <v>14703</v>
      </c>
      <c r="B100" s="5">
        <v>750</v>
      </c>
      <c r="C100" s="6">
        <v>750</v>
      </c>
      <c r="D100" s="6">
        <v>750</v>
      </c>
      <c r="E100" s="7">
        <v>26</v>
      </c>
      <c r="F100" s="8">
        <v>29</v>
      </c>
      <c r="G100" s="8">
        <v>27</v>
      </c>
      <c r="H100" s="9">
        <v>0</v>
      </c>
      <c r="I100" s="10">
        <v>0</v>
      </c>
      <c r="J100" s="11">
        <v>0</v>
      </c>
    </row>
    <row r="101" spans="1:10" x14ac:dyDescent="0.25">
      <c r="A101" s="1">
        <f t="shared" ca="1" si="3"/>
        <v>14704</v>
      </c>
      <c r="B101" s="5">
        <v>750</v>
      </c>
      <c r="C101" s="6">
        <v>749</v>
      </c>
      <c r="D101" s="6">
        <v>749</v>
      </c>
      <c r="E101" s="7">
        <v>26</v>
      </c>
      <c r="F101" s="8">
        <v>29</v>
      </c>
      <c r="G101" s="8">
        <v>27</v>
      </c>
      <c r="H101" s="9">
        <v>0</v>
      </c>
      <c r="I101" s="10">
        <v>0</v>
      </c>
      <c r="J101" s="11">
        <v>0</v>
      </c>
    </row>
    <row r="102" spans="1:10" x14ac:dyDescent="0.25">
      <c r="A102" s="1">
        <f t="shared" ca="1" si="3"/>
        <v>14705</v>
      </c>
      <c r="B102" s="5">
        <v>750</v>
      </c>
      <c r="C102" s="6">
        <v>750</v>
      </c>
      <c r="D102" s="6">
        <v>750</v>
      </c>
      <c r="E102" s="7">
        <v>26</v>
      </c>
      <c r="F102" s="8">
        <v>29</v>
      </c>
      <c r="G102" s="8">
        <v>27</v>
      </c>
      <c r="H102" s="9">
        <v>0</v>
      </c>
      <c r="I102" s="10">
        <v>0</v>
      </c>
      <c r="J102" s="11">
        <v>0</v>
      </c>
    </row>
    <row r="103" spans="1:10" x14ac:dyDescent="0.25">
      <c r="A103" s="1">
        <f t="shared" ca="1" si="3"/>
        <v>14706</v>
      </c>
      <c r="B103" s="5">
        <v>751</v>
      </c>
      <c r="C103" s="6">
        <v>751</v>
      </c>
      <c r="D103" s="6">
        <v>751</v>
      </c>
      <c r="E103" s="7">
        <v>26</v>
      </c>
      <c r="F103" s="8">
        <v>29</v>
      </c>
      <c r="G103" s="8">
        <v>27</v>
      </c>
      <c r="H103" s="9">
        <v>0</v>
      </c>
      <c r="I103" s="10">
        <v>0</v>
      </c>
      <c r="J103" s="11">
        <v>0</v>
      </c>
    </row>
    <row r="104" spans="1:10" x14ac:dyDescent="0.25">
      <c r="A104" s="1">
        <f t="shared" ca="1" si="3"/>
        <v>14707</v>
      </c>
      <c r="B104" s="5">
        <v>750</v>
      </c>
      <c r="C104" s="6">
        <v>750</v>
      </c>
      <c r="D104" s="6">
        <v>750</v>
      </c>
      <c r="E104" s="7">
        <v>26</v>
      </c>
      <c r="F104" s="8">
        <v>29</v>
      </c>
      <c r="G104" s="8">
        <v>27</v>
      </c>
      <c r="H104" s="9">
        <v>0</v>
      </c>
      <c r="I104" s="10">
        <v>0</v>
      </c>
      <c r="J104" s="11">
        <v>10</v>
      </c>
    </row>
    <row r="105" spans="1:10" x14ac:dyDescent="0.25">
      <c r="A105" s="1">
        <f t="shared" ca="1" si="3"/>
        <v>14708</v>
      </c>
      <c r="B105" s="5">
        <v>750</v>
      </c>
      <c r="C105" s="6">
        <v>750</v>
      </c>
      <c r="D105" s="6">
        <v>750</v>
      </c>
      <c r="E105" s="7">
        <v>26</v>
      </c>
      <c r="F105" s="8">
        <v>29</v>
      </c>
      <c r="G105" s="8">
        <v>27</v>
      </c>
      <c r="H105" s="9">
        <v>15</v>
      </c>
      <c r="I105" s="10">
        <v>10</v>
      </c>
      <c r="J105" s="11">
        <v>0</v>
      </c>
    </row>
    <row r="106" spans="1:10" x14ac:dyDescent="0.25">
      <c r="A106" s="1">
        <f t="shared" ca="1" si="3"/>
        <v>14709</v>
      </c>
      <c r="B106" s="5">
        <v>750</v>
      </c>
      <c r="C106" s="6">
        <v>749</v>
      </c>
      <c r="D106" s="6">
        <v>750</v>
      </c>
      <c r="E106" s="7">
        <v>26</v>
      </c>
      <c r="F106" s="8">
        <v>29</v>
      </c>
      <c r="G106" s="8">
        <v>27</v>
      </c>
      <c r="H106" s="9">
        <v>14</v>
      </c>
      <c r="I106" s="10">
        <v>0</v>
      </c>
      <c r="J106" s="11">
        <v>25</v>
      </c>
    </row>
    <row r="107" spans="1:10" x14ac:dyDescent="0.25">
      <c r="A107" s="1">
        <f t="shared" ca="1" si="3"/>
        <v>14710</v>
      </c>
      <c r="B107" s="5">
        <v>750</v>
      </c>
      <c r="C107" s="6">
        <v>750</v>
      </c>
      <c r="D107" s="6">
        <v>750</v>
      </c>
      <c r="E107" s="7">
        <v>26</v>
      </c>
      <c r="F107" s="8">
        <v>28</v>
      </c>
      <c r="G107" s="8">
        <v>27</v>
      </c>
      <c r="H107" s="9">
        <v>0</v>
      </c>
      <c r="I107" s="10">
        <v>0</v>
      </c>
      <c r="J107" s="11">
        <v>0</v>
      </c>
    </row>
    <row r="108" spans="1:10" x14ac:dyDescent="0.25">
      <c r="A108" s="1">
        <f t="shared" ca="1" si="3"/>
        <v>14711</v>
      </c>
      <c r="B108" s="5">
        <v>750</v>
      </c>
      <c r="C108" s="6">
        <v>750</v>
      </c>
      <c r="D108" s="6">
        <v>750</v>
      </c>
      <c r="E108" s="7">
        <v>26</v>
      </c>
      <c r="F108" s="8">
        <v>29</v>
      </c>
      <c r="G108" s="8">
        <v>27</v>
      </c>
      <c r="H108" s="9">
        <v>20</v>
      </c>
      <c r="I108" s="10">
        <v>0</v>
      </c>
      <c r="J108" s="11">
        <v>15</v>
      </c>
    </row>
    <row r="109" spans="1:10" x14ac:dyDescent="0.25">
      <c r="A109" s="1">
        <f t="shared" ca="1" si="3"/>
        <v>14712</v>
      </c>
      <c r="B109" s="5">
        <v>750</v>
      </c>
      <c r="C109" s="6">
        <v>750</v>
      </c>
      <c r="D109" s="6">
        <v>750</v>
      </c>
      <c r="E109" s="7">
        <v>26</v>
      </c>
      <c r="F109" s="8">
        <v>29</v>
      </c>
      <c r="G109" s="8">
        <v>27</v>
      </c>
      <c r="H109" s="9">
        <v>8</v>
      </c>
      <c r="I109" s="10">
        <v>0</v>
      </c>
      <c r="J109" s="11">
        <v>0</v>
      </c>
    </row>
    <row r="110" spans="1:10" x14ac:dyDescent="0.25">
      <c r="A110" s="1">
        <f t="shared" ca="1" si="3"/>
        <v>14713</v>
      </c>
      <c r="B110" s="5">
        <v>750</v>
      </c>
      <c r="C110" s="6">
        <v>750</v>
      </c>
      <c r="D110" s="6">
        <v>749</v>
      </c>
      <c r="E110" s="7">
        <v>26</v>
      </c>
      <c r="F110" s="8">
        <v>29</v>
      </c>
      <c r="G110" s="8">
        <v>27</v>
      </c>
      <c r="H110" s="9">
        <v>0</v>
      </c>
      <c r="I110" s="10">
        <v>0</v>
      </c>
      <c r="J110" s="11">
        <v>0</v>
      </c>
    </row>
    <row r="111" spans="1:10" x14ac:dyDescent="0.25">
      <c r="A111" s="1">
        <f t="shared" ca="1" si="3"/>
        <v>14714</v>
      </c>
      <c r="B111" s="5">
        <v>749</v>
      </c>
      <c r="C111" s="6">
        <v>749</v>
      </c>
      <c r="D111" s="6">
        <v>749</v>
      </c>
      <c r="E111" s="7">
        <v>26</v>
      </c>
      <c r="F111" s="8">
        <v>29</v>
      </c>
      <c r="G111" s="8">
        <v>27</v>
      </c>
      <c r="H111" s="9">
        <v>0</v>
      </c>
      <c r="I111" s="10">
        <v>0</v>
      </c>
      <c r="J111" s="11">
        <v>0</v>
      </c>
    </row>
    <row r="112" spans="1:10" x14ac:dyDescent="0.25">
      <c r="A112" s="1">
        <f t="shared" ca="1" si="3"/>
        <v>14715</v>
      </c>
      <c r="B112" s="5">
        <v>748</v>
      </c>
      <c r="C112" s="6">
        <v>748</v>
      </c>
      <c r="D112" s="6">
        <v>748</v>
      </c>
      <c r="E112" s="7">
        <v>26</v>
      </c>
      <c r="F112" s="8">
        <v>29</v>
      </c>
      <c r="G112" s="8">
        <v>27</v>
      </c>
      <c r="H112" s="9">
        <v>0</v>
      </c>
      <c r="I112" s="10">
        <v>0</v>
      </c>
      <c r="J112" s="11">
        <v>0</v>
      </c>
    </row>
    <row r="113" spans="1:10" x14ac:dyDescent="0.25">
      <c r="A113" s="1">
        <f t="shared" ca="1" si="3"/>
        <v>14716</v>
      </c>
      <c r="B113" s="5">
        <v>748</v>
      </c>
      <c r="C113" s="6">
        <v>748</v>
      </c>
      <c r="D113" s="6">
        <v>748</v>
      </c>
      <c r="E113" s="7">
        <v>26</v>
      </c>
      <c r="F113" s="8">
        <v>29</v>
      </c>
      <c r="G113" s="8">
        <v>27</v>
      </c>
      <c r="H113" s="9">
        <v>0</v>
      </c>
      <c r="I113" s="10">
        <v>0</v>
      </c>
      <c r="J113" s="11">
        <v>0</v>
      </c>
    </row>
    <row r="114" spans="1:10" x14ac:dyDescent="0.25">
      <c r="A114" s="1">
        <f t="shared" ca="1" si="3"/>
        <v>14717</v>
      </c>
      <c r="B114" s="5">
        <v>749</v>
      </c>
      <c r="C114" s="6">
        <v>749</v>
      </c>
      <c r="D114" s="6">
        <v>748</v>
      </c>
      <c r="E114" s="7">
        <v>26</v>
      </c>
      <c r="F114" s="8">
        <v>29</v>
      </c>
      <c r="G114" s="8">
        <v>27</v>
      </c>
      <c r="H114" s="9">
        <v>88</v>
      </c>
      <c r="I114" s="10">
        <v>100</v>
      </c>
      <c r="J114" s="11">
        <v>0</v>
      </c>
    </row>
    <row r="115" spans="1:10" x14ac:dyDescent="0.25">
      <c r="A115" s="1">
        <f t="shared" ca="1" si="3"/>
        <v>14718</v>
      </c>
      <c r="B115" s="5">
        <v>748</v>
      </c>
      <c r="C115" s="6">
        <v>747</v>
      </c>
      <c r="D115" s="6">
        <v>747</v>
      </c>
      <c r="E115" s="7">
        <v>26</v>
      </c>
      <c r="F115" s="8">
        <v>29</v>
      </c>
      <c r="G115" s="8">
        <v>27</v>
      </c>
      <c r="H115" s="9">
        <v>3</v>
      </c>
      <c r="I115" s="10">
        <v>40</v>
      </c>
      <c r="J115" s="11">
        <v>120</v>
      </c>
    </row>
    <row r="116" spans="1:10" x14ac:dyDescent="0.25">
      <c r="A116" s="1">
        <f t="shared" ca="1" si="3"/>
        <v>14719</v>
      </c>
      <c r="B116" s="5">
        <v>747</v>
      </c>
      <c r="C116" s="6">
        <v>747</v>
      </c>
      <c r="D116" s="6">
        <v>747</v>
      </c>
      <c r="E116" s="7">
        <v>26</v>
      </c>
      <c r="F116" s="8">
        <v>30</v>
      </c>
      <c r="G116" s="8">
        <v>29</v>
      </c>
      <c r="H116" s="9">
        <v>71</v>
      </c>
      <c r="I116" s="10">
        <v>0</v>
      </c>
      <c r="J116" s="11">
        <v>75</v>
      </c>
    </row>
    <row r="117" spans="1:10" x14ac:dyDescent="0.25">
      <c r="A117" s="1">
        <f t="shared" ca="1" si="3"/>
        <v>14720</v>
      </c>
      <c r="B117" s="5">
        <v>747</v>
      </c>
      <c r="C117" s="6">
        <v>747</v>
      </c>
      <c r="D117" s="6">
        <v>747</v>
      </c>
      <c r="E117" s="7">
        <v>27</v>
      </c>
      <c r="F117" s="8">
        <v>29</v>
      </c>
      <c r="G117" s="8">
        <v>27</v>
      </c>
      <c r="H117" s="9">
        <v>0</v>
      </c>
      <c r="I117" s="10">
        <v>0</v>
      </c>
      <c r="J117" s="11">
        <v>0</v>
      </c>
    </row>
    <row r="118" spans="1:10" x14ac:dyDescent="0.25">
      <c r="A118" s="1">
        <f t="shared" ca="1" si="3"/>
        <v>14721</v>
      </c>
      <c r="B118" s="5">
        <v>747</v>
      </c>
      <c r="C118" s="6">
        <v>747</v>
      </c>
      <c r="D118" s="6">
        <v>748</v>
      </c>
      <c r="E118" s="7">
        <v>26</v>
      </c>
      <c r="F118" s="8">
        <v>29</v>
      </c>
      <c r="G118" s="8">
        <v>27</v>
      </c>
      <c r="H118" s="9">
        <v>0</v>
      </c>
      <c r="I118" s="10">
        <v>0</v>
      </c>
      <c r="J118" s="11">
        <v>35</v>
      </c>
    </row>
    <row r="119" spans="1:10" x14ac:dyDescent="0.25">
      <c r="A119" s="1">
        <f t="shared" ca="1" si="3"/>
        <v>14722</v>
      </c>
      <c r="B119" s="5">
        <v>747</v>
      </c>
      <c r="C119" s="6">
        <v>747</v>
      </c>
      <c r="D119" s="6">
        <v>747</v>
      </c>
      <c r="E119" s="7">
        <v>26</v>
      </c>
      <c r="F119" s="8">
        <v>28</v>
      </c>
      <c r="G119" s="8">
        <v>28</v>
      </c>
      <c r="H119" s="9">
        <v>0</v>
      </c>
      <c r="I119" s="10">
        <v>10</v>
      </c>
      <c r="J119" s="11">
        <v>20</v>
      </c>
    </row>
    <row r="120" spans="1:10" x14ac:dyDescent="0.25">
      <c r="A120" s="1">
        <f t="shared" ca="1" si="3"/>
        <v>14723</v>
      </c>
      <c r="B120" s="5">
        <v>747</v>
      </c>
      <c r="C120" s="6">
        <v>746</v>
      </c>
      <c r="D120" s="6">
        <v>747</v>
      </c>
      <c r="E120" s="7">
        <v>27</v>
      </c>
      <c r="F120" s="8">
        <v>29</v>
      </c>
      <c r="G120" s="8">
        <v>28</v>
      </c>
      <c r="H120" s="9">
        <v>55</v>
      </c>
      <c r="I120" s="10">
        <v>0</v>
      </c>
      <c r="J120" s="11">
        <v>0</v>
      </c>
    </row>
    <row r="121" spans="1:10" x14ac:dyDescent="0.25">
      <c r="A121" s="1">
        <f t="shared" ca="1" si="3"/>
        <v>14724</v>
      </c>
      <c r="B121" s="5">
        <v>748</v>
      </c>
      <c r="C121" s="6">
        <v>749</v>
      </c>
      <c r="D121" s="6">
        <v>749</v>
      </c>
      <c r="E121" s="7">
        <v>28</v>
      </c>
      <c r="F121" s="8">
        <v>30</v>
      </c>
      <c r="G121" s="8">
        <v>29</v>
      </c>
      <c r="H121" s="9">
        <v>0</v>
      </c>
      <c r="I121" s="10">
        <v>0</v>
      </c>
      <c r="J121" s="11">
        <v>0</v>
      </c>
    </row>
    <row r="122" spans="1:10" x14ac:dyDescent="0.25">
      <c r="A122" s="1">
        <f t="shared" ca="1" si="3"/>
        <v>14725</v>
      </c>
      <c r="B122" s="5">
        <v>750</v>
      </c>
      <c r="C122" s="6">
        <v>750</v>
      </c>
      <c r="D122" s="6">
        <v>750</v>
      </c>
      <c r="E122" s="7">
        <v>28</v>
      </c>
      <c r="F122" s="8">
        <v>30</v>
      </c>
      <c r="G122" s="8">
        <v>29</v>
      </c>
      <c r="H122" s="9">
        <v>0</v>
      </c>
      <c r="I122" s="10">
        <v>0</v>
      </c>
      <c r="J122" s="11">
        <v>0</v>
      </c>
    </row>
    <row r="123" spans="1:10" x14ac:dyDescent="0.25">
      <c r="A123" s="1">
        <f t="shared" ca="1" si="3"/>
        <v>14726</v>
      </c>
      <c r="B123" s="5">
        <v>750</v>
      </c>
      <c r="C123" s="6">
        <v>750</v>
      </c>
      <c r="D123" s="6">
        <v>750</v>
      </c>
      <c r="E123" s="7">
        <v>28</v>
      </c>
      <c r="F123" s="8">
        <v>30</v>
      </c>
      <c r="G123" s="8">
        <v>28</v>
      </c>
      <c r="H123" s="9">
        <v>0</v>
      </c>
      <c r="I123" s="10">
        <v>0</v>
      </c>
      <c r="J123" s="11">
        <v>0</v>
      </c>
    </row>
    <row r="124" spans="1:10" x14ac:dyDescent="0.25">
      <c r="A124" s="1">
        <f t="shared" ca="1" si="3"/>
        <v>14727</v>
      </c>
      <c r="B124" s="5">
        <v>750</v>
      </c>
      <c r="C124" s="6">
        <v>749</v>
      </c>
      <c r="D124" s="6">
        <v>749</v>
      </c>
      <c r="E124" s="7">
        <v>27</v>
      </c>
      <c r="F124" s="8">
        <v>30</v>
      </c>
      <c r="G124" s="8">
        <v>28</v>
      </c>
      <c r="H124" s="9">
        <v>0</v>
      </c>
      <c r="I124" s="10">
        <v>0</v>
      </c>
      <c r="J124" s="11">
        <v>0</v>
      </c>
    </row>
    <row r="125" spans="1:10" x14ac:dyDescent="0.25">
      <c r="A125" s="1">
        <f t="shared" ca="1" si="3"/>
        <v>14728</v>
      </c>
      <c r="B125" s="5">
        <v>750</v>
      </c>
      <c r="C125" s="6">
        <v>749</v>
      </c>
      <c r="D125" s="6">
        <v>750</v>
      </c>
      <c r="E125" s="7">
        <v>27</v>
      </c>
      <c r="F125" s="8">
        <v>29</v>
      </c>
      <c r="G125" s="8">
        <v>28</v>
      </c>
      <c r="H125" s="9">
        <v>0</v>
      </c>
      <c r="I125" s="10">
        <v>0</v>
      </c>
      <c r="J125" s="11">
        <v>0</v>
      </c>
    </row>
    <row r="126" spans="1:10" x14ac:dyDescent="0.25">
      <c r="A126" s="1">
        <f t="shared" ca="1" si="3"/>
        <v>14729</v>
      </c>
      <c r="B126" s="5">
        <v>750</v>
      </c>
      <c r="C126" s="6">
        <v>749</v>
      </c>
      <c r="D126" s="6">
        <v>749</v>
      </c>
      <c r="E126" s="7">
        <v>28</v>
      </c>
      <c r="F126" s="8">
        <v>30</v>
      </c>
      <c r="G126" s="8">
        <v>28</v>
      </c>
      <c r="H126" s="9">
        <v>0</v>
      </c>
      <c r="I126" s="10">
        <v>0</v>
      </c>
      <c r="J126" s="11">
        <v>0</v>
      </c>
    </row>
    <row r="127" spans="1:10" x14ac:dyDescent="0.25">
      <c r="A127" s="1">
        <f t="shared" ca="1" si="3"/>
        <v>14730</v>
      </c>
      <c r="B127" s="5">
        <v>749</v>
      </c>
      <c r="C127" s="6">
        <v>748</v>
      </c>
      <c r="D127" s="6">
        <v>748</v>
      </c>
      <c r="E127" s="7">
        <v>28</v>
      </c>
      <c r="F127" s="8">
        <v>30</v>
      </c>
      <c r="G127" s="8">
        <v>29</v>
      </c>
      <c r="H127" s="9">
        <v>0</v>
      </c>
      <c r="I127" s="10">
        <v>0</v>
      </c>
      <c r="J127" s="11">
        <v>0</v>
      </c>
    </row>
    <row r="128" spans="1:10" x14ac:dyDescent="0.25">
      <c r="A128" s="1">
        <f t="shared" ca="1" si="3"/>
        <v>14731</v>
      </c>
      <c r="B128" s="5">
        <v>749</v>
      </c>
      <c r="C128" s="6">
        <v>750</v>
      </c>
      <c r="D128" s="6">
        <v>750</v>
      </c>
      <c r="E128" s="7">
        <v>28</v>
      </c>
      <c r="F128" s="8">
        <v>28</v>
      </c>
      <c r="G128" s="8">
        <v>27</v>
      </c>
      <c r="H128" s="9">
        <v>0</v>
      </c>
      <c r="I128" s="10">
        <v>0</v>
      </c>
      <c r="J128" s="11">
        <v>130</v>
      </c>
    </row>
    <row r="129" spans="1:10" x14ac:dyDescent="0.25">
      <c r="A129" s="1" t="str">
        <f t="shared" ca="1" si="3"/>
        <v>Totaal</v>
      </c>
      <c r="B129" s="28">
        <f t="shared" ref="B129:G129" si="9">IF(COUNT(B99:B128)&gt;0,AVERAGE(B99:B128),"")</f>
        <v>749.13333333333333</v>
      </c>
      <c r="C129" s="29">
        <f t="shared" si="9"/>
        <v>748.93333333333328</v>
      </c>
      <c r="D129" s="29">
        <f t="shared" si="9"/>
        <v>749</v>
      </c>
      <c r="E129" s="30">
        <f t="shared" si="9"/>
        <v>26.533333333333335</v>
      </c>
      <c r="F129" s="31">
        <f t="shared" si="9"/>
        <v>29.133333333333333</v>
      </c>
      <c r="G129" s="31">
        <f t="shared" si="9"/>
        <v>27.466666666666665</v>
      </c>
      <c r="H129" s="32">
        <f>SUM(H99:H128)/10</f>
        <v>27.4</v>
      </c>
      <c r="I129" s="33">
        <f>SUM(I99:I128)/10</f>
        <v>19</v>
      </c>
      <c r="J129" s="34">
        <f>SUM(J99:J128)/10</f>
        <v>43</v>
      </c>
    </row>
    <row r="130" spans="1:10" x14ac:dyDescent="0.25">
      <c r="A130" s="1">
        <f t="shared" ca="1" si="3"/>
        <v>14732</v>
      </c>
      <c r="B130" s="5">
        <v>750</v>
      </c>
      <c r="C130" s="6">
        <v>750</v>
      </c>
      <c r="D130" s="6">
        <v>750</v>
      </c>
      <c r="E130" s="7">
        <v>27</v>
      </c>
      <c r="F130" s="8">
        <v>29</v>
      </c>
      <c r="G130" s="8">
        <v>27</v>
      </c>
      <c r="H130" s="9">
        <v>45</v>
      </c>
      <c r="I130" s="10">
        <v>50</v>
      </c>
      <c r="J130" s="11">
        <v>70</v>
      </c>
    </row>
    <row r="131" spans="1:10" x14ac:dyDescent="0.25">
      <c r="A131" s="1">
        <f t="shared" ca="1" si="3"/>
        <v>14733</v>
      </c>
      <c r="B131" s="5">
        <v>750</v>
      </c>
      <c r="C131" s="6">
        <v>750</v>
      </c>
      <c r="D131" s="6">
        <v>749</v>
      </c>
      <c r="E131" s="7">
        <v>27</v>
      </c>
      <c r="F131" s="8">
        <v>28</v>
      </c>
      <c r="G131" s="8">
        <v>27</v>
      </c>
      <c r="H131" s="9">
        <v>23</v>
      </c>
      <c r="I131" s="10">
        <v>105</v>
      </c>
      <c r="J131" s="11">
        <v>20</v>
      </c>
    </row>
    <row r="132" spans="1:10" x14ac:dyDescent="0.25">
      <c r="A132" s="1">
        <f t="shared" ca="1" si="3"/>
        <v>14734</v>
      </c>
      <c r="B132" s="5">
        <v>749</v>
      </c>
      <c r="C132" s="6">
        <v>750</v>
      </c>
      <c r="D132" s="6">
        <v>750</v>
      </c>
      <c r="E132" s="7">
        <v>26</v>
      </c>
      <c r="F132" s="8">
        <v>29</v>
      </c>
      <c r="G132" s="8">
        <v>28</v>
      </c>
      <c r="H132" s="9">
        <v>80</v>
      </c>
      <c r="I132" s="10">
        <v>0</v>
      </c>
      <c r="J132" s="11">
        <v>0</v>
      </c>
    </row>
    <row r="133" spans="1:10" x14ac:dyDescent="0.25">
      <c r="A133" s="1">
        <f t="shared" ca="1" si="3"/>
        <v>14735</v>
      </c>
      <c r="B133" s="5">
        <v>749</v>
      </c>
      <c r="C133" s="6">
        <v>748</v>
      </c>
      <c r="D133" s="6">
        <v>749</v>
      </c>
      <c r="E133" s="7">
        <v>27</v>
      </c>
      <c r="F133" s="8">
        <v>29</v>
      </c>
      <c r="G133" s="8">
        <v>28</v>
      </c>
      <c r="H133" s="9">
        <v>0</v>
      </c>
      <c r="I133" s="10">
        <v>0</v>
      </c>
      <c r="J133" s="11">
        <v>0</v>
      </c>
    </row>
    <row r="134" spans="1:10" x14ac:dyDescent="0.25">
      <c r="A134" s="1">
        <f t="shared" ca="1" si="3"/>
        <v>14736</v>
      </c>
      <c r="B134" s="5">
        <v>750</v>
      </c>
      <c r="C134" s="6">
        <v>750</v>
      </c>
      <c r="D134" s="6">
        <v>750</v>
      </c>
      <c r="E134" s="7">
        <v>27</v>
      </c>
      <c r="F134" s="8">
        <v>29</v>
      </c>
      <c r="G134" s="8">
        <v>28</v>
      </c>
      <c r="H134" s="9">
        <v>0</v>
      </c>
      <c r="I134" s="10">
        <v>0</v>
      </c>
      <c r="J134" s="11">
        <v>0</v>
      </c>
    </row>
    <row r="135" spans="1:10" x14ac:dyDescent="0.25">
      <c r="A135" s="1">
        <f t="shared" ref="A135:A198" ca="1" si="10">IF(ISTEXT(A134),A133+1,IF(MONTH(A134+1)=MONTH(A134),A134+1,"Totaal"))</f>
        <v>14737</v>
      </c>
      <c r="B135" s="5">
        <v>750</v>
      </c>
      <c r="C135" s="6">
        <v>750</v>
      </c>
      <c r="D135" s="6">
        <v>749</v>
      </c>
      <c r="E135" s="7">
        <v>28</v>
      </c>
      <c r="F135" s="8">
        <v>30</v>
      </c>
      <c r="G135" s="8">
        <v>29</v>
      </c>
      <c r="H135" s="9">
        <v>0</v>
      </c>
      <c r="I135" s="10">
        <v>20</v>
      </c>
      <c r="J135" s="11">
        <v>0</v>
      </c>
    </row>
    <row r="136" spans="1:10" x14ac:dyDescent="0.25">
      <c r="A136" s="1">
        <f t="shared" ca="1" si="10"/>
        <v>14738</v>
      </c>
      <c r="B136" s="5">
        <v>749</v>
      </c>
      <c r="C136" s="6">
        <v>748</v>
      </c>
      <c r="D136" s="6">
        <v>749</v>
      </c>
      <c r="E136" s="7">
        <v>27</v>
      </c>
      <c r="F136" s="8">
        <v>29</v>
      </c>
      <c r="G136" s="8">
        <v>28</v>
      </c>
      <c r="H136" s="9">
        <v>33</v>
      </c>
      <c r="I136" s="10">
        <v>55</v>
      </c>
      <c r="J136" s="11">
        <v>0</v>
      </c>
    </row>
    <row r="137" spans="1:10" x14ac:dyDescent="0.25">
      <c r="A137" s="1">
        <f t="shared" ca="1" si="10"/>
        <v>14739</v>
      </c>
      <c r="B137" s="5">
        <v>749</v>
      </c>
      <c r="C137" s="6">
        <v>748</v>
      </c>
      <c r="D137" s="6">
        <v>748</v>
      </c>
      <c r="E137" s="7">
        <v>27</v>
      </c>
      <c r="F137" s="8">
        <v>25</v>
      </c>
      <c r="G137" s="8">
        <v>25</v>
      </c>
      <c r="H137" s="9">
        <v>113</v>
      </c>
      <c r="I137" s="10">
        <v>280</v>
      </c>
      <c r="J137" s="11">
        <v>180</v>
      </c>
    </row>
    <row r="138" spans="1:10" x14ac:dyDescent="0.25">
      <c r="A138" s="1">
        <f t="shared" ca="1" si="10"/>
        <v>14740</v>
      </c>
      <c r="B138" s="5">
        <v>749</v>
      </c>
      <c r="C138" s="6">
        <v>748</v>
      </c>
      <c r="D138" s="6">
        <v>748</v>
      </c>
      <c r="E138" s="7">
        <v>25</v>
      </c>
      <c r="F138" s="8">
        <v>27</v>
      </c>
      <c r="G138" s="8">
        <v>27</v>
      </c>
      <c r="H138" s="9">
        <v>226</v>
      </c>
      <c r="I138" s="10">
        <v>20</v>
      </c>
      <c r="J138" s="11">
        <v>40</v>
      </c>
    </row>
    <row r="139" spans="1:10" x14ac:dyDescent="0.25">
      <c r="A139" s="1">
        <f t="shared" ca="1" si="10"/>
        <v>14741</v>
      </c>
      <c r="B139" s="5">
        <v>748</v>
      </c>
      <c r="C139" s="6">
        <v>748</v>
      </c>
      <c r="D139" s="6">
        <v>748</v>
      </c>
      <c r="E139" s="7">
        <v>26</v>
      </c>
      <c r="F139" s="8">
        <v>28</v>
      </c>
      <c r="G139" s="8">
        <v>27</v>
      </c>
      <c r="H139" s="9">
        <v>40</v>
      </c>
      <c r="I139" s="10">
        <v>0</v>
      </c>
      <c r="J139" s="11">
        <v>15</v>
      </c>
    </row>
    <row r="140" spans="1:10" x14ac:dyDescent="0.25">
      <c r="A140" s="1">
        <f t="shared" ca="1" si="10"/>
        <v>14742</v>
      </c>
      <c r="B140" s="5">
        <v>748</v>
      </c>
      <c r="C140" s="6">
        <v>747</v>
      </c>
      <c r="D140" s="6">
        <v>748</v>
      </c>
      <c r="E140" s="7">
        <v>27</v>
      </c>
      <c r="F140" s="8">
        <v>29</v>
      </c>
      <c r="G140" s="8">
        <v>28</v>
      </c>
      <c r="H140" s="9">
        <v>0</v>
      </c>
      <c r="I140" s="10">
        <v>0</v>
      </c>
      <c r="J140" s="11">
        <v>0</v>
      </c>
    </row>
    <row r="141" spans="1:10" x14ac:dyDescent="0.25">
      <c r="A141" s="1">
        <f t="shared" ca="1" si="10"/>
        <v>14743</v>
      </c>
      <c r="B141" s="5">
        <v>748</v>
      </c>
      <c r="C141" s="6">
        <v>748</v>
      </c>
      <c r="D141" s="6">
        <v>748</v>
      </c>
      <c r="E141" s="7">
        <v>27</v>
      </c>
      <c r="F141" s="8">
        <v>29</v>
      </c>
      <c r="G141" s="8">
        <v>28</v>
      </c>
      <c r="H141" s="9">
        <v>0</v>
      </c>
      <c r="I141" s="10">
        <v>0</v>
      </c>
      <c r="J141" s="11">
        <v>0</v>
      </c>
    </row>
    <row r="142" spans="1:10" x14ac:dyDescent="0.25">
      <c r="A142" s="1">
        <f t="shared" ca="1" si="10"/>
        <v>14744</v>
      </c>
      <c r="B142" s="5">
        <v>748</v>
      </c>
      <c r="C142" s="6">
        <v>749</v>
      </c>
      <c r="D142" s="6">
        <v>749</v>
      </c>
      <c r="E142" s="7">
        <v>28</v>
      </c>
      <c r="F142" s="8">
        <v>30</v>
      </c>
      <c r="G142" s="8">
        <v>28</v>
      </c>
      <c r="H142" s="9">
        <v>0</v>
      </c>
      <c r="I142" s="10">
        <v>0</v>
      </c>
      <c r="J142" s="11">
        <v>0</v>
      </c>
    </row>
    <row r="143" spans="1:10" x14ac:dyDescent="0.25">
      <c r="A143" s="1">
        <f t="shared" ca="1" si="10"/>
        <v>14745</v>
      </c>
      <c r="B143" s="5">
        <v>749</v>
      </c>
      <c r="C143" s="6">
        <v>748</v>
      </c>
      <c r="D143" s="6">
        <v>748</v>
      </c>
      <c r="E143" s="7">
        <v>28</v>
      </c>
      <c r="F143" s="8">
        <v>29</v>
      </c>
      <c r="G143" s="8">
        <v>28</v>
      </c>
      <c r="H143" s="9">
        <v>0</v>
      </c>
      <c r="I143" s="10">
        <v>0</v>
      </c>
      <c r="J143" s="11">
        <v>0</v>
      </c>
    </row>
    <row r="144" spans="1:10" x14ac:dyDescent="0.25">
      <c r="A144" s="1">
        <f t="shared" ca="1" si="10"/>
        <v>14746</v>
      </c>
      <c r="B144" s="5">
        <v>748</v>
      </c>
      <c r="C144" s="6">
        <v>749</v>
      </c>
      <c r="D144" s="6">
        <v>750</v>
      </c>
      <c r="E144" s="7">
        <v>28</v>
      </c>
      <c r="F144" s="8">
        <v>30</v>
      </c>
      <c r="G144" s="8">
        <v>28</v>
      </c>
      <c r="H144" s="9">
        <v>0</v>
      </c>
      <c r="I144" s="10">
        <v>190</v>
      </c>
      <c r="J144" s="11">
        <v>35</v>
      </c>
    </row>
    <row r="145" spans="1:10" x14ac:dyDescent="0.25">
      <c r="A145" s="1">
        <f t="shared" ca="1" si="10"/>
        <v>14747</v>
      </c>
      <c r="B145" s="5">
        <v>749</v>
      </c>
      <c r="C145" s="6">
        <v>748</v>
      </c>
      <c r="D145" s="6">
        <v>748</v>
      </c>
      <c r="E145" s="7">
        <v>27</v>
      </c>
      <c r="F145" s="8">
        <v>29</v>
      </c>
      <c r="G145" s="8">
        <v>28</v>
      </c>
      <c r="H145" s="9">
        <v>210</v>
      </c>
      <c r="I145" s="10">
        <v>15</v>
      </c>
      <c r="J145" s="11">
        <v>70</v>
      </c>
    </row>
    <row r="146" spans="1:10" x14ac:dyDescent="0.25">
      <c r="A146" s="1">
        <f t="shared" ca="1" si="10"/>
        <v>14748</v>
      </c>
      <c r="B146" s="5">
        <v>748</v>
      </c>
      <c r="C146" s="6">
        <v>746</v>
      </c>
      <c r="D146" s="6">
        <v>746</v>
      </c>
      <c r="E146" s="7">
        <v>27</v>
      </c>
      <c r="F146" s="8">
        <v>28</v>
      </c>
      <c r="G146" s="8">
        <v>27</v>
      </c>
      <c r="H146" s="9">
        <v>23</v>
      </c>
      <c r="I146" s="10">
        <v>0</v>
      </c>
      <c r="J146" s="11">
        <v>30</v>
      </c>
    </row>
    <row r="147" spans="1:10" x14ac:dyDescent="0.25">
      <c r="A147" s="1">
        <f t="shared" ca="1" si="10"/>
        <v>14749</v>
      </c>
      <c r="B147" s="5">
        <v>747</v>
      </c>
      <c r="C147" s="6">
        <v>746</v>
      </c>
      <c r="D147" s="6">
        <v>746</v>
      </c>
      <c r="E147" s="7">
        <v>27</v>
      </c>
      <c r="F147" s="8">
        <v>29</v>
      </c>
      <c r="G147" s="8">
        <v>28</v>
      </c>
      <c r="H147" s="9">
        <v>15</v>
      </c>
      <c r="I147" s="10">
        <v>0</v>
      </c>
      <c r="J147" s="11">
        <v>0</v>
      </c>
    </row>
    <row r="148" spans="1:10" x14ac:dyDescent="0.25">
      <c r="A148" s="1">
        <f t="shared" ca="1" si="10"/>
        <v>14750</v>
      </c>
      <c r="B148" s="5">
        <v>746</v>
      </c>
      <c r="C148" s="6">
        <v>746</v>
      </c>
      <c r="D148" s="6">
        <v>745</v>
      </c>
      <c r="E148" s="7">
        <v>27</v>
      </c>
      <c r="F148" s="8">
        <v>30</v>
      </c>
      <c r="G148" s="8">
        <v>29</v>
      </c>
      <c r="H148" s="9">
        <v>5</v>
      </c>
      <c r="I148" s="10">
        <v>15</v>
      </c>
      <c r="J148" s="11">
        <v>0</v>
      </c>
    </row>
    <row r="149" spans="1:10" x14ac:dyDescent="0.25">
      <c r="A149" s="1">
        <f t="shared" ca="1" si="10"/>
        <v>14751</v>
      </c>
      <c r="B149" s="5">
        <v>747</v>
      </c>
      <c r="C149" s="6">
        <v>747</v>
      </c>
      <c r="D149" s="6">
        <v>748</v>
      </c>
      <c r="E149" s="7">
        <v>28</v>
      </c>
      <c r="F149" s="8">
        <v>31</v>
      </c>
      <c r="G149" s="8">
        <v>29</v>
      </c>
      <c r="H149" s="9">
        <v>13</v>
      </c>
      <c r="I149" s="10">
        <v>0</v>
      </c>
      <c r="J149" s="11">
        <v>0</v>
      </c>
    </row>
    <row r="150" spans="1:10" x14ac:dyDescent="0.25">
      <c r="A150" s="1">
        <f t="shared" ca="1" si="10"/>
        <v>14752</v>
      </c>
      <c r="B150" s="5">
        <v>748</v>
      </c>
      <c r="C150" s="6">
        <v>748</v>
      </c>
      <c r="D150" s="6">
        <v>749</v>
      </c>
      <c r="E150" s="7">
        <v>28</v>
      </c>
      <c r="F150" s="8">
        <v>27</v>
      </c>
      <c r="G150" s="8">
        <v>27</v>
      </c>
      <c r="H150" s="9">
        <v>5</v>
      </c>
      <c r="I150" s="10">
        <v>120</v>
      </c>
      <c r="J150" s="11">
        <v>300</v>
      </c>
    </row>
    <row r="151" spans="1:10" x14ac:dyDescent="0.25">
      <c r="A151" s="1">
        <f t="shared" ca="1" si="10"/>
        <v>14753</v>
      </c>
      <c r="B151" s="5">
        <v>749</v>
      </c>
      <c r="C151" s="6">
        <v>748</v>
      </c>
      <c r="D151" s="6">
        <v>748</v>
      </c>
      <c r="E151" s="7">
        <v>25</v>
      </c>
      <c r="F151" s="8">
        <v>26</v>
      </c>
      <c r="G151" s="8">
        <v>26</v>
      </c>
      <c r="H151" s="9">
        <v>110</v>
      </c>
      <c r="I151" s="10">
        <v>10</v>
      </c>
      <c r="J151" s="11">
        <v>140</v>
      </c>
    </row>
    <row r="152" spans="1:10" x14ac:dyDescent="0.25">
      <c r="A152" s="1">
        <f t="shared" ca="1" si="10"/>
        <v>14754</v>
      </c>
      <c r="B152" s="5">
        <v>747</v>
      </c>
      <c r="C152" s="6">
        <v>747</v>
      </c>
      <c r="D152" s="6">
        <v>747</v>
      </c>
      <c r="E152" s="7">
        <v>26</v>
      </c>
      <c r="F152" s="8">
        <v>30</v>
      </c>
      <c r="G152" s="8">
        <v>28</v>
      </c>
      <c r="H152" s="9">
        <v>12</v>
      </c>
      <c r="I152" s="10">
        <v>15</v>
      </c>
      <c r="J152" s="11">
        <v>125</v>
      </c>
    </row>
    <row r="153" spans="1:10" x14ac:dyDescent="0.25">
      <c r="A153" s="1">
        <f t="shared" ca="1" si="10"/>
        <v>14755</v>
      </c>
      <c r="B153" s="5">
        <v>747</v>
      </c>
      <c r="C153" s="6">
        <v>747</v>
      </c>
      <c r="D153" s="6">
        <v>747</v>
      </c>
      <c r="E153" s="7">
        <v>27</v>
      </c>
      <c r="F153" s="8">
        <v>30</v>
      </c>
      <c r="G153" s="8">
        <v>29</v>
      </c>
      <c r="H153" s="9">
        <v>0</v>
      </c>
      <c r="I153" s="10">
        <v>0</v>
      </c>
      <c r="J153" s="11">
        <v>0</v>
      </c>
    </row>
    <row r="154" spans="1:10" x14ac:dyDescent="0.25">
      <c r="A154" s="1">
        <f t="shared" ca="1" si="10"/>
        <v>14756</v>
      </c>
      <c r="B154" s="5">
        <v>748</v>
      </c>
      <c r="C154" s="6">
        <v>748</v>
      </c>
      <c r="D154" s="6">
        <v>748</v>
      </c>
      <c r="E154" s="7">
        <v>28</v>
      </c>
      <c r="F154" s="8">
        <v>29</v>
      </c>
      <c r="G154" s="8">
        <v>28</v>
      </c>
      <c r="H154" s="9">
        <v>0</v>
      </c>
      <c r="I154" s="10">
        <v>20</v>
      </c>
      <c r="J154" s="11">
        <v>90</v>
      </c>
    </row>
    <row r="155" spans="1:10" x14ac:dyDescent="0.25">
      <c r="A155" s="1">
        <f t="shared" ca="1" si="10"/>
        <v>14757</v>
      </c>
      <c r="B155" s="5">
        <v>749</v>
      </c>
      <c r="C155" s="6">
        <v>748</v>
      </c>
      <c r="D155" s="6">
        <v>749</v>
      </c>
      <c r="E155" s="7">
        <v>28</v>
      </c>
      <c r="F155" s="8">
        <v>29</v>
      </c>
      <c r="G155" s="8">
        <v>28</v>
      </c>
      <c r="H155" s="9">
        <v>25</v>
      </c>
      <c r="I155" s="10">
        <v>0</v>
      </c>
      <c r="J155" s="11">
        <v>0</v>
      </c>
    </row>
    <row r="156" spans="1:10" x14ac:dyDescent="0.25">
      <c r="A156" s="1">
        <f t="shared" ca="1" si="10"/>
        <v>14758</v>
      </c>
      <c r="B156" s="5">
        <v>749</v>
      </c>
      <c r="C156" s="6">
        <v>749</v>
      </c>
      <c r="D156" s="6">
        <v>749</v>
      </c>
      <c r="E156" s="7">
        <v>28</v>
      </c>
      <c r="F156" s="8">
        <v>29</v>
      </c>
      <c r="G156" s="8">
        <v>28</v>
      </c>
      <c r="H156" s="9">
        <v>5</v>
      </c>
      <c r="I156" s="10">
        <v>0</v>
      </c>
      <c r="J156" s="11">
        <v>0</v>
      </c>
    </row>
    <row r="157" spans="1:10" x14ac:dyDescent="0.25">
      <c r="A157" s="1">
        <f t="shared" ca="1" si="10"/>
        <v>14759</v>
      </c>
      <c r="B157" s="5">
        <v>749</v>
      </c>
      <c r="C157" s="6">
        <v>749</v>
      </c>
      <c r="D157" s="6">
        <v>750</v>
      </c>
      <c r="E157" s="7">
        <v>27</v>
      </c>
      <c r="F157" s="8">
        <v>29</v>
      </c>
      <c r="G157" s="8">
        <v>29</v>
      </c>
      <c r="H157" s="9">
        <v>0</v>
      </c>
      <c r="I157" s="10">
        <v>0</v>
      </c>
      <c r="J157" s="11">
        <v>0</v>
      </c>
    </row>
    <row r="158" spans="1:10" x14ac:dyDescent="0.25">
      <c r="A158" s="1">
        <f t="shared" ca="1" si="10"/>
        <v>14760</v>
      </c>
      <c r="B158" s="5">
        <v>750</v>
      </c>
      <c r="C158" s="6">
        <v>750</v>
      </c>
      <c r="D158" s="6">
        <v>750</v>
      </c>
      <c r="E158" s="7">
        <v>28</v>
      </c>
      <c r="F158" s="8">
        <v>30</v>
      </c>
      <c r="G158" s="8">
        <v>29</v>
      </c>
      <c r="H158" s="9">
        <v>0</v>
      </c>
      <c r="I158" s="10">
        <v>0</v>
      </c>
      <c r="J158" s="11">
        <v>0</v>
      </c>
    </row>
    <row r="159" spans="1:10" x14ac:dyDescent="0.25">
      <c r="A159" s="1">
        <f t="shared" ca="1" si="10"/>
        <v>14761</v>
      </c>
      <c r="B159" s="5">
        <v>750</v>
      </c>
      <c r="C159" s="6">
        <v>750</v>
      </c>
      <c r="D159" s="6">
        <v>750</v>
      </c>
      <c r="E159" s="7">
        <v>28</v>
      </c>
      <c r="F159" s="8">
        <v>30</v>
      </c>
      <c r="G159" s="8">
        <v>29</v>
      </c>
      <c r="H159" s="9">
        <v>0</v>
      </c>
      <c r="I159" s="10">
        <v>0</v>
      </c>
      <c r="J159" s="11">
        <v>0</v>
      </c>
    </row>
    <row r="160" spans="1:10" x14ac:dyDescent="0.25">
      <c r="A160" s="1">
        <f t="shared" ca="1" si="10"/>
        <v>14762</v>
      </c>
      <c r="B160" s="5">
        <v>751</v>
      </c>
      <c r="C160" s="6">
        <v>750</v>
      </c>
      <c r="D160" s="6">
        <v>750</v>
      </c>
      <c r="E160" s="7">
        <v>28</v>
      </c>
      <c r="F160" s="8">
        <v>30</v>
      </c>
      <c r="G160" s="8">
        <v>29</v>
      </c>
      <c r="H160" s="9">
        <v>0</v>
      </c>
      <c r="I160" s="10">
        <v>0</v>
      </c>
      <c r="J160" s="11">
        <v>0</v>
      </c>
    </row>
    <row r="161" spans="1:10" x14ac:dyDescent="0.25">
      <c r="A161" s="1" t="str">
        <f t="shared" ca="1" si="10"/>
        <v>Totaal</v>
      </c>
      <c r="B161" s="28">
        <f>IF(COUNT(B130:B160)&gt;0,AVERAGE(B130:B160),"")</f>
        <v>748.64516129032256</v>
      </c>
      <c r="C161" s="29">
        <f t="shared" ref="C161" si="11">IF(COUNT(C130:C160)&gt;0,AVERAGE(C130:C160),"")</f>
        <v>748.32258064516134</v>
      </c>
      <c r="D161" s="29">
        <f t="shared" ref="D161" si="12">IF(COUNT(D130:D160)&gt;0,AVERAGE(D130:D160),"")</f>
        <v>748.48387096774195</v>
      </c>
      <c r="E161" s="30">
        <f t="shared" ref="E161" si="13">IF(COUNT(E130:E160)&gt;0,AVERAGE(E130:E160),"")</f>
        <v>27.161290322580644</v>
      </c>
      <c r="F161" s="31">
        <f t="shared" ref="F161" si="14">IF(COUNT(F130:F160)&gt;0,AVERAGE(F130:F160),"")</f>
        <v>28.903225806451612</v>
      </c>
      <c r="G161" s="31">
        <f t="shared" ref="G161" si="15">IF(COUNT(G130:G160)&gt;0,AVERAGE(G130:G160),"")</f>
        <v>27.903225806451612</v>
      </c>
      <c r="H161" s="32">
        <f>SUM(H130:H160)/10</f>
        <v>98.3</v>
      </c>
      <c r="I161" s="33">
        <f>SUM(I130:I160)/10</f>
        <v>91.5</v>
      </c>
      <c r="J161" s="34">
        <f>SUM(J130:J160)/10</f>
        <v>111.5</v>
      </c>
    </row>
    <row r="162" spans="1:10" x14ac:dyDescent="0.25">
      <c r="A162" s="1">
        <f t="shared" ca="1" si="10"/>
        <v>14763</v>
      </c>
      <c r="B162" s="5"/>
      <c r="C162" s="6"/>
      <c r="D162" s="6"/>
      <c r="E162" s="7"/>
      <c r="F162" s="8"/>
      <c r="G162" s="8"/>
      <c r="H162" s="9"/>
      <c r="I162" s="10"/>
      <c r="J162" s="11"/>
    </row>
    <row r="163" spans="1:10" x14ac:dyDescent="0.25">
      <c r="A163" s="1">
        <f t="shared" ca="1" si="10"/>
        <v>14764</v>
      </c>
      <c r="B163" s="5"/>
      <c r="C163" s="6"/>
      <c r="D163" s="6"/>
      <c r="E163" s="7"/>
      <c r="F163" s="8"/>
      <c r="G163" s="8"/>
      <c r="H163" s="9"/>
      <c r="I163" s="10"/>
      <c r="J163" s="11"/>
    </row>
    <row r="164" spans="1:10" x14ac:dyDescent="0.25">
      <c r="A164" s="1">
        <f t="shared" ca="1" si="10"/>
        <v>14765</v>
      </c>
      <c r="B164" s="5"/>
      <c r="C164" s="6"/>
      <c r="D164" s="6"/>
      <c r="E164" s="7"/>
      <c r="F164" s="8"/>
      <c r="G164" s="8"/>
      <c r="H164" s="9"/>
      <c r="I164" s="10"/>
      <c r="J164" s="11"/>
    </row>
    <row r="165" spans="1:10" x14ac:dyDescent="0.25">
      <c r="A165" s="1">
        <f t="shared" ca="1" si="10"/>
        <v>14766</v>
      </c>
      <c r="B165" s="5"/>
      <c r="C165" s="6"/>
      <c r="D165" s="6"/>
      <c r="E165" s="7"/>
      <c r="F165" s="8"/>
      <c r="G165" s="8"/>
      <c r="H165" s="9"/>
      <c r="I165" s="10"/>
      <c r="J165" s="11"/>
    </row>
    <row r="166" spans="1:10" x14ac:dyDescent="0.25">
      <c r="A166" s="1">
        <f t="shared" ca="1" si="10"/>
        <v>14767</v>
      </c>
      <c r="B166" s="5"/>
      <c r="C166" s="6"/>
      <c r="D166" s="6"/>
      <c r="E166" s="7"/>
      <c r="F166" s="8"/>
      <c r="G166" s="8"/>
      <c r="H166" s="9"/>
      <c r="I166" s="10"/>
      <c r="J166" s="11"/>
    </row>
    <row r="167" spans="1:10" x14ac:dyDescent="0.25">
      <c r="A167" s="1">
        <f t="shared" ca="1" si="10"/>
        <v>14768</v>
      </c>
      <c r="B167" s="5"/>
      <c r="C167" s="6"/>
      <c r="D167" s="6"/>
      <c r="E167" s="7"/>
      <c r="F167" s="8"/>
      <c r="G167" s="8"/>
      <c r="H167" s="9"/>
      <c r="I167" s="10"/>
      <c r="J167" s="11"/>
    </row>
    <row r="168" spans="1:10" x14ac:dyDescent="0.25">
      <c r="A168" s="1">
        <f t="shared" ca="1" si="10"/>
        <v>14769</v>
      </c>
      <c r="B168" s="5"/>
      <c r="C168" s="6"/>
      <c r="D168" s="6"/>
      <c r="E168" s="7"/>
      <c r="F168" s="8"/>
      <c r="G168" s="8"/>
      <c r="H168" s="9"/>
      <c r="I168" s="10"/>
      <c r="J168" s="11"/>
    </row>
    <row r="169" spans="1:10" x14ac:dyDescent="0.25">
      <c r="A169" s="1">
        <f t="shared" ca="1" si="10"/>
        <v>14770</v>
      </c>
      <c r="B169" s="5"/>
      <c r="C169" s="6"/>
      <c r="D169" s="6"/>
      <c r="E169" s="7"/>
      <c r="F169" s="8"/>
      <c r="G169" s="8"/>
      <c r="H169" s="9"/>
      <c r="I169" s="10"/>
      <c r="J169" s="11"/>
    </row>
    <row r="170" spans="1:10" x14ac:dyDescent="0.25">
      <c r="A170" s="1">
        <f t="shared" ca="1" si="10"/>
        <v>14771</v>
      </c>
      <c r="B170" s="5"/>
      <c r="C170" s="6"/>
      <c r="D170" s="6"/>
      <c r="E170" s="7"/>
      <c r="F170" s="8"/>
      <c r="G170" s="8"/>
      <c r="H170" s="9"/>
      <c r="I170" s="10"/>
      <c r="J170" s="11"/>
    </row>
    <row r="171" spans="1:10" x14ac:dyDescent="0.25">
      <c r="A171" s="1">
        <f t="shared" ca="1" si="10"/>
        <v>14772</v>
      </c>
      <c r="B171" s="5"/>
      <c r="C171" s="6"/>
      <c r="D171" s="6"/>
      <c r="E171" s="7"/>
      <c r="F171" s="8"/>
      <c r="G171" s="8"/>
      <c r="H171" s="9"/>
      <c r="I171" s="10"/>
      <c r="J171" s="11"/>
    </row>
    <row r="172" spans="1:10" x14ac:dyDescent="0.25">
      <c r="A172" s="1">
        <f t="shared" ca="1" si="10"/>
        <v>14773</v>
      </c>
      <c r="B172" s="5"/>
      <c r="C172" s="6"/>
      <c r="D172" s="6"/>
      <c r="E172" s="7"/>
      <c r="F172" s="8"/>
      <c r="G172" s="8"/>
      <c r="H172" s="9"/>
      <c r="I172" s="10"/>
      <c r="J172" s="11"/>
    </row>
    <row r="173" spans="1:10" x14ac:dyDescent="0.25">
      <c r="A173" s="1">
        <f t="shared" ca="1" si="10"/>
        <v>14774</v>
      </c>
      <c r="B173" s="5"/>
      <c r="C173" s="6"/>
      <c r="D173" s="6"/>
      <c r="E173" s="7"/>
      <c r="F173" s="8"/>
      <c r="G173" s="8"/>
      <c r="H173" s="9"/>
      <c r="I173" s="10"/>
      <c r="J173" s="11"/>
    </row>
    <row r="174" spans="1:10" x14ac:dyDescent="0.25">
      <c r="A174" s="1">
        <f t="shared" ca="1" si="10"/>
        <v>14775</v>
      </c>
      <c r="B174" s="5"/>
      <c r="C174" s="6"/>
      <c r="D174" s="6"/>
      <c r="E174" s="7"/>
      <c r="F174" s="8"/>
      <c r="G174" s="8"/>
      <c r="H174" s="9"/>
      <c r="I174" s="10"/>
      <c r="J174" s="11"/>
    </row>
    <row r="175" spans="1:10" x14ac:dyDescent="0.25">
      <c r="A175" s="1">
        <f t="shared" ca="1" si="10"/>
        <v>14776</v>
      </c>
      <c r="B175" s="5"/>
      <c r="C175" s="6"/>
      <c r="D175" s="6"/>
      <c r="E175" s="7"/>
      <c r="F175" s="8"/>
      <c r="G175" s="8"/>
      <c r="H175" s="9"/>
      <c r="I175" s="10"/>
      <c r="J175" s="11"/>
    </row>
    <row r="176" spans="1:10" x14ac:dyDescent="0.25">
      <c r="A176" s="1">
        <f t="shared" ca="1" si="10"/>
        <v>14777</v>
      </c>
      <c r="B176" s="5"/>
      <c r="C176" s="6"/>
      <c r="D176" s="6"/>
      <c r="E176" s="7"/>
      <c r="F176" s="8"/>
      <c r="G176" s="8"/>
      <c r="H176" s="9"/>
      <c r="I176" s="10"/>
      <c r="J176" s="11"/>
    </row>
    <row r="177" spans="1:10" x14ac:dyDescent="0.25">
      <c r="A177" s="1">
        <f t="shared" ca="1" si="10"/>
        <v>14778</v>
      </c>
      <c r="B177" s="5"/>
      <c r="C177" s="6"/>
      <c r="D177" s="6"/>
      <c r="E177" s="7"/>
      <c r="F177" s="8"/>
      <c r="G177" s="8"/>
      <c r="H177" s="9"/>
      <c r="I177" s="10"/>
      <c r="J177" s="11"/>
    </row>
    <row r="178" spans="1:10" x14ac:dyDescent="0.25">
      <c r="A178" s="1">
        <f t="shared" ca="1" si="10"/>
        <v>14779</v>
      </c>
      <c r="B178" s="5"/>
      <c r="C178" s="6"/>
      <c r="D178" s="6"/>
      <c r="E178" s="7"/>
      <c r="F178" s="8"/>
      <c r="G178" s="8"/>
      <c r="H178" s="9"/>
      <c r="I178" s="10"/>
      <c r="J178" s="11"/>
    </row>
    <row r="179" spans="1:10" x14ac:dyDescent="0.25">
      <c r="A179" s="1">
        <f t="shared" ca="1" si="10"/>
        <v>14780</v>
      </c>
      <c r="B179" s="5"/>
      <c r="C179" s="6"/>
      <c r="D179" s="6"/>
      <c r="E179" s="7"/>
      <c r="F179" s="8"/>
      <c r="G179" s="8"/>
      <c r="H179" s="9"/>
      <c r="I179" s="10"/>
      <c r="J179" s="11"/>
    </row>
    <row r="180" spans="1:10" x14ac:dyDescent="0.25">
      <c r="A180" s="1">
        <f t="shared" ca="1" si="10"/>
        <v>14781</v>
      </c>
      <c r="B180" s="5"/>
      <c r="C180" s="6"/>
      <c r="D180" s="6"/>
      <c r="E180" s="7"/>
      <c r="F180" s="8"/>
      <c r="G180" s="8"/>
      <c r="H180" s="9"/>
      <c r="I180" s="10"/>
      <c r="J180" s="11"/>
    </row>
    <row r="181" spans="1:10" x14ac:dyDescent="0.25">
      <c r="A181" s="1">
        <f t="shared" ca="1" si="10"/>
        <v>14782</v>
      </c>
      <c r="B181" s="5"/>
      <c r="C181" s="6"/>
      <c r="D181" s="6"/>
      <c r="E181" s="7"/>
      <c r="F181" s="8"/>
      <c r="G181" s="8"/>
      <c r="H181" s="9"/>
      <c r="I181" s="10"/>
      <c r="J181" s="11"/>
    </row>
    <row r="182" spans="1:10" x14ac:dyDescent="0.25">
      <c r="A182" s="1">
        <f t="shared" ca="1" si="10"/>
        <v>14783</v>
      </c>
      <c r="B182" s="5"/>
      <c r="C182" s="6"/>
      <c r="D182" s="6"/>
      <c r="E182" s="7"/>
      <c r="F182" s="8"/>
      <c r="G182" s="8"/>
      <c r="H182" s="9"/>
      <c r="I182" s="10"/>
      <c r="J182" s="11"/>
    </row>
    <row r="183" spans="1:10" x14ac:dyDescent="0.25">
      <c r="A183" s="1">
        <f t="shared" ca="1" si="10"/>
        <v>14784</v>
      </c>
      <c r="B183" s="5"/>
      <c r="C183" s="6"/>
      <c r="D183" s="6"/>
      <c r="E183" s="7"/>
      <c r="F183" s="8"/>
      <c r="G183" s="8"/>
      <c r="H183" s="9"/>
      <c r="I183" s="10"/>
      <c r="J183" s="11"/>
    </row>
    <row r="184" spans="1:10" x14ac:dyDescent="0.25">
      <c r="A184" s="1">
        <f t="shared" ca="1" si="10"/>
        <v>14785</v>
      </c>
      <c r="B184" s="5"/>
      <c r="C184" s="6"/>
      <c r="D184" s="6"/>
      <c r="E184" s="7"/>
      <c r="F184" s="8"/>
      <c r="G184" s="8"/>
      <c r="H184" s="9"/>
      <c r="I184" s="10"/>
      <c r="J184" s="11"/>
    </row>
    <row r="185" spans="1:10" x14ac:dyDescent="0.25">
      <c r="A185" s="1">
        <f t="shared" ca="1" si="10"/>
        <v>14786</v>
      </c>
      <c r="B185" s="5"/>
      <c r="C185" s="6"/>
      <c r="D185" s="6"/>
      <c r="E185" s="7"/>
      <c r="F185" s="8"/>
      <c r="G185" s="8"/>
      <c r="H185" s="9"/>
      <c r="I185" s="10"/>
      <c r="J185" s="11"/>
    </row>
    <row r="186" spans="1:10" x14ac:dyDescent="0.25">
      <c r="A186" s="1">
        <f t="shared" ca="1" si="10"/>
        <v>14787</v>
      </c>
      <c r="B186" s="5"/>
      <c r="C186" s="6"/>
      <c r="D186" s="6"/>
      <c r="E186" s="7"/>
      <c r="F186" s="8"/>
      <c r="G186" s="8"/>
      <c r="H186" s="9"/>
      <c r="I186" s="10"/>
      <c r="J186" s="11"/>
    </row>
    <row r="187" spans="1:10" x14ac:dyDescent="0.25">
      <c r="A187" s="1">
        <f t="shared" ca="1" si="10"/>
        <v>14788</v>
      </c>
      <c r="B187" s="5"/>
      <c r="C187" s="6"/>
      <c r="D187" s="6"/>
      <c r="E187" s="7"/>
      <c r="F187" s="8"/>
      <c r="G187" s="8"/>
      <c r="H187" s="9"/>
      <c r="I187" s="10"/>
      <c r="J187" s="11"/>
    </row>
    <row r="188" spans="1:10" x14ac:dyDescent="0.25">
      <c r="A188" s="1">
        <f t="shared" ca="1" si="10"/>
        <v>14789</v>
      </c>
      <c r="B188" s="5"/>
      <c r="C188" s="6"/>
      <c r="D188" s="6"/>
      <c r="E188" s="7"/>
      <c r="F188" s="8"/>
      <c r="G188" s="8"/>
      <c r="H188" s="9"/>
      <c r="I188" s="10"/>
      <c r="J188" s="11"/>
    </row>
    <row r="189" spans="1:10" x14ac:dyDescent="0.25">
      <c r="A189" s="1">
        <f t="shared" ca="1" si="10"/>
        <v>14790</v>
      </c>
      <c r="B189" s="5"/>
      <c r="C189" s="6"/>
      <c r="D189" s="6"/>
      <c r="E189" s="7"/>
      <c r="F189" s="8"/>
      <c r="G189" s="8"/>
      <c r="H189" s="9"/>
      <c r="I189" s="10"/>
      <c r="J189" s="11"/>
    </row>
    <row r="190" spans="1:10" x14ac:dyDescent="0.25">
      <c r="A190" s="1">
        <f t="shared" ca="1" si="10"/>
        <v>14791</v>
      </c>
      <c r="B190" s="5"/>
      <c r="C190" s="6"/>
      <c r="D190" s="6"/>
      <c r="E190" s="7"/>
      <c r="F190" s="8"/>
      <c r="G190" s="8"/>
      <c r="H190" s="9"/>
      <c r="I190" s="10"/>
      <c r="J190" s="11"/>
    </row>
    <row r="191" spans="1:10" x14ac:dyDescent="0.25">
      <c r="A191" s="1">
        <f t="shared" ca="1" si="10"/>
        <v>14792</v>
      </c>
      <c r="B191" s="5"/>
      <c r="C191" s="6"/>
      <c r="D191" s="6"/>
      <c r="E191" s="7"/>
      <c r="F191" s="8"/>
      <c r="G191" s="8"/>
      <c r="H191" s="9"/>
      <c r="I191" s="10"/>
      <c r="J191" s="11"/>
    </row>
    <row r="192" spans="1:10" x14ac:dyDescent="0.25">
      <c r="A192" s="1" t="str">
        <f t="shared" ca="1" si="10"/>
        <v>Totaal</v>
      </c>
      <c r="B192" s="28" t="str">
        <f t="shared" ref="B192:G192" si="16">IF(COUNT(B162:B191)&gt;0,AVERAGE(B162:B191),"")</f>
        <v/>
      </c>
      <c r="C192" s="29" t="str">
        <f t="shared" si="16"/>
        <v/>
      </c>
      <c r="D192" s="29" t="str">
        <f t="shared" si="16"/>
        <v/>
      </c>
      <c r="E192" s="30" t="str">
        <f t="shared" si="16"/>
        <v/>
      </c>
      <c r="F192" s="31" t="str">
        <f t="shared" si="16"/>
        <v/>
      </c>
      <c r="G192" s="31" t="str">
        <f t="shared" si="16"/>
        <v/>
      </c>
      <c r="H192" s="32">
        <f>SUM(H162:H191)/10</f>
        <v>0</v>
      </c>
      <c r="I192" s="33">
        <f>SUM(I162:I191)/10</f>
        <v>0</v>
      </c>
      <c r="J192" s="34">
        <f>SUM(J162:J191)/10</f>
        <v>0</v>
      </c>
    </row>
    <row r="193" spans="1:10" x14ac:dyDescent="0.25">
      <c r="A193" s="1">
        <f t="shared" ca="1" si="10"/>
        <v>14793</v>
      </c>
      <c r="B193" s="5">
        <v>751</v>
      </c>
      <c r="C193" s="6">
        <v>751</v>
      </c>
      <c r="D193" s="6">
        <v>751</v>
      </c>
      <c r="E193" s="7">
        <v>27</v>
      </c>
      <c r="F193" s="8">
        <v>29</v>
      </c>
      <c r="G193" s="8">
        <v>28</v>
      </c>
      <c r="H193" s="9">
        <v>300</v>
      </c>
      <c r="I193" s="10">
        <v>0</v>
      </c>
      <c r="J193" s="11">
        <v>0</v>
      </c>
    </row>
    <row r="194" spans="1:10" x14ac:dyDescent="0.25">
      <c r="A194" s="1">
        <f t="shared" ca="1" si="10"/>
        <v>14794</v>
      </c>
      <c r="B194" s="5">
        <v>750</v>
      </c>
      <c r="C194" s="6">
        <v>750</v>
      </c>
      <c r="D194" s="6">
        <v>750</v>
      </c>
      <c r="E194" s="7">
        <v>27</v>
      </c>
      <c r="F194" s="8">
        <v>30</v>
      </c>
      <c r="G194" s="8">
        <v>29</v>
      </c>
      <c r="H194" s="9">
        <v>0</v>
      </c>
      <c r="I194" s="10">
        <v>0</v>
      </c>
      <c r="J194" s="11">
        <v>0</v>
      </c>
    </row>
    <row r="195" spans="1:10" x14ac:dyDescent="0.25">
      <c r="A195" s="1">
        <f t="shared" ca="1" si="10"/>
        <v>14795</v>
      </c>
      <c r="B195" s="5">
        <v>750</v>
      </c>
      <c r="C195" s="6">
        <v>750</v>
      </c>
      <c r="D195" s="6">
        <v>750</v>
      </c>
      <c r="E195" s="7">
        <v>27</v>
      </c>
      <c r="F195" s="8">
        <v>30</v>
      </c>
      <c r="G195" s="8">
        <v>29</v>
      </c>
      <c r="H195" s="9">
        <v>4</v>
      </c>
      <c r="I195" s="10">
        <v>0</v>
      </c>
      <c r="J195" s="11">
        <v>0</v>
      </c>
    </row>
    <row r="196" spans="1:10" x14ac:dyDescent="0.25">
      <c r="A196" s="1">
        <f t="shared" ca="1" si="10"/>
        <v>14796</v>
      </c>
      <c r="B196" s="5">
        <v>750</v>
      </c>
      <c r="C196" s="6">
        <v>750</v>
      </c>
      <c r="D196" s="6">
        <v>750</v>
      </c>
      <c r="E196" s="7">
        <v>28</v>
      </c>
      <c r="F196" s="8">
        <v>30</v>
      </c>
      <c r="G196" s="8">
        <v>29</v>
      </c>
      <c r="H196" s="9">
        <v>0</v>
      </c>
      <c r="I196" s="10">
        <v>0</v>
      </c>
      <c r="J196" s="11">
        <v>0</v>
      </c>
    </row>
    <row r="197" spans="1:10" x14ac:dyDescent="0.25">
      <c r="A197" s="1">
        <f t="shared" ca="1" si="10"/>
        <v>14797</v>
      </c>
      <c r="B197" s="5">
        <v>751</v>
      </c>
      <c r="C197" s="6">
        <v>750</v>
      </c>
      <c r="D197" s="6">
        <v>751</v>
      </c>
      <c r="E197" s="7">
        <v>28</v>
      </c>
      <c r="F197" s="8">
        <v>30</v>
      </c>
      <c r="G197" s="8">
        <v>29</v>
      </c>
      <c r="H197" s="9">
        <v>0</v>
      </c>
      <c r="I197" s="10">
        <v>65</v>
      </c>
      <c r="J197" s="11">
        <v>0</v>
      </c>
    </row>
    <row r="198" spans="1:10" x14ac:dyDescent="0.25">
      <c r="A198" s="1">
        <f t="shared" ca="1" si="10"/>
        <v>14798</v>
      </c>
      <c r="B198" s="5">
        <v>750</v>
      </c>
      <c r="C198" s="6">
        <v>750</v>
      </c>
      <c r="D198" s="6">
        <v>750</v>
      </c>
      <c r="E198" s="7">
        <v>27</v>
      </c>
      <c r="F198" s="8">
        <v>29</v>
      </c>
      <c r="G198" s="8">
        <v>28</v>
      </c>
      <c r="H198" s="9">
        <v>100</v>
      </c>
      <c r="I198" s="10">
        <v>75</v>
      </c>
      <c r="J198" s="11">
        <v>0</v>
      </c>
    </row>
    <row r="199" spans="1:10" x14ac:dyDescent="0.25">
      <c r="A199" s="1">
        <f t="shared" ref="A199:A262" ca="1" si="17">IF(ISTEXT(A198),A197+1,IF(MONTH(A198+1)=MONTH(A198),A198+1,"Totaal"))</f>
        <v>14799</v>
      </c>
      <c r="B199" s="5">
        <v>749</v>
      </c>
      <c r="C199" s="6">
        <v>749</v>
      </c>
      <c r="D199" s="6">
        <v>750</v>
      </c>
      <c r="E199" s="7">
        <v>27</v>
      </c>
      <c r="F199" s="8">
        <v>29</v>
      </c>
      <c r="G199" s="8">
        <v>28</v>
      </c>
      <c r="H199" s="9">
        <v>65</v>
      </c>
      <c r="I199" s="10">
        <v>20</v>
      </c>
      <c r="J199" s="11">
        <v>110</v>
      </c>
    </row>
    <row r="200" spans="1:10" x14ac:dyDescent="0.25">
      <c r="A200" s="1">
        <f t="shared" ca="1" si="17"/>
        <v>14800</v>
      </c>
      <c r="B200" s="5">
        <v>751</v>
      </c>
      <c r="C200" s="6">
        <v>751</v>
      </c>
      <c r="D200" s="6">
        <v>752</v>
      </c>
      <c r="E200" s="7">
        <v>27</v>
      </c>
      <c r="F200" s="8">
        <v>31</v>
      </c>
      <c r="G200" s="8">
        <v>30</v>
      </c>
      <c r="H200" s="9">
        <v>35</v>
      </c>
      <c r="I200" s="10">
        <v>0</v>
      </c>
      <c r="J200" s="11">
        <v>75</v>
      </c>
    </row>
    <row r="201" spans="1:10" x14ac:dyDescent="0.25">
      <c r="A201" s="1">
        <f t="shared" ca="1" si="17"/>
        <v>14801</v>
      </c>
      <c r="B201" s="5">
        <v>753</v>
      </c>
      <c r="C201" s="6">
        <v>753</v>
      </c>
      <c r="D201" s="6">
        <v>753</v>
      </c>
      <c r="E201" s="7">
        <v>27</v>
      </c>
      <c r="F201" s="8">
        <v>31</v>
      </c>
      <c r="G201" s="8">
        <v>29</v>
      </c>
      <c r="H201" s="9">
        <v>0</v>
      </c>
      <c r="I201" s="10">
        <v>0</v>
      </c>
      <c r="J201" s="11">
        <v>0</v>
      </c>
    </row>
    <row r="202" spans="1:10" x14ac:dyDescent="0.25">
      <c r="A202" s="1">
        <f t="shared" ca="1" si="17"/>
        <v>14802</v>
      </c>
      <c r="B202" s="5">
        <v>752</v>
      </c>
      <c r="C202" s="6">
        <v>751</v>
      </c>
      <c r="D202" s="6">
        <v>751</v>
      </c>
      <c r="E202" s="7">
        <v>28</v>
      </c>
      <c r="F202" s="8">
        <v>30</v>
      </c>
      <c r="G202" s="8">
        <v>29</v>
      </c>
      <c r="H202" s="9">
        <v>0</v>
      </c>
      <c r="I202" s="10">
        <v>80</v>
      </c>
      <c r="J202" s="11">
        <v>0</v>
      </c>
    </row>
    <row r="203" spans="1:10" x14ac:dyDescent="0.25">
      <c r="A203" s="1">
        <f t="shared" ca="1" si="17"/>
        <v>14803</v>
      </c>
      <c r="B203" s="5">
        <v>751</v>
      </c>
      <c r="C203" s="6">
        <v>750</v>
      </c>
      <c r="D203" s="6">
        <v>750</v>
      </c>
      <c r="E203" s="7">
        <v>27</v>
      </c>
      <c r="F203" s="8">
        <v>30</v>
      </c>
      <c r="G203" s="8">
        <v>29</v>
      </c>
      <c r="H203" s="9">
        <v>60</v>
      </c>
      <c r="I203" s="10">
        <v>20</v>
      </c>
      <c r="J203" s="11">
        <v>0</v>
      </c>
    </row>
    <row r="204" spans="1:10" x14ac:dyDescent="0.25">
      <c r="A204" s="1">
        <f t="shared" ca="1" si="17"/>
        <v>14804</v>
      </c>
      <c r="B204" s="5">
        <v>751</v>
      </c>
      <c r="C204" s="6">
        <v>751</v>
      </c>
      <c r="D204" s="6">
        <v>752</v>
      </c>
      <c r="E204" s="7">
        <v>27</v>
      </c>
      <c r="F204" s="8">
        <v>30</v>
      </c>
      <c r="G204" s="8">
        <v>29</v>
      </c>
      <c r="H204" s="9">
        <v>35</v>
      </c>
      <c r="I204" s="10">
        <v>10</v>
      </c>
      <c r="J204" s="11">
        <v>0</v>
      </c>
    </row>
    <row r="205" spans="1:10" x14ac:dyDescent="0.25">
      <c r="A205" s="1">
        <f t="shared" ca="1" si="17"/>
        <v>14805</v>
      </c>
      <c r="B205" s="5">
        <v>752</v>
      </c>
      <c r="C205" s="6">
        <v>752</v>
      </c>
      <c r="D205" s="6">
        <v>752</v>
      </c>
      <c r="E205" s="7">
        <v>28</v>
      </c>
      <c r="F205" s="8">
        <v>30</v>
      </c>
      <c r="G205" s="8">
        <v>29</v>
      </c>
      <c r="H205" s="9">
        <v>5</v>
      </c>
      <c r="I205" s="10">
        <v>0</v>
      </c>
      <c r="J205" s="11">
        <v>0</v>
      </c>
    </row>
    <row r="206" spans="1:10" x14ac:dyDescent="0.25">
      <c r="A206" s="1">
        <f t="shared" ca="1" si="17"/>
        <v>14806</v>
      </c>
      <c r="B206" s="5">
        <v>751</v>
      </c>
      <c r="C206" s="6">
        <v>750</v>
      </c>
      <c r="D206" s="6">
        <v>750</v>
      </c>
      <c r="E206" s="7">
        <v>28</v>
      </c>
      <c r="F206" s="8">
        <v>30</v>
      </c>
      <c r="G206" s="8">
        <v>29</v>
      </c>
      <c r="H206" s="9">
        <v>0</v>
      </c>
      <c r="I206" s="10">
        <v>30</v>
      </c>
      <c r="J206" s="11">
        <v>50</v>
      </c>
    </row>
    <row r="207" spans="1:10" x14ac:dyDescent="0.25">
      <c r="A207" s="1">
        <f t="shared" ca="1" si="17"/>
        <v>14807</v>
      </c>
      <c r="B207" s="5">
        <v>749</v>
      </c>
      <c r="C207" s="6">
        <v>750</v>
      </c>
      <c r="D207" s="6">
        <v>750</v>
      </c>
      <c r="E207" s="7">
        <v>27</v>
      </c>
      <c r="F207" s="8">
        <v>29</v>
      </c>
      <c r="G207" s="8">
        <v>28</v>
      </c>
      <c r="H207" s="9">
        <v>35</v>
      </c>
      <c r="I207" s="10">
        <v>50</v>
      </c>
      <c r="J207" s="11">
        <v>45</v>
      </c>
    </row>
    <row r="208" spans="1:10" x14ac:dyDescent="0.25">
      <c r="A208" s="1">
        <f t="shared" ca="1" si="17"/>
        <v>14808</v>
      </c>
      <c r="B208" s="5">
        <v>750</v>
      </c>
      <c r="C208" s="6">
        <v>750</v>
      </c>
      <c r="D208" s="6">
        <v>750</v>
      </c>
      <c r="E208" s="7">
        <v>27</v>
      </c>
      <c r="F208" s="8">
        <v>30</v>
      </c>
      <c r="G208" s="8">
        <v>29</v>
      </c>
      <c r="H208" s="9">
        <v>55</v>
      </c>
      <c r="I208" s="10">
        <v>75</v>
      </c>
      <c r="J208" s="11">
        <v>33</v>
      </c>
    </row>
    <row r="209" spans="1:10" x14ac:dyDescent="0.25">
      <c r="A209" s="1">
        <f t="shared" ca="1" si="17"/>
        <v>14809</v>
      </c>
      <c r="B209" s="5">
        <v>750</v>
      </c>
      <c r="C209" s="6">
        <v>750</v>
      </c>
      <c r="D209" s="6">
        <v>751</v>
      </c>
      <c r="E209" s="7">
        <v>27</v>
      </c>
      <c r="F209" s="8">
        <v>29</v>
      </c>
      <c r="G209" s="8">
        <v>28</v>
      </c>
      <c r="H209" s="9">
        <v>85</v>
      </c>
      <c r="I209" s="10">
        <v>0</v>
      </c>
      <c r="J209" s="11">
        <v>136</v>
      </c>
    </row>
    <row r="210" spans="1:10" x14ac:dyDescent="0.25">
      <c r="A210" s="1">
        <f t="shared" ca="1" si="17"/>
        <v>14810</v>
      </c>
      <c r="B210" s="5">
        <v>751</v>
      </c>
      <c r="C210" s="6">
        <v>750</v>
      </c>
      <c r="D210" s="6">
        <v>750</v>
      </c>
      <c r="E210" s="7">
        <v>28</v>
      </c>
      <c r="F210" s="8">
        <v>30</v>
      </c>
      <c r="G210" s="8">
        <v>29</v>
      </c>
      <c r="H210" s="9">
        <v>5</v>
      </c>
      <c r="I210" s="10">
        <v>0</v>
      </c>
      <c r="J210" s="11">
        <v>0</v>
      </c>
    </row>
    <row r="211" spans="1:10" x14ac:dyDescent="0.25">
      <c r="A211" s="1">
        <f t="shared" ca="1" si="17"/>
        <v>14811</v>
      </c>
      <c r="B211" s="5">
        <v>750</v>
      </c>
      <c r="C211" s="6">
        <v>750</v>
      </c>
      <c r="D211" s="6">
        <v>749</v>
      </c>
      <c r="E211" s="7">
        <v>27</v>
      </c>
      <c r="F211" s="8">
        <v>29</v>
      </c>
      <c r="G211" s="8">
        <v>28</v>
      </c>
      <c r="H211" s="9">
        <v>0</v>
      </c>
      <c r="I211" s="10">
        <v>20</v>
      </c>
      <c r="J211" s="11">
        <v>0</v>
      </c>
    </row>
    <row r="212" spans="1:10" x14ac:dyDescent="0.25">
      <c r="A212" s="1">
        <f t="shared" ca="1" si="17"/>
        <v>14812</v>
      </c>
      <c r="B212" s="5">
        <v>749</v>
      </c>
      <c r="C212" s="6">
        <v>749</v>
      </c>
      <c r="D212" s="6">
        <v>750</v>
      </c>
      <c r="E212" s="7">
        <v>27</v>
      </c>
      <c r="F212" s="8">
        <v>29</v>
      </c>
      <c r="G212" s="8">
        <v>28</v>
      </c>
      <c r="H212" s="9">
        <v>33</v>
      </c>
      <c r="I212" s="10">
        <v>0</v>
      </c>
      <c r="J212" s="11">
        <v>0</v>
      </c>
    </row>
    <row r="213" spans="1:10" x14ac:dyDescent="0.25">
      <c r="A213" s="1">
        <f t="shared" ca="1" si="17"/>
        <v>14813</v>
      </c>
      <c r="B213" s="5">
        <v>750</v>
      </c>
      <c r="C213" s="6">
        <v>750</v>
      </c>
      <c r="D213" s="6">
        <v>750</v>
      </c>
      <c r="E213" s="7">
        <v>27</v>
      </c>
      <c r="F213" s="8">
        <v>29</v>
      </c>
      <c r="G213" s="8">
        <v>28</v>
      </c>
      <c r="H213" s="9">
        <v>15</v>
      </c>
      <c r="I213" s="10">
        <v>50</v>
      </c>
      <c r="J213" s="11">
        <v>65</v>
      </c>
    </row>
    <row r="214" spans="1:10" x14ac:dyDescent="0.25">
      <c r="A214" s="1">
        <f t="shared" ca="1" si="17"/>
        <v>14814</v>
      </c>
      <c r="B214" s="5">
        <v>750</v>
      </c>
      <c r="C214" s="6">
        <v>750</v>
      </c>
      <c r="D214" s="6">
        <v>750</v>
      </c>
      <c r="E214" s="7">
        <v>28</v>
      </c>
      <c r="F214" s="8">
        <v>29</v>
      </c>
      <c r="G214" s="8">
        <v>28</v>
      </c>
      <c r="H214" s="9">
        <v>57</v>
      </c>
      <c r="I214" s="10">
        <v>35</v>
      </c>
      <c r="J214" s="11">
        <v>85</v>
      </c>
    </row>
    <row r="215" spans="1:10" x14ac:dyDescent="0.25">
      <c r="A215" s="1">
        <f t="shared" ca="1" si="17"/>
        <v>14815</v>
      </c>
      <c r="B215" s="5">
        <v>750</v>
      </c>
      <c r="C215" s="6">
        <v>750</v>
      </c>
      <c r="D215" s="6">
        <v>750</v>
      </c>
      <c r="E215" s="7">
        <v>27</v>
      </c>
      <c r="F215" s="8">
        <v>29</v>
      </c>
      <c r="G215" s="8">
        <v>28</v>
      </c>
      <c r="H215" s="9">
        <v>35</v>
      </c>
      <c r="I215" s="10">
        <v>60</v>
      </c>
      <c r="J215" s="11">
        <v>120</v>
      </c>
    </row>
    <row r="216" spans="1:10" x14ac:dyDescent="0.25">
      <c r="A216" s="1">
        <f t="shared" ca="1" si="17"/>
        <v>14816</v>
      </c>
      <c r="B216" s="5">
        <v>750</v>
      </c>
      <c r="C216" s="6">
        <v>750</v>
      </c>
      <c r="D216" s="6">
        <v>750</v>
      </c>
      <c r="E216" s="7">
        <v>27</v>
      </c>
      <c r="F216" s="8">
        <v>29</v>
      </c>
      <c r="G216" s="8">
        <v>28</v>
      </c>
      <c r="H216" s="9">
        <v>45</v>
      </c>
      <c r="I216" s="10">
        <v>0</v>
      </c>
      <c r="J216" s="11">
        <v>15</v>
      </c>
    </row>
    <row r="217" spans="1:10" x14ac:dyDescent="0.25">
      <c r="A217" s="1">
        <f t="shared" ca="1" si="17"/>
        <v>14817</v>
      </c>
      <c r="B217" s="5">
        <v>750</v>
      </c>
      <c r="C217" s="6">
        <v>750</v>
      </c>
      <c r="D217" s="6">
        <v>750</v>
      </c>
      <c r="E217" s="7">
        <v>27</v>
      </c>
      <c r="F217" s="8">
        <v>29</v>
      </c>
      <c r="G217" s="8">
        <v>28</v>
      </c>
      <c r="H217" s="9">
        <v>8</v>
      </c>
      <c r="I217" s="10">
        <v>0</v>
      </c>
      <c r="J217" s="11">
        <v>0</v>
      </c>
    </row>
    <row r="218" spans="1:10" x14ac:dyDescent="0.25">
      <c r="A218" s="1">
        <f t="shared" ca="1" si="17"/>
        <v>14818</v>
      </c>
      <c r="B218" s="5">
        <v>750</v>
      </c>
      <c r="C218" s="6">
        <v>750</v>
      </c>
      <c r="D218" s="6">
        <v>750</v>
      </c>
      <c r="E218" s="7">
        <v>27</v>
      </c>
      <c r="F218" s="8">
        <v>29</v>
      </c>
      <c r="G218" s="8">
        <v>28</v>
      </c>
      <c r="H218" s="9">
        <v>0</v>
      </c>
      <c r="I218" s="10">
        <v>0</v>
      </c>
      <c r="J218" s="11">
        <v>0</v>
      </c>
    </row>
    <row r="219" spans="1:10" x14ac:dyDescent="0.25">
      <c r="A219" s="1">
        <f t="shared" ca="1" si="17"/>
        <v>14819</v>
      </c>
      <c r="B219" s="5">
        <v>750</v>
      </c>
      <c r="C219" s="6">
        <v>750</v>
      </c>
      <c r="D219" s="6">
        <v>749</v>
      </c>
      <c r="E219" s="7">
        <v>28</v>
      </c>
      <c r="F219" s="8">
        <v>30</v>
      </c>
      <c r="G219" s="8">
        <v>29</v>
      </c>
      <c r="H219" s="9">
        <v>12</v>
      </c>
      <c r="I219" s="10">
        <v>0</v>
      </c>
      <c r="J219" s="11">
        <v>30</v>
      </c>
    </row>
    <row r="220" spans="1:10" x14ac:dyDescent="0.25">
      <c r="A220" s="1">
        <f t="shared" ca="1" si="17"/>
        <v>14820</v>
      </c>
      <c r="B220" s="5">
        <v>750</v>
      </c>
      <c r="C220" s="6">
        <v>750</v>
      </c>
      <c r="D220" s="6">
        <v>751</v>
      </c>
      <c r="E220" s="7">
        <v>28</v>
      </c>
      <c r="F220" s="8">
        <v>30</v>
      </c>
      <c r="G220" s="8">
        <v>29</v>
      </c>
      <c r="H220" s="9">
        <v>0</v>
      </c>
      <c r="I220" s="10">
        <v>0</v>
      </c>
      <c r="J220" s="11">
        <v>0</v>
      </c>
    </row>
    <row r="221" spans="1:10" x14ac:dyDescent="0.25">
      <c r="A221" s="1">
        <f t="shared" ca="1" si="17"/>
        <v>14821</v>
      </c>
      <c r="B221" s="5">
        <v>751</v>
      </c>
      <c r="C221" s="6">
        <v>750</v>
      </c>
      <c r="D221" s="6">
        <v>750</v>
      </c>
      <c r="E221" s="7">
        <v>28</v>
      </c>
      <c r="F221" s="8">
        <v>31</v>
      </c>
      <c r="G221" s="8">
        <v>29</v>
      </c>
      <c r="H221" s="9">
        <v>0</v>
      </c>
      <c r="I221" s="10">
        <v>0</v>
      </c>
      <c r="J221" s="11">
        <v>0</v>
      </c>
    </row>
    <row r="222" spans="1:10" x14ac:dyDescent="0.25">
      <c r="A222" s="1">
        <f t="shared" ca="1" si="17"/>
        <v>14822</v>
      </c>
      <c r="B222" s="5">
        <v>750</v>
      </c>
      <c r="C222" s="6">
        <v>750</v>
      </c>
      <c r="D222" s="6">
        <v>750</v>
      </c>
      <c r="E222" s="7">
        <v>28</v>
      </c>
      <c r="F222" s="8">
        <v>31</v>
      </c>
      <c r="G222" s="8">
        <v>29</v>
      </c>
      <c r="H222" s="9">
        <v>0</v>
      </c>
      <c r="I222" s="10">
        <v>0</v>
      </c>
      <c r="J222" s="11">
        <v>0</v>
      </c>
    </row>
    <row r="223" spans="1:10" x14ac:dyDescent="0.25">
      <c r="A223" s="1">
        <f t="shared" ca="1" si="17"/>
        <v>14823</v>
      </c>
      <c r="B223" s="5">
        <v>750</v>
      </c>
      <c r="C223" s="6">
        <v>750</v>
      </c>
      <c r="D223" s="6">
        <v>749</v>
      </c>
      <c r="E223" s="7">
        <v>27</v>
      </c>
      <c r="F223" s="8">
        <v>30</v>
      </c>
      <c r="G223" s="8">
        <v>29</v>
      </c>
      <c r="H223" s="9">
        <v>0</v>
      </c>
      <c r="I223" s="10">
        <v>0</v>
      </c>
      <c r="J223" s="11">
        <v>0</v>
      </c>
    </row>
    <row r="224" spans="1:10" x14ac:dyDescent="0.25">
      <c r="A224" s="1" t="str">
        <f t="shared" ca="1" si="17"/>
        <v>Totaal</v>
      </c>
      <c r="B224" s="28">
        <f>IF(COUNT(B193:B223)&gt;0,AVERAGE(B193:B223),"")</f>
        <v>750.38709677419354</v>
      </c>
      <c r="C224" s="29">
        <f t="shared" ref="C224" si="18">IF(COUNT(C193:C223)&gt;0,AVERAGE(C193:C223),"")</f>
        <v>750.22580645161293</v>
      </c>
      <c r="D224" s="29">
        <f t="shared" ref="D224" si="19">IF(COUNT(D193:D223)&gt;0,AVERAGE(D193:D223),"")</f>
        <v>750.35483870967744</v>
      </c>
      <c r="E224" s="30">
        <f t="shared" ref="E224" si="20">IF(COUNT(E193:E223)&gt;0,AVERAGE(E193:E223),"")</f>
        <v>27.35483870967742</v>
      </c>
      <c r="F224" s="31">
        <f t="shared" ref="F224" si="21">IF(COUNT(F193:F223)&gt;0,AVERAGE(F193:F223),"")</f>
        <v>29.70967741935484</v>
      </c>
      <c r="G224" s="31">
        <f t="shared" ref="G224" si="22">IF(COUNT(G193:G223)&gt;0,AVERAGE(G193:G223),"")</f>
        <v>28.612903225806452</v>
      </c>
      <c r="H224" s="32">
        <f>SUM(H193:H223)/10</f>
        <v>98.9</v>
      </c>
      <c r="I224" s="33">
        <f>SUM(I193:I223)/10</f>
        <v>59</v>
      </c>
      <c r="J224" s="34">
        <f>SUM(J193:J223)/10</f>
        <v>76.400000000000006</v>
      </c>
    </row>
    <row r="225" spans="1:10" x14ac:dyDescent="0.25">
      <c r="A225" s="1">
        <f t="shared" ca="1" si="17"/>
        <v>14824</v>
      </c>
      <c r="B225" s="5">
        <v>750</v>
      </c>
      <c r="C225" s="6">
        <v>750</v>
      </c>
      <c r="D225" s="6">
        <v>750</v>
      </c>
      <c r="E225" s="7">
        <v>28</v>
      </c>
      <c r="F225" s="8">
        <v>30</v>
      </c>
      <c r="G225" s="8">
        <v>28</v>
      </c>
      <c r="H225" s="9">
        <v>0</v>
      </c>
      <c r="I225" s="10">
        <v>0</v>
      </c>
      <c r="J225" s="11">
        <v>0</v>
      </c>
    </row>
    <row r="226" spans="1:10" x14ac:dyDescent="0.25">
      <c r="A226" s="1">
        <f t="shared" ca="1" si="17"/>
        <v>14825</v>
      </c>
      <c r="B226" s="5">
        <v>751</v>
      </c>
      <c r="C226" s="6">
        <v>751</v>
      </c>
      <c r="D226" s="6">
        <v>751</v>
      </c>
      <c r="E226" s="7">
        <v>28</v>
      </c>
      <c r="F226" s="8">
        <v>31</v>
      </c>
      <c r="G226" s="8">
        <v>28</v>
      </c>
      <c r="H226" s="9">
        <v>16</v>
      </c>
      <c r="I226" s="10">
        <v>40</v>
      </c>
      <c r="J226" s="11">
        <v>0</v>
      </c>
    </row>
    <row r="227" spans="1:10" x14ac:dyDescent="0.25">
      <c r="A227" s="1">
        <f t="shared" ca="1" si="17"/>
        <v>14826</v>
      </c>
      <c r="B227" s="5">
        <v>751</v>
      </c>
      <c r="C227" s="6">
        <v>750</v>
      </c>
      <c r="D227" s="6">
        <v>751</v>
      </c>
      <c r="E227" s="7">
        <v>28</v>
      </c>
      <c r="F227" s="8">
        <v>31</v>
      </c>
      <c r="G227" s="8">
        <v>28</v>
      </c>
      <c r="H227" s="9">
        <v>40</v>
      </c>
      <c r="I227" s="10">
        <v>0</v>
      </c>
      <c r="J227" s="11">
        <v>0</v>
      </c>
    </row>
    <row r="228" spans="1:10" x14ac:dyDescent="0.25">
      <c r="A228" s="1">
        <f t="shared" ca="1" si="17"/>
        <v>14827</v>
      </c>
      <c r="B228" s="5">
        <v>750</v>
      </c>
      <c r="C228" s="6">
        <v>749</v>
      </c>
      <c r="D228" s="6">
        <v>749</v>
      </c>
      <c r="E228" s="7">
        <v>28</v>
      </c>
      <c r="F228" s="8">
        <v>30</v>
      </c>
      <c r="G228" s="8">
        <v>28</v>
      </c>
      <c r="H228" s="9">
        <v>0</v>
      </c>
      <c r="I228" s="10">
        <v>135</v>
      </c>
      <c r="J228" s="11">
        <v>35</v>
      </c>
    </row>
    <row r="229" spans="1:10" x14ac:dyDescent="0.25">
      <c r="A229" s="1">
        <f t="shared" ca="1" si="17"/>
        <v>14828</v>
      </c>
      <c r="B229" s="5">
        <v>747</v>
      </c>
      <c r="C229" s="6">
        <v>746</v>
      </c>
      <c r="D229" s="6">
        <v>747</v>
      </c>
      <c r="E229" s="7">
        <v>26</v>
      </c>
      <c r="F229" s="8">
        <v>27</v>
      </c>
      <c r="G229" s="8">
        <v>26</v>
      </c>
      <c r="H229" s="9">
        <v>323</v>
      </c>
      <c r="I229" s="10">
        <v>160</v>
      </c>
      <c r="J229" s="11">
        <v>250</v>
      </c>
    </row>
    <row r="230" spans="1:10" x14ac:dyDescent="0.25">
      <c r="A230" s="1">
        <f t="shared" ca="1" si="17"/>
        <v>14829</v>
      </c>
      <c r="B230" s="5">
        <v>748</v>
      </c>
      <c r="C230" s="6">
        <v>748</v>
      </c>
      <c r="D230" s="6">
        <v>748</v>
      </c>
      <c r="E230" s="7">
        <v>27</v>
      </c>
      <c r="F230" s="8">
        <v>32</v>
      </c>
      <c r="G230" s="8">
        <v>28</v>
      </c>
      <c r="H230" s="9">
        <v>43</v>
      </c>
      <c r="I230" s="10">
        <v>0</v>
      </c>
      <c r="J230" s="11">
        <v>0</v>
      </c>
    </row>
    <row r="231" spans="1:10" x14ac:dyDescent="0.25">
      <c r="A231" s="1">
        <f t="shared" ca="1" si="17"/>
        <v>14830</v>
      </c>
      <c r="B231" s="5">
        <v>748</v>
      </c>
      <c r="C231" s="6">
        <v>748</v>
      </c>
      <c r="D231" s="6">
        <v>748</v>
      </c>
      <c r="E231" s="7">
        <v>28</v>
      </c>
      <c r="F231" s="8">
        <v>30</v>
      </c>
      <c r="G231" s="8">
        <v>28</v>
      </c>
      <c r="H231" s="9">
        <v>0</v>
      </c>
      <c r="I231" s="10">
        <v>0</v>
      </c>
      <c r="J231" s="11">
        <v>0</v>
      </c>
    </row>
    <row r="232" spans="1:10" x14ac:dyDescent="0.25">
      <c r="A232" s="1">
        <f t="shared" ca="1" si="17"/>
        <v>14831</v>
      </c>
      <c r="B232" s="5">
        <v>748</v>
      </c>
      <c r="C232" s="6">
        <v>748</v>
      </c>
      <c r="D232" s="6">
        <v>748</v>
      </c>
      <c r="E232" s="7">
        <v>28</v>
      </c>
      <c r="F232" s="8">
        <v>32</v>
      </c>
      <c r="G232" s="8">
        <v>28</v>
      </c>
      <c r="H232" s="9">
        <v>0</v>
      </c>
      <c r="I232" s="10">
        <v>0</v>
      </c>
      <c r="J232" s="11">
        <v>0</v>
      </c>
    </row>
    <row r="233" spans="1:10" x14ac:dyDescent="0.25">
      <c r="A233" s="1">
        <f t="shared" ca="1" si="17"/>
        <v>14832</v>
      </c>
      <c r="B233" s="5">
        <v>749</v>
      </c>
      <c r="C233" s="6">
        <v>749</v>
      </c>
      <c r="D233" s="6">
        <v>748</v>
      </c>
      <c r="E233" s="7">
        <v>27</v>
      </c>
      <c r="F233" s="8">
        <v>31</v>
      </c>
      <c r="G233" s="8">
        <v>28</v>
      </c>
      <c r="H233" s="9">
        <v>0</v>
      </c>
      <c r="I233" s="10">
        <v>30</v>
      </c>
      <c r="J233" s="11">
        <v>0</v>
      </c>
    </row>
    <row r="234" spans="1:10" x14ac:dyDescent="0.25">
      <c r="A234" s="1">
        <f t="shared" ca="1" si="17"/>
        <v>14833</v>
      </c>
      <c r="B234" s="5">
        <v>749</v>
      </c>
      <c r="C234" s="6">
        <v>748</v>
      </c>
      <c r="D234" s="6">
        <v>748</v>
      </c>
      <c r="E234" s="7">
        <v>27</v>
      </c>
      <c r="F234" s="8">
        <v>32</v>
      </c>
      <c r="G234" s="8">
        <v>28</v>
      </c>
      <c r="H234" s="9">
        <v>0</v>
      </c>
      <c r="I234" s="10">
        <v>0</v>
      </c>
      <c r="J234" s="11">
        <v>30</v>
      </c>
    </row>
    <row r="235" spans="1:10" x14ac:dyDescent="0.25">
      <c r="A235" s="1">
        <f t="shared" ca="1" si="17"/>
        <v>14834</v>
      </c>
      <c r="B235" s="5">
        <v>748</v>
      </c>
      <c r="C235" s="6">
        <v>747</v>
      </c>
      <c r="D235" s="6">
        <v>747</v>
      </c>
      <c r="E235" s="7">
        <v>28</v>
      </c>
      <c r="F235" s="8">
        <v>32</v>
      </c>
      <c r="G235" s="8">
        <v>28</v>
      </c>
      <c r="H235" s="9">
        <v>0</v>
      </c>
      <c r="I235" s="10">
        <v>0</v>
      </c>
      <c r="J235" s="11">
        <v>15</v>
      </c>
    </row>
    <row r="236" spans="1:10" x14ac:dyDescent="0.25">
      <c r="A236" s="1">
        <f t="shared" ca="1" si="17"/>
        <v>14835</v>
      </c>
      <c r="B236" s="5">
        <v>748</v>
      </c>
      <c r="C236" s="6">
        <v>748</v>
      </c>
      <c r="D236" s="6">
        <v>748</v>
      </c>
      <c r="E236" s="7">
        <v>27</v>
      </c>
      <c r="F236" s="8">
        <v>32</v>
      </c>
      <c r="G236" s="8">
        <v>29</v>
      </c>
      <c r="H236" s="9">
        <v>55</v>
      </c>
      <c r="I236" s="10">
        <v>0</v>
      </c>
      <c r="J236" s="11">
        <v>20</v>
      </c>
    </row>
    <row r="237" spans="1:10" x14ac:dyDescent="0.25">
      <c r="A237" s="1">
        <f t="shared" ca="1" si="17"/>
        <v>14836</v>
      </c>
      <c r="B237" s="5">
        <v>749</v>
      </c>
      <c r="C237" s="6">
        <v>748</v>
      </c>
      <c r="D237" s="6">
        <v>749</v>
      </c>
      <c r="E237" s="7">
        <v>28</v>
      </c>
      <c r="F237" s="8">
        <v>32</v>
      </c>
      <c r="G237" s="8">
        <v>29</v>
      </c>
      <c r="H237" s="9">
        <v>0</v>
      </c>
      <c r="I237" s="10">
        <v>0</v>
      </c>
      <c r="J237" s="11">
        <v>0</v>
      </c>
    </row>
    <row r="238" spans="1:10" x14ac:dyDescent="0.25">
      <c r="A238" s="1">
        <f t="shared" ca="1" si="17"/>
        <v>14837</v>
      </c>
      <c r="B238" s="5">
        <v>749</v>
      </c>
      <c r="C238" s="6">
        <v>748</v>
      </c>
      <c r="D238" s="6">
        <v>749</v>
      </c>
      <c r="E238" s="7">
        <v>28</v>
      </c>
      <c r="F238" s="8">
        <v>31</v>
      </c>
      <c r="G238" s="8">
        <v>29</v>
      </c>
      <c r="H238" s="9">
        <v>0</v>
      </c>
      <c r="I238" s="10">
        <v>0</v>
      </c>
      <c r="J238" s="11">
        <v>0</v>
      </c>
    </row>
    <row r="239" spans="1:10" x14ac:dyDescent="0.25">
      <c r="A239" s="1">
        <f t="shared" ca="1" si="17"/>
        <v>14838</v>
      </c>
      <c r="B239" s="5">
        <v>748</v>
      </c>
      <c r="C239" s="6">
        <v>748</v>
      </c>
      <c r="D239" s="6">
        <v>748</v>
      </c>
      <c r="E239" s="7">
        <v>28</v>
      </c>
      <c r="F239" s="8">
        <v>31</v>
      </c>
      <c r="G239" s="8">
        <v>29</v>
      </c>
      <c r="H239" s="9">
        <v>0</v>
      </c>
      <c r="I239" s="10">
        <v>0</v>
      </c>
      <c r="J239" s="11">
        <v>0</v>
      </c>
    </row>
    <row r="240" spans="1:10" x14ac:dyDescent="0.25">
      <c r="A240" s="1">
        <f t="shared" ca="1" si="17"/>
        <v>14839</v>
      </c>
      <c r="B240" s="5">
        <v>748</v>
      </c>
      <c r="C240" s="6">
        <v>748</v>
      </c>
      <c r="D240" s="6">
        <v>748</v>
      </c>
      <c r="E240" s="7">
        <v>27</v>
      </c>
      <c r="F240" s="8">
        <v>30</v>
      </c>
      <c r="G240" s="8">
        <v>29</v>
      </c>
      <c r="H240" s="9">
        <v>0</v>
      </c>
      <c r="I240" s="10">
        <v>0</v>
      </c>
      <c r="J240" s="11">
        <v>0</v>
      </c>
    </row>
    <row r="241" spans="1:10" x14ac:dyDescent="0.25">
      <c r="A241" s="1">
        <f t="shared" ca="1" si="17"/>
        <v>14840</v>
      </c>
      <c r="B241" s="5">
        <v>747</v>
      </c>
      <c r="C241" s="6">
        <v>748</v>
      </c>
      <c r="D241" s="6">
        <v>748</v>
      </c>
      <c r="E241" s="7">
        <v>28</v>
      </c>
      <c r="F241" s="8">
        <v>31</v>
      </c>
      <c r="G241" s="8">
        <v>29</v>
      </c>
      <c r="H241" s="9">
        <v>0</v>
      </c>
      <c r="I241" s="10">
        <v>20</v>
      </c>
      <c r="J241" s="11">
        <v>0</v>
      </c>
    </row>
    <row r="242" spans="1:10" x14ac:dyDescent="0.25">
      <c r="A242" s="1">
        <f t="shared" ca="1" si="17"/>
        <v>14841</v>
      </c>
      <c r="B242" s="5">
        <v>748</v>
      </c>
      <c r="C242" s="6">
        <v>748</v>
      </c>
      <c r="D242" s="6">
        <v>748</v>
      </c>
      <c r="E242" s="7">
        <v>27</v>
      </c>
      <c r="F242" s="8">
        <v>29</v>
      </c>
      <c r="G242" s="8">
        <v>28</v>
      </c>
      <c r="H242" s="9">
        <v>0</v>
      </c>
      <c r="I242" s="10">
        <v>60</v>
      </c>
      <c r="J242" s="11">
        <v>50</v>
      </c>
    </row>
    <row r="243" spans="1:10" x14ac:dyDescent="0.25">
      <c r="A243" s="1">
        <f t="shared" ca="1" si="17"/>
        <v>14842</v>
      </c>
      <c r="B243" s="5">
        <v>748</v>
      </c>
      <c r="C243" s="6">
        <v>748</v>
      </c>
      <c r="D243" s="6">
        <v>747</v>
      </c>
      <c r="E243" s="7">
        <v>27</v>
      </c>
      <c r="F243" s="8">
        <v>30</v>
      </c>
      <c r="G243" s="8">
        <v>28</v>
      </c>
      <c r="H243" s="9">
        <v>114</v>
      </c>
      <c r="I243" s="10">
        <v>0</v>
      </c>
      <c r="J243" s="11">
        <v>75</v>
      </c>
    </row>
    <row r="244" spans="1:10" x14ac:dyDescent="0.25">
      <c r="A244" s="1">
        <f t="shared" ca="1" si="17"/>
        <v>14843</v>
      </c>
      <c r="B244" s="5">
        <v>748</v>
      </c>
      <c r="C244" s="6">
        <v>749</v>
      </c>
      <c r="D244" s="6">
        <v>749</v>
      </c>
      <c r="E244" s="7">
        <v>27</v>
      </c>
      <c r="F244" s="8">
        <v>33</v>
      </c>
      <c r="G244" s="8">
        <v>30</v>
      </c>
      <c r="H244" s="9">
        <v>0</v>
      </c>
      <c r="I244" s="10">
        <v>0</v>
      </c>
      <c r="J244" s="11">
        <v>0</v>
      </c>
    </row>
    <row r="245" spans="1:10" x14ac:dyDescent="0.25">
      <c r="A245" s="1">
        <f t="shared" ca="1" si="17"/>
        <v>14844</v>
      </c>
      <c r="B245" s="5">
        <v>748</v>
      </c>
      <c r="C245" s="6">
        <v>748</v>
      </c>
      <c r="D245" s="6">
        <v>748</v>
      </c>
      <c r="E245" s="7">
        <v>29</v>
      </c>
      <c r="F245" s="8">
        <v>31</v>
      </c>
      <c r="G245" s="8">
        <v>29</v>
      </c>
      <c r="H245" s="9">
        <v>0</v>
      </c>
      <c r="I245" s="10">
        <v>0</v>
      </c>
      <c r="J245" s="11">
        <v>0</v>
      </c>
    </row>
    <row r="246" spans="1:10" x14ac:dyDescent="0.25">
      <c r="A246" s="1">
        <f t="shared" ca="1" si="17"/>
        <v>14845</v>
      </c>
      <c r="B246" s="5">
        <v>748</v>
      </c>
      <c r="C246" s="6">
        <v>748</v>
      </c>
      <c r="D246" s="6">
        <v>748</v>
      </c>
      <c r="E246" s="7">
        <v>28</v>
      </c>
      <c r="F246" s="8">
        <v>31</v>
      </c>
      <c r="G246" s="8">
        <v>29</v>
      </c>
      <c r="H246" s="9">
        <v>0</v>
      </c>
      <c r="I246" s="10">
        <v>0</v>
      </c>
      <c r="J246" s="11">
        <v>0</v>
      </c>
    </row>
    <row r="247" spans="1:10" x14ac:dyDescent="0.25">
      <c r="A247" s="1">
        <f t="shared" ca="1" si="17"/>
        <v>14846</v>
      </c>
      <c r="B247" s="5">
        <v>748</v>
      </c>
      <c r="C247" s="6">
        <v>748</v>
      </c>
      <c r="D247" s="6">
        <v>749</v>
      </c>
      <c r="E247" s="7">
        <v>28</v>
      </c>
      <c r="F247" s="8">
        <v>31</v>
      </c>
      <c r="G247" s="8">
        <v>29</v>
      </c>
      <c r="H247" s="9">
        <v>0</v>
      </c>
      <c r="I247" s="10">
        <v>0</v>
      </c>
      <c r="J247" s="11">
        <v>0</v>
      </c>
    </row>
    <row r="248" spans="1:10" x14ac:dyDescent="0.25">
      <c r="A248" s="1">
        <f t="shared" ca="1" si="17"/>
        <v>14847</v>
      </c>
      <c r="B248" s="5">
        <v>749</v>
      </c>
      <c r="C248" s="6">
        <v>749</v>
      </c>
      <c r="D248" s="6">
        <v>749</v>
      </c>
      <c r="E248" s="7">
        <v>29</v>
      </c>
      <c r="F248" s="8">
        <v>31</v>
      </c>
      <c r="G248" s="8">
        <v>29</v>
      </c>
      <c r="H248" s="9">
        <v>0</v>
      </c>
      <c r="I248" s="10">
        <v>0</v>
      </c>
      <c r="J248" s="11">
        <v>0</v>
      </c>
    </row>
    <row r="249" spans="1:10" x14ac:dyDescent="0.25">
      <c r="A249" s="1">
        <f t="shared" ca="1" si="17"/>
        <v>14848</v>
      </c>
      <c r="B249" s="5">
        <v>749</v>
      </c>
      <c r="C249" s="6">
        <v>750</v>
      </c>
      <c r="D249" s="6">
        <v>750</v>
      </c>
      <c r="E249" s="7">
        <v>28</v>
      </c>
      <c r="F249" s="8">
        <v>31</v>
      </c>
      <c r="G249" s="8">
        <v>29</v>
      </c>
      <c r="H249" s="9">
        <v>20</v>
      </c>
      <c r="I249" s="10">
        <v>0</v>
      </c>
      <c r="J249" s="11">
        <v>0</v>
      </c>
    </row>
    <row r="250" spans="1:10" x14ac:dyDescent="0.25">
      <c r="A250" s="1">
        <f t="shared" ca="1" si="17"/>
        <v>14849</v>
      </c>
      <c r="B250" s="5">
        <v>750</v>
      </c>
      <c r="C250" s="6">
        <v>750</v>
      </c>
      <c r="D250" s="6">
        <v>750</v>
      </c>
      <c r="E250" s="7">
        <v>29</v>
      </c>
      <c r="F250" s="8">
        <v>31</v>
      </c>
      <c r="G250" s="8">
        <v>29</v>
      </c>
      <c r="H250" s="9">
        <v>0</v>
      </c>
      <c r="I250" s="10">
        <v>0</v>
      </c>
      <c r="J250" s="11">
        <v>0</v>
      </c>
    </row>
    <row r="251" spans="1:10" x14ac:dyDescent="0.25">
      <c r="A251" s="1">
        <f t="shared" ca="1" si="17"/>
        <v>14850</v>
      </c>
      <c r="B251" s="5">
        <v>750</v>
      </c>
      <c r="C251" s="6">
        <v>749</v>
      </c>
      <c r="D251" s="6">
        <v>750</v>
      </c>
      <c r="E251" s="7">
        <v>29</v>
      </c>
      <c r="F251" s="8">
        <v>31</v>
      </c>
      <c r="G251" s="8">
        <v>29</v>
      </c>
      <c r="H251" s="9">
        <v>10</v>
      </c>
      <c r="I251" s="10">
        <v>20</v>
      </c>
      <c r="J251" s="11">
        <v>0</v>
      </c>
    </row>
    <row r="252" spans="1:10" x14ac:dyDescent="0.25">
      <c r="A252" s="1">
        <f t="shared" ca="1" si="17"/>
        <v>14851</v>
      </c>
      <c r="B252" s="5">
        <v>749</v>
      </c>
      <c r="C252" s="6">
        <v>749</v>
      </c>
      <c r="D252" s="6">
        <v>749</v>
      </c>
      <c r="E252" s="7">
        <v>29</v>
      </c>
      <c r="F252" s="8">
        <v>31</v>
      </c>
      <c r="G252" s="8">
        <v>30</v>
      </c>
      <c r="H252" s="9">
        <v>0</v>
      </c>
      <c r="I252" s="10">
        <v>0</v>
      </c>
      <c r="J252" s="11">
        <v>0</v>
      </c>
    </row>
    <row r="253" spans="1:10" x14ac:dyDescent="0.25">
      <c r="A253" s="1">
        <f t="shared" ca="1" si="17"/>
        <v>14852</v>
      </c>
      <c r="B253" s="5">
        <v>749</v>
      </c>
      <c r="C253" s="6">
        <v>749</v>
      </c>
      <c r="D253" s="6">
        <v>750</v>
      </c>
      <c r="E253" s="7">
        <v>28</v>
      </c>
      <c r="F253" s="8">
        <v>30</v>
      </c>
      <c r="G253" s="8">
        <v>29</v>
      </c>
      <c r="H253" s="9">
        <v>0</v>
      </c>
      <c r="I253" s="10">
        <v>0</v>
      </c>
      <c r="J253" s="11">
        <v>0</v>
      </c>
    </row>
    <row r="254" spans="1:10" x14ac:dyDescent="0.25">
      <c r="A254" s="1">
        <f t="shared" ca="1" si="17"/>
        <v>14853</v>
      </c>
      <c r="B254" s="5">
        <v>750</v>
      </c>
      <c r="C254" s="6">
        <v>750</v>
      </c>
      <c r="D254" s="6">
        <v>750</v>
      </c>
      <c r="E254" s="7">
        <v>29</v>
      </c>
      <c r="F254" s="8">
        <v>31</v>
      </c>
      <c r="G254" s="8">
        <v>30</v>
      </c>
      <c r="H254" s="9">
        <v>0</v>
      </c>
      <c r="I254" s="10">
        <v>0</v>
      </c>
      <c r="J254" s="11">
        <v>0</v>
      </c>
    </row>
    <row r="255" spans="1:10" x14ac:dyDescent="0.25">
      <c r="A255" s="1">
        <f t="shared" ca="1" si="17"/>
        <v>14854</v>
      </c>
      <c r="B255" s="5">
        <v>749</v>
      </c>
      <c r="C255" s="6">
        <v>748</v>
      </c>
      <c r="D255" s="6">
        <v>748</v>
      </c>
      <c r="E255" s="7">
        <v>29</v>
      </c>
      <c r="F255" s="8">
        <v>31</v>
      </c>
      <c r="G255" s="8">
        <v>30</v>
      </c>
      <c r="H255" s="9">
        <v>290</v>
      </c>
      <c r="I255" s="10">
        <v>270</v>
      </c>
      <c r="J255" s="11">
        <v>280</v>
      </c>
    </row>
    <row r="256" spans="1:10" x14ac:dyDescent="0.25">
      <c r="A256" s="1" t="str">
        <f t="shared" ca="1" si="17"/>
        <v>Totaal</v>
      </c>
      <c r="B256" s="28">
        <f>IF(COUNT(B225:B255)&gt;0,AVERAGE(B225:B255),"")</f>
        <v>748.74193548387098</v>
      </c>
      <c r="C256" s="29">
        <f t="shared" ref="C256" si="23">IF(COUNT(C225:C255)&gt;0,AVERAGE(C225:C255),"")</f>
        <v>748.54838709677415</v>
      </c>
      <c r="D256" s="29">
        <f t="shared" ref="D256" si="24">IF(COUNT(D225:D255)&gt;0,AVERAGE(D225:D255),"")</f>
        <v>748.70967741935488</v>
      </c>
      <c r="E256" s="30">
        <f t="shared" ref="E256" si="25">IF(COUNT(E225:E255)&gt;0,AVERAGE(E225:E255),"")</f>
        <v>27.903225806451612</v>
      </c>
      <c r="F256" s="31">
        <f t="shared" ref="F256" si="26">IF(COUNT(F225:F255)&gt;0,AVERAGE(F225:F255),"")</f>
        <v>30.870967741935484</v>
      </c>
      <c r="G256" s="31">
        <f t="shared" ref="G256" si="27">IF(COUNT(G225:G255)&gt;0,AVERAGE(G225:G255),"")</f>
        <v>28.64516129032258</v>
      </c>
      <c r="H256" s="32">
        <f>SUM(H225:H255)/10</f>
        <v>91.1</v>
      </c>
      <c r="I256" s="33">
        <f>SUM(I225:I255)/10</f>
        <v>73.5</v>
      </c>
      <c r="J256" s="34">
        <f>SUM(J225:J255)/10</f>
        <v>75.5</v>
      </c>
    </row>
    <row r="257" spans="1:10" x14ac:dyDescent="0.25">
      <c r="A257" s="1">
        <f t="shared" ca="1" si="17"/>
        <v>14855</v>
      </c>
      <c r="B257" s="5">
        <v>748</v>
      </c>
      <c r="C257" s="6">
        <v>748</v>
      </c>
      <c r="D257" s="6">
        <v>748</v>
      </c>
      <c r="E257" s="7">
        <v>28</v>
      </c>
      <c r="F257" s="8">
        <v>31</v>
      </c>
      <c r="G257" s="8">
        <v>30</v>
      </c>
      <c r="H257" s="9">
        <v>0</v>
      </c>
      <c r="I257" s="10">
        <v>0</v>
      </c>
      <c r="J257" s="11">
        <v>75</v>
      </c>
    </row>
    <row r="258" spans="1:10" x14ac:dyDescent="0.25">
      <c r="A258" s="1">
        <f t="shared" ca="1" si="17"/>
        <v>14856</v>
      </c>
      <c r="B258" s="5">
        <v>747</v>
      </c>
      <c r="C258" s="6">
        <v>748</v>
      </c>
      <c r="D258" s="6">
        <v>748</v>
      </c>
      <c r="E258" s="7">
        <v>28</v>
      </c>
      <c r="F258" s="8">
        <v>31</v>
      </c>
      <c r="G258" s="8">
        <v>30</v>
      </c>
      <c r="H258" s="9">
        <v>0</v>
      </c>
      <c r="I258" s="10">
        <v>0</v>
      </c>
      <c r="J258" s="11">
        <v>0</v>
      </c>
    </row>
    <row r="259" spans="1:10" x14ac:dyDescent="0.25">
      <c r="A259" s="1">
        <f t="shared" ca="1" si="17"/>
        <v>14857</v>
      </c>
      <c r="B259" s="5">
        <v>748</v>
      </c>
      <c r="C259" s="6">
        <v>748</v>
      </c>
      <c r="D259" s="6">
        <v>748</v>
      </c>
      <c r="E259" s="7">
        <v>28</v>
      </c>
      <c r="F259" s="8">
        <v>30</v>
      </c>
      <c r="G259" s="8">
        <v>29</v>
      </c>
      <c r="H259" s="9">
        <v>0</v>
      </c>
      <c r="I259" s="10">
        <v>0</v>
      </c>
      <c r="J259" s="11">
        <v>0</v>
      </c>
    </row>
    <row r="260" spans="1:10" x14ac:dyDescent="0.25">
      <c r="A260" s="1">
        <f t="shared" ca="1" si="17"/>
        <v>14858</v>
      </c>
      <c r="B260" s="5">
        <v>748</v>
      </c>
      <c r="C260" s="6">
        <v>748</v>
      </c>
      <c r="D260" s="6">
        <v>748</v>
      </c>
      <c r="E260" s="7">
        <v>28</v>
      </c>
      <c r="F260" s="8">
        <v>31</v>
      </c>
      <c r="G260" s="8">
        <v>30</v>
      </c>
      <c r="H260" s="9">
        <v>0</v>
      </c>
      <c r="I260" s="10">
        <v>30</v>
      </c>
      <c r="J260" s="11">
        <v>80</v>
      </c>
    </row>
    <row r="261" spans="1:10" x14ac:dyDescent="0.25">
      <c r="A261" s="1">
        <f t="shared" ca="1" si="17"/>
        <v>14859</v>
      </c>
      <c r="B261" s="5">
        <v>748</v>
      </c>
      <c r="C261" s="6">
        <v>748</v>
      </c>
      <c r="D261" s="6">
        <v>748</v>
      </c>
      <c r="E261" s="7">
        <v>28</v>
      </c>
      <c r="F261" s="8">
        <v>31</v>
      </c>
      <c r="G261" s="8">
        <v>30</v>
      </c>
      <c r="H261" s="9">
        <v>0</v>
      </c>
      <c r="I261" s="10">
        <v>150</v>
      </c>
      <c r="J261" s="11">
        <v>75</v>
      </c>
    </row>
    <row r="262" spans="1:10" x14ac:dyDescent="0.25">
      <c r="A262" s="1">
        <f t="shared" ca="1" si="17"/>
        <v>14860</v>
      </c>
      <c r="B262" s="5">
        <v>748</v>
      </c>
      <c r="C262" s="6">
        <v>747</v>
      </c>
      <c r="D262" s="6">
        <v>748</v>
      </c>
      <c r="E262" s="7">
        <v>28</v>
      </c>
      <c r="F262" s="8">
        <v>31</v>
      </c>
      <c r="G262" s="8">
        <v>30</v>
      </c>
      <c r="H262" s="9">
        <v>305</v>
      </c>
      <c r="I262" s="10">
        <v>110</v>
      </c>
      <c r="J262" s="11">
        <v>120</v>
      </c>
    </row>
    <row r="263" spans="1:10" x14ac:dyDescent="0.25">
      <c r="A263" s="1">
        <f t="shared" ref="A263:A326" ca="1" si="28">IF(ISTEXT(A262),A261+1,IF(MONTH(A262+1)=MONTH(A262),A262+1,"Totaal"))</f>
        <v>14861</v>
      </c>
      <c r="B263" s="5">
        <v>749</v>
      </c>
      <c r="C263" s="6">
        <v>749</v>
      </c>
      <c r="D263" s="6">
        <v>749</v>
      </c>
      <c r="E263" s="7">
        <v>28</v>
      </c>
      <c r="F263" s="8">
        <v>31</v>
      </c>
      <c r="G263" s="8">
        <v>30</v>
      </c>
      <c r="H263" s="9">
        <v>85</v>
      </c>
      <c r="I263" s="10">
        <v>0</v>
      </c>
      <c r="J263" s="11">
        <v>0</v>
      </c>
    </row>
    <row r="264" spans="1:10" x14ac:dyDescent="0.25">
      <c r="A264" s="1">
        <f t="shared" ca="1" si="28"/>
        <v>14862</v>
      </c>
      <c r="B264" s="5">
        <v>749</v>
      </c>
      <c r="C264" s="6">
        <v>749</v>
      </c>
      <c r="D264" s="6">
        <v>749</v>
      </c>
      <c r="E264" s="7">
        <v>28</v>
      </c>
      <c r="F264" s="8">
        <v>31</v>
      </c>
      <c r="G264" s="8">
        <v>30</v>
      </c>
      <c r="H264" s="9">
        <v>0</v>
      </c>
      <c r="I264" s="10">
        <v>0</v>
      </c>
      <c r="J264" s="11">
        <v>0</v>
      </c>
    </row>
    <row r="265" spans="1:10" x14ac:dyDescent="0.25">
      <c r="A265" s="1">
        <f t="shared" ca="1" si="28"/>
        <v>14863</v>
      </c>
      <c r="B265" s="5">
        <v>748</v>
      </c>
      <c r="C265" s="6">
        <v>747</v>
      </c>
      <c r="D265" s="6">
        <v>747</v>
      </c>
      <c r="E265" s="7">
        <v>29</v>
      </c>
      <c r="F265" s="8">
        <v>31</v>
      </c>
      <c r="G265" s="8">
        <v>30</v>
      </c>
      <c r="H265" s="9">
        <v>0</v>
      </c>
      <c r="I265" s="10">
        <v>0</v>
      </c>
      <c r="J265" s="11">
        <v>0</v>
      </c>
    </row>
    <row r="266" spans="1:10" x14ac:dyDescent="0.25">
      <c r="A266" s="1">
        <f t="shared" ca="1" si="28"/>
        <v>14864</v>
      </c>
      <c r="B266" s="5">
        <v>747</v>
      </c>
      <c r="C266" s="6">
        <v>747</v>
      </c>
      <c r="D266" s="6">
        <v>747</v>
      </c>
      <c r="E266" s="7">
        <v>28</v>
      </c>
      <c r="F266" s="8">
        <v>31</v>
      </c>
      <c r="G266" s="8">
        <v>30</v>
      </c>
      <c r="H266" s="9">
        <v>0</v>
      </c>
      <c r="I266" s="10">
        <v>0</v>
      </c>
      <c r="J266" s="11">
        <v>0</v>
      </c>
    </row>
    <row r="267" spans="1:10" x14ac:dyDescent="0.25">
      <c r="A267" s="1">
        <f t="shared" ca="1" si="28"/>
        <v>14865</v>
      </c>
      <c r="B267" s="5">
        <v>746</v>
      </c>
      <c r="C267" s="6">
        <v>745</v>
      </c>
      <c r="D267" s="6">
        <v>745</v>
      </c>
      <c r="E267" s="7">
        <v>28</v>
      </c>
      <c r="F267" s="8">
        <v>30</v>
      </c>
      <c r="G267" s="8">
        <v>29</v>
      </c>
      <c r="H267" s="9">
        <v>0</v>
      </c>
      <c r="I267" s="10">
        <v>0</v>
      </c>
      <c r="J267" s="11">
        <v>0</v>
      </c>
    </row>
    <row r="268" spans="1:10" x14ac:dyDescent="0.25">
      <c r="A268" s="1">
        <f t="shared" ca="1" si="28"/>
        <v>14866</v>
      </c>
      <c r="B268" s="5">
        <v>746</v>
      </c>
      <c r="C268" s="6">
        <v>747</v>
      </c>
      <c r="D268" s="6">
        <v>746</v>
      </c>
      <c r="E268" s="7">
        <v>28</v>
      </c>
      <c r="F268" s="8">
        <v>30</v>
      </c>
      <c r="G268" s="8">
        <v>29</v>
      </c>
      <c r="H268" s="9">
        <v>0</v>
      </c>
      <c r="I268" s="10">
        <v>0</v>
      </c>
      <c r="J268" s="11">
        <v>0</v>
      </c>
    </row>
    <row r="269" spans="1:10" x14ac:dyDescent="0.25">
      <c r="A269" s="1">
        <f t="shared" ca="1" si="28"/>
        <v>14867</v>
      </c>
      <c r="B269" s="5">
        <v>747</v>
      </c>
      <c r="C269" s="6">
        <v>748</v>
      </c>
      <c r="D269" s="6">
        <v>747</v>
      </c>
      <c r="E269" s="7">
        <v>28</v>
      </c>
      <c r="F269" s="8">
        <v>31</v>
      </c>
      <c r="G269" s="8">
        <v>30</v>
      </c>
      <c r="H269" s="9">
        <v>0</v>
      </c>
      <c r="I269" s="10">
        <v>0</v>
      </c>
      <c r="J269" s="11">
        <v>0</v>
      </c>
    </row>
    <row r="270" spans="1:10" x14ac:dyDescent="0.25">
      <c r="A270" s="1">
        <f t="shared" ca="1" si="28"/>
        <v>14868</v>
      </c>
      <c r="B270" s="5">
        <v>747</v>
      </c>
      <c r="C270" s="6">
        <v>747</v>
      </c>
      <c r="D270" s="6">
        <v>747</v>
      </c>
      <c r="E270" s="7">
        <v>28</v>
      </c>
      <c r="F270" s="8">
        <v>31</v>
      </c>
      <c r="G270" s="8">
        <v>30</v>
      </c>
      <c r="H270" s="9">
        <v>0</v>
      </c>
      <c r="I270" s="10">
        <v>0</v>
      </c>
      <c r="J270" s="11">
        <v>0</v>
      </c>
    </row>
    <row r="271" spans="1:10" x14ac:dyDescent="0.25">
      <c r="A271" s="1">
        <f t="shared" ca="1" si="28"/>
        <v>14869</v>
      </c>
      <c r="B271" s="5">
        <v>748</v>
      </c>
      <c r="C271" s="6">
        <v>747</v>
      </c>
      <c r="D271" s="6">
        <v>747</v>
      </c>
      <c r="E271" s="7">
        <v>28</v>
      </c>
      <c r="F271" s="8">
        <v>31</v>
      </c>
      <c r="G271" s="8">
        <v>30</v>
      </c>
      <c r="H271" s="9">
        <v>0</v>
      </c>
      <c r="I271" s="10">
        <v>0</v>
      </c>
      <c r="J271" s="11">
        <v>0</v>
      </c>
    </row>
    <row r="272" spans="1:10" x14ac:dyDescent="0.25">
      <c r="A272" s="1">
        <f t="shared" ca="1" si="28"/>
        <v>14870</v>
      </c>
      <c r="B272" s="5">
        <v>747</v>
      </c>
      <c r="C272" s="6">
        <v>748</v>
      </c>
      <c r="D272" s="6">
        <v>748</v>
      </c>
      <c r="E272" s="7">
        <v>28</v>
      </c>
      <c r="F272" s="8">
        <v>31</v>
      </c>
      <c r="G272" s="8">
        <v>30</v>
      </c>
      <c r="H272" s="9">
        <v>0</v>
      </c>
      <c r="I272" s="10">
        <v>0</v>
      </c>
      <c r="J272" s="11">
        <v>0</v>
      </c>
    </row>
    <row r="273" spans="1:10" x14ac:dyDescent="0.25">
      <c r="A273" s="1">
        <f t="shared" ca="1" si="28"/>
        <v>14871</v>
      </c>
      <c r="B273" s="5">
        <v>747</v>
      </c>
      <c r="C273" s="6">
        <v>747</v>
      </c>
      <c r="D273" s="6">
        <v>747</v>
      </c>
      <c r="E273" s="7">
        <v>28</v>
      </c>
      <c r="F273" s="8">
        <v>31</v>
      </c>
      <c r="G273" s="8">
        <v>29</v>
      </c>
      <c r="H273" s="9">
        <v>100</v>
      </c>
      <c r="I273" s="10">
        <v>75</v>
      </c>
      <c r="J273" s="11">
        <v>360</v>
      </c>
    </row>
    <row r="274" spans="1:10" x14ac:dyDescent="0.25">
      <c r="A274" s="1">
        <f t="shared" ca="1" si="28"/>
        <v>14872</v>
      </c>
      <c r="B274" s="5">
        <v>747</v>
      </c>
      <c r="C274" s="6">
        <v>747</v>
      </c>
      <c r="D274" s="6">
        <v>747</v>
      </c>
      <c r="E274" s="7">
        <v>28</v>
      </c>
      <c r="F274" s="8">
        <v>31</v>
      </c>
      <c r="G274" s="8">
        <v>30</v>
      </c>
      <c r="H274" s="9">
        <v>150</v>
      </c>
      <c r="I274" s="10">
        <v>300</v>
      </c>
      <c r="J274" s="11">
        <v>280</v>
      </c>
    </row>
    <row r="275" spans="1:10" x14ac:dyDescent="0.25">
      <c r="A275" s="1">
        <f t="shared" ca="1" si="28"/>
        <v>14873</v>
      </c>
      <c r="B275" s="5">
        <v>747</v>
      </c>
      <c r="C275" s="6">
        <v>747</v>
      </c>
      <c r="D275" s="6">
        <v>747</v>
      </c>
      <c r="E275" s="7">
        <v>28</v>
      </c>
      <c r="F275" s="8">
        <v>31</v>
      </c>
      <c r="G275" s="8">
        <v>29</v>
      </c>
      <c r="H275" s="9">
        <v>0</v>
      </c>
      <c r="I275" s="10">
        <v>0</v>
      </c>
      <c r="J275" s="11">
        <v>0</v>
      </c>
    </row>
    <row r="276" spans="1:10" x14ac:dyDescent="0.25">
      <c r="A276" s="1">
        <f t="shared" ca="1" si="28"/>
        <v>14874</v>
      </c>
      <c r="B276" s="5">
        <v>747</v>
      </c>
      <c r="C276" s="6">
        <v>747</v>
      </c>
      <c r="D276" s="6">
        <v>748</v>
      </c>
      <c r="E276" s="7">
        <v>28</v>
      </c>
      <c r="F276" s="8">
        <v>31</v>
      </c>
      <c r="G276" s="8">
        <v>29</v>
      </c>
      <c r="H276" s="9">
        <v>0</v>
      </c>
      <c r="I276" s="10">
        <v>0</v>
      </c>
      <c r="J276" s="11">
        <v>0</v>
      </c>
    </row>
    <row r="277" spans="1:10" x14ac:dyDescent="0.25">
      <c r="A277" s="1">
        <f t="shared" ca="1" si="28"/>
        <v>14875</v>
      </c>
      <c r="B277" s="5">
        <v>748</v>
      </c>
      <c r="C277" s="6">
        <v>748</v>
      </c>
      <c r="D277" s="6">
        <v>748</v>
      </c>
      <c r="E277" s="7">
        <v>29</v>
      </c>
      <c r="F277" s="8">
        <v>31</v>
      </c>
      <c r="G277" s="8">
        <v>29</v>
      </c>
      <c r="H277" s="9">
        <v>50</v>
      </c>
      <c r="I277" s="10">
        <v>60</v>
      </c>
      <c r="J277" s="11">
        <v>135</v>
      </c>
    </row>
    <row r="278" spans="1:10" x14ac:dyDescent="0.25">
      <c r="A278" s="1">
        <f t="shared" ca="1" si="28"/>
        <v>14876</v>
      </c>
      <c r="B278" s="5">
        <v>748</v>
      </c>
      <c r="C278" s="6">
        <v>747</v>
      </c>
      <c r="D278" s="6">
        <v>748</v>
      </c>
      <c r="E278" s="7">
        <v>28</v>
      </c>
      <c r="F278" s="8">
        <v>30</v>
      </c>
      <c r="G278" s="8">
        <v>29</v>
      </c>
      <c r="H278" s="9">
        <v>0</v>
      </c>
      <c r="I278" s="10">
        <v>0</v>
      </c>
      <c r="J278" s="11">
        <v>0</v>
      </c>
    </row>
    <row r="279" spans="1:10" x14ac:dyDescent="0.25">
      <c r="A279" s="1">
        <f t="shared" ca="1" si="28"/>
        <v>14877</v>
      </c>
      <c r="B279" s="5">
        <v>748</v>
      </c>
      <c r="C279" s="6">
        <v>748</v>
      </c>
      <c r="D279" s="6">
        <v>749</v>
      </c>
      <c r="E279" s="7">
        <v>28</v>
      </c>
      <c r="F279" s="8">
        <v>31</v>
      </c>
      <c r="G279" s="8">
        <v>30</v>
      </c>
      <c r="H279" s="9">
        <v>0</v>
      </c>
      <c r="I279" s="10">
        <v>30</v>
      </c>
      <c r="J279" s="11">
        <v>0</v>
      </c>
    </row>
    <row r="280" spans="1:10" x14ac:dyDescent="0.25">
      <c r="A280" s="1">
        <f t="shared" ca="1" si="28"/>
        <v>14878</v>
      </c>
      <c r="B280" s="5">
        <v>750</v>
      </c>
      <c r="C280" s="6">
        <v>750</v>
      </c>
      <c r="D280" s="6">
        <v>749</v>
      </c>
      <c r="E280" s="7">
        <v>28</v>
      </c>
      <c r="F280" s="8">
        <v>31</v>
      </c>
      <c r="G280" s="8">
        <v>30</v>
      </c>
      <c r="H280" s="9">
        <v>0</v>
      </c>
      <c r="I280" s="10">
        <v>0</v>
      </c>
      <c r="J280" s="11">
        <v>0</v>
      </c>
    </row>
    <row r="281" spans="1:10" x14ac:dyDescent="0.25">
      <c r="A281" s="1">
        <f t="shared" ca="1" si="28"/>
        <v>14879</v>
      </c>
      <c r="B281" s="5">
        <v>749</v>
      </c>
      <c r="C281" s="6">
        <v>748</v>
      </c>
      <c r="D281" s="6">
        <v>748</v>
      </c>
      <c r="E281" s="7">
        <v>29</v>
      </c>
      <c r="F281" s="8">
        <v>31</v>
      </c>
      <c r="G281" s="8">
        <v>30</v>
      </c>
      <c r="H281" s="9">
        <v>0</v>
      </c>
      <c r="I281" s="10">
        <v>20</v>
      </c>
      <c r="J281" s="11">
        <v>45</v>
      </c>
    </row>
    <row r="282" spans="1:10" x14ac:dyDescent="0.25">
      <c r="A282" s="1">
        <f t="shared" ca="1" si="28"/>
        <v>14880</v>
      </c>
      <c r="B282" s="5">
        <v>747</v>
      </c>
      <c r="C282" s="6">
        <v>746</v>
      </c>
      <c r="D282" s="6">
        <v>746</v>
      </c>
      <c r="E282" s="7">
        <v>29</v>
      </c>
      <c r="F282" s="8">
        <v>31</v>
      </c>
      <c r="G282" s="8">
        <v>30</v>
      </c>
      <c r="H282" s="9">
        <v>45</v>
      </c>
      <c r="I282" s="10">
        <v>0</v>
      </c>
      <c r="J282" s="11">
        <v>0</v>
      </c>
    </row>
    <row r="283" spans="1:10" x14ac:dyDescent="0.25">
      <c r="A283" s="1">
        <f t="shared" ca="1" si="28"/>
        <v>14881</v>
      </c>
      <c r="B283" s="5">
        <v>746</v>
      </c>
      <c r="C283" s="6">
        <v>746</v>
      </c>
      <c r="D283" s="6">
        <v>746</v>
      </c>
      <c r="E283" s="7">
        <v>28</v>
      </c>
      <c r="F283" s="8">
        <v>31</v>
      </c>
      <c r="G283" s="8">
        <v>29</v>
      </c>
      <c r="H283" s="9">
        <v>0</v>
      </c>
      <c r="I283" s="10">
        <v>0</v>
      </c>
      <c r="J283" s="11">
        <v>0</v>
      </c>
    </row>
    <row r="284" spans="1:10" x14ac:dyDescent="0.25">
      <c r="A284" s="1">
        <f t="shared" ca="1" si="28"/>
        <v>14882</v>
      </c>
      <c r="B284" s="5">
        <v>747</v>
      </c>
      <c r="C284" s="6">
        <v>746</v>
      </c>
      <c r="D284" s="6">
        <v>747</v>
      </c>
      <c r="E284" s="7">
        <v>28</v>
      </c>
      <c r="F284" s="8">
        <v>31</v>
      </c>
      <c r="G284" s="8">
        <v>27</v>
      </c>
      <c r="H284" s="9">
        <v>5</v>
      </c>
      <c r="I284" s="10">
        <v>0</v>
      </c>
      <c r="J284" s="11">
        <v>0</v>
      </c>
    </row>
    <row r="285" spans="1:10" x14ac:dyDescent="0.25">
      <c r="A285" s="1">
        <f t="shared" ca="1" si="28"/>
        <v>14883</v>
      </c>
      <c r="B285" s="5">
        <v>748</v>
      </c>
      <c r="C285" s="6">
        <v>748</v>
      </c>
      <c r="D285" s="6">
        <v>748</v>
      </c>
      <c r="E285" s="7">
        <v>27</v>
      </c>
      <c r="F285" s="8">
        <v>30</v>
      </c>
      <c r="G285" s="8">
        <v>29</v>
      </c>
      <c r="H285" s="9">
        <v>480</v>
      </c>
      <c r="I285" s="10">
        <v>520</v>
      </c>
      <c r="J285" s="11">
        <v>370</v>
      </c>
    </row>
    <row r="286" spans="1:10" x14ac:dyDescent="0.25">
      <c r="A286" s="1">
        <f t="shared" ca="1" si="28"/>
        <v>14884</v>
      </c>
      <c r="B286" s="5">
        <v>748</v>
      </c>
      <c r="C286" s="6">
        <v>748</v>
      </c>
      <c r="D286" s="6">
        <v>748</v>
      </c>
      <c r="E286" s="7">
        <v>28</v>
      </c>
      <c r="F286" s="8">
        <v>31</v>
      </c>
      <c r="G286" s="8">
        <v>29</v>
      </c>
      <c r="H286" s="9">
        <v>0</v>
      </c>
      <c r="I286" s="10">
        <v>0</v>
      </c>
      <c r="J286" s="11">
        <v>0</v>
      </c>
    </row>
    <row r="287" spans="1:10" x14ac:dyDescent="0.25">
      <c r="A287" s="1" t="str">
        <f t="shared" ca="1" si="28"/>
        <v>Totaal</v>
      </c>
      <c r="B287" s="28">
        <f t="shared" ref="B287:G287" si="29">IF(COUNT(B257:B286)&gt;0,AVERAGE(B257:B286),"")</f>
        <v>747.6</v>
      </c>
      <c r="C287" s="29">
        <f t="shared" si="29"/>
        <v>747.4666666666667</v>
      </c>
      <c r="D287" s="29">
        <f t="shared" si="29"/>
        <v>747.5333333333333</v>
      </c>
      <c r="E287" s="30">
        <f t="shared" si="29"/>
        <v>28.1</v>
      </c>
      <c r="F287" s="31">
        <f t="shared" si="29"/>
        <v>30.833333333333332</v>
      </c>
      <c r="G287" s="31">
        <f t="shared" si="29"/>
        <v>29.533333333333335</v>
      </c>
      <c r="H287" s="32">
        <f>SUM(H257:H286)/10</f>
        <v>122</v>
      </c>
      <c r="I287" s="33">
        <f>SUM(I257:I286)/10</f>
        <v>129.5</v>
      </c>
      <c r="J287" s="34">
        <f>SUM(J257:J286)/10</f>
        <v>154</v>
      </c>
    </row>
    <row r="288" spans="1:10" x14ac:dyDescent="0.25">
      <c r="A288" s="1">
        <f t="shared" ca="1" si="28"/>
        <v>14885</v>
      </c>
      <c r="B288" s="5">
        <v>748</v>
      </c>
      <c r="C288" s="6">
        <v>748</v>
      </c>
      <c r="D288" s="6">
        <v>748</v>
      </c>
      <c r="E288" s="7">
        <v>28</v>
      </c>
      <c r="F288" s="8">
        <v>30</v>
      </c>
      <c r="G288" s="8">
        <v>29</v>
      </c>
      <c r="H288" s="9">
        <v>165</v>
      </c>
      <c r="I288" s="10">
        <v>0</v>
      </c>
      <c r="J288" s="11">
        <v>0</v>
      </c>
    </row>
    <row r="289" spans="1:10" x14ac:dyDescent="0.25">
      <c r="A289" s="1">
        <f t="shared" ca="1" si="28"/>
        <v>14886</v>
      </c>
      <c r="B289" s="5">
        <v>748</v>
      </c>
      <c r="C289" s="6">
        <v>748</v>
      </c>
      <c r="D289" s="6">
        <v>748</v>
      </c>
      <c r="E289" s="7">
        <v>28</v>
      </c>
      <c r="F289" s="8">
        <v>30</v>
      </c>
      <c r="G289" s="8">
        <v>29</v>
      </c>
      <c r="H289" s="9">
        <v>0</v>
      </c>
      <c r="I289" s="10">
        <v>60</v>
      </c>
      <c r="J289" s="11">
        <v>40</v>
      </c>
    </row>
    <row r="290" spans="1:10" x14ac:dyDescent="0.25">
      <c r="A290" s="1">
        <f t="shared" ca="1" si="28"/>
        <v>14887</v>
      </c>
      <c r="B290" s="5">
        <v>748</v>
      </c>
      <c r="C290" s="6">
        <v>748</v>
      </c>
      <c r="D290" s="6">
        <v>748</v>
      </c>
      <c r="E290" s="7">
        <v>28</v>
      </c>
      <c r="F290" s="8">
        <v>30</v>
      </c>
      <c r="G290" s="8">
        <v>29</v>
      </c>
      <c r="H290" s="9">
        <v>100</v>
      </c>
      <c r="I290" s="10">
        <v>0</v>
      </c>
      <c r="J290" s="11">
        <v>0</v>
      </c>
    </row>
    <row r="291" spans="1:10" x14ac:dyDescent="0.25">
      <c r="A291" s="1">
        <f t="shared" ca="1" si="28"/>
        <v>14888</v>
      </c>
      <c r="B291" s="5">
        <v>748</v>
      </c>
      <c r="C291" s="6">
        <v>748</v>
      </c>
      <c r="D291" s="6">
        <v>748</v>
      </c>
      <c r="E291" s="7">
        <v>28</v>
      </c>
      <c r="F291" s="8">
        <v>30</v>
      </c>
      <c r="G291" s="8">
        <v>29</v>
      </c>
      <c r="H291" s="9">
        <v>0</v>
      </c>
      <c r="I291" s="10">
        <v>0</v>
      </c>
      <c r="J291" s="11">
        <v>0</v>
      </c>
    </row>
    <row r="292" spans="1:10" x14ac:dyDescent="0.25">
      <c r="A292" s="1">
        <f t="shared" ca="1" si="28"/>
        <v>14889</v>
      </c>
      <c r="B292" s="5">
        <v>748</v>
      </c>
      <c r="C292" s="6">
        <v>748</v>
      </c>
      <c r="D292" s="6">
        <v>748</v>
      </c>
      <c r="E292" s="7">
        <v>28</v>
      </c>
      <c r="F292" s="8">
        <v>30</v>
      </c>
      <c r="G292" s="8">
        <v>29</v>
      </c>
      <c r="H292" s="9">
        <v>0</v>
      </c>
      <c r="I292" s="10">
        <v>0</v>
      </c>
      <c r="J292" s="11">
        <v>0</v>
      </c>
    </row>
    <row r="293" spans="1:10" x14ac:dyDescent="0.25">
      <c r="A293" s="1">
        <f t="shared" ca="1" si="28"/>
        <v>14890</v>
      </c>
      <c r="B293" s="5">
        <v>748</v>
      </c>
      <c r="C293" s="6">
        <v>748</v>
      </c>
      <c r="D293" s="6">
        <v>748</v>
      </c>
      <c r="E293" s="7">
        <v>28</v>
      </c>
      <c r="F293" s="8">
        <v>30</v>
      </c>
      <c r="G293" s="8">
        <v>29</v>
      </c>
      <c r="H293" s="9">
        <v>0</v>
      </c>
      <c r="I293" s="10">
        <v>0</v>
      </c>
      <c r="J293" s="11">
        <v>0</v>
      </c>
    </row>
    <row r="294" spans="1:10" x14ac:dyDescent="0.25">
      <c r="A294" s="1">
        <f t="shared" ca="1" si="28"/>
        <v>14891</v>
      </c>
      <c r="B294" s="5">
        <v>748</v>
      </c>
      <c r="C294" s="6">
        <v>748</v>
      </c>
      <c r="D294" s="6">
        <v>748</v>
      </c>
      <c r="E294" s="7">
        <v>28</v>
      </c>
      <c r="F294" s="8">
        <v>30</v>
      </c>
      <c r="G294" s="8">
        <v>29</v>
      </c>
      <c r="H294" s="9">
        <v>0</v>
      </c>
      <c r="I294" s="10">
        <v>0</v>
      </c>
      <c r="J294" s="11">
        <v>0</v>
      </c>
    </row>
    <row r="295" spans="1:10" x14ac:dyDescent="0.25">
      <c r="A295" s="1">
        <f t="shared" ca="1" si="28"/>
        <v>14892</v>
      </c>
      <c r="B295" s="5">
        <v>748</v>
      </c>
      <c r="C295" s="6">
        <v>748</v>
      </c>
      <c r="D295" s="6">
        <v>748</v>
      </c>
      <c r="E295" s="7">
        <v>28</v>
      </c>
      <c r="F295" s="8">
        <v>31</v>
      </c>
      <c r="G295" s="8">
        <v>29</v>
      </c>
      <c r="H295" s="9">
        <v>0</v>
      </c>
      <c r="I295" s="10">
        <v>0</v>
      </c>
      <c r="J295" s="11">
        <v>0</v>
      </c>
    </row>
    <row r="296" spans="1:10" x14ac:dyDescent="0.25">
      <c r="A296" s="1">
        <f t="shared" ca="1" si="28"/>
        <v>14893</v>
      </c>
      <c r="B296" s="5">
        <v>748</v>
      </c>
      <c r="C296" s="6">
        <v>748</v>
      </c>
      <c r="D296" s="6">
        <v>748</v>
      </c>
      <c r="E296" s="7">
        <v>28</v>
      </c>
      <c r="F296" s="8">
        <v>31</v>
      </c>
      <c r="G296" s="8">
        <v>29</v>
      </c>
      <c r="H296" s="9">
        <v>0</v>
      </c>
      <c r="I296" s="10">
        <v>0</v>
      </c>
      <c r="J296" s="11">
        <v>0</v>
      </c>
    </row>
    <row r="297" spans="1:10" x14ac:dyDescent="0.25">
      <c r="A297" s="1">
        <f t="shared" ca="1" si="28"/>
        <v>14894</v>
      </c>
      <c r="B297" s="5">
        <v>748</v>
      </c>
      <c r="C297" s="6">
        <v>748</v>
      </c>
      <c r="D297" s="6">
        <v>748</v>
      </c>
      <c r="E297" s="7">
        <v>28</v>
      </c>
      <c r="F297" s="8">
        <v>31</v>
      </c>
      <c r="G297" s="8">
        <v>29</v>
      </c>
      <c r="H297" s="9">
        <v>0</v>
      </c>
      <c r="I297" s="10">
        <v>0</v>
      </c>
      <c r="J297" s="11">
        <v>0</v>
      </c>
    </row>
    <row r="298" spans="1:10" x14ac:dyDescent="0.25">
      <c r="A298" s="1">
        <f t="shared" ca="1" si="28"/>
        <v>14895</v>
      </c>
      <c r="B298" s="5">
        <v>747</v>
      </c>
      <c r="C298" s="6">
        <v>748</v>
      </c>
      <c r="D298" s="6">
        <v>748</v>
      </c>
      <c r="E298" s="7">
        <v>28</v>
      </c>
      <c r="F298" s="8">
        <v>31</v>
      </c>
      <c r="G298" s="8">
        <v>29</v>
      </c>
      <c r="H298" s="9">
        <v>0</v>
      </c>
      <c r="I298" s="10">
        <v>0</v>
      </c>
      <c r="J298" s="11">
        <v>0</v>
      </c>
    </row>
    <row r="299" spans="1:10" x14ac:dyDescent="0.25">
      <c r="A299" s="1">
        <f t="shared" ca="1" si="28"/>
        <v>14896</v>
      </c>
      <c r="B299" s="5">
        <v>748</v>
      </c>
      <c r="C299" s="6">
        <v>748</v>
      </c>
      <c r="D299" s="6">
        <v>748</v>
      </c>
      <c r="E299" s="7">
        <v>28</v>
      </c>
      <c r="F299" s="8">
        <v>31</v>
      </c>
      <c r="G299" s="8">
        <v>29</v>
      </c>
      <c r="H299" s="9">
        <v>55</v>
      </c>
      <c r="I299" s="10">
        <v>60</v>
      </c>
      <c r="J299" s="11">
        <v>20</v>
      </c>
    </row>
    <row r="300" spans="1:10" x14ac:dyDescent="0.25">
      <c r="A300" s="1">
        <f t="shared" ca="1" si="28"/>
        <v>14897</v>
      </c>
      <c r="B300" s="5">
        <v>748</v>
      </c>
      <c r="C300" s="6">
        <v>748</v>
      </c>
      <c r="D300" s="6">
        <v>748</v>
      </c>
      <c r="E300" s="7">
        <v>28</v>
      </c>
      <c r="F300" s="8">
        <v>30</v>
      </c>
      <c r="G300" s="8">
        <v>29</v>
      </c>
      <c r="H300" s="9">
        <v>370</v>
      </c>
      <c r="I300" s="10">
        <v>420</v>
      </c>
      <c r="J300" s="11">
        <v>475</v>
      </c>
    </row>
    <row r="301" spans="1:10" x14ac:dyDescent="0.25">
      <c r="A301" s="1">
        <f t="shared" ca="1" si="28"/>
        <v>14898</v>
      </c>
      <c r="B301" s="5">
        <v>748</v>
      </c>
      <c r="C301" s="6">
        <v>748</v>
      </c>
      <c r="D301" s="6">
        <v>748</v>
      </c>
      <c r="E301" s="7">
        <v>28</v>
      </c>
      <c r="F301" s="8">
        <v>30</v>
      </c>
      <c r="G301" s="8">
        <v>29</v>
      </c>
      <c r="H301" s="9">
        <v>100</v>
      </c>
      <c r="I301" s="10">
        <v>80</v>
      </c>
      <c r="J301" s="11">
        <v>110</v>
      </c>
    </row>
    <row r="302" spans="1:10" x14ac:dyDescent="0.25">
      <c r="A302" s="1">
        <f t="shared" ca="1" si="28"/>
        <v>14899</v>
      </c>
      <c r="B302" s="5">
        <v>748</v>
      </c>
      <c r="C302" s="6">
        <v>748</v>
      </c>
      <c r="D302" s="6">
        <v>748</v>
      </c>
      <c r="E302" s="7">
        <v>28</v>
      </c>
      <c r="F302" s="8">
        <v>31</v>
      </c>
      <c r="G302" s="8">
        <v>30</v>
      </c>
      <c r="H302" s="9">
        <v>125</v>
      </c>
      <c r="I302" s="10">
        <v>150</v>
      </c>
      <c r="J302" s="11">
        <v>185</v>
      </c>
    </row>
    <row r="303" spans="1:10" x14ac:dyDescent="0.25">
      <c r="A303" s="1">
        <f t="shared" ca="1" si="28"/>
        <v>14900</v>
      </c>
      <c r="B303" s="5">
        <v>748</v>
      </c>
      <c r="C303" s="6">
        <v>748</v>
      </c>
      <c r="D303" s="6">
        <v>748</v>
      </c>
      <c r="E303" s="7">
        <v>28</v>
      </c>
      <c r="F303" s="8">
        <v>30</v>
      </c>
      <c r="G303" s="8">
        <v>28</v>
      </c>
      <c r="H303" s="9">
        <v>65</v>
      </c>
      <c r="I303" s="10">
        <v>70</v>
      </c>
      <c r="J303" s="11">
        <v>0</v>
      </c>
    </row>
    <row r="304" spans="1:10" x14ac:dyDescent="0.25">
      <c r="A304" s="1">
        <f t="shared" ca="1" si="28"/>
        <v>14901</v>
      </c>
      <c r="B304" s="5">
        <v>749</v>
      </c>
      <c r="C304" s="6">
        <v>748</v>
      </c>
      <c r="D304" s="6">
        <v>749</v>
      </c>
      <c r="E304" s="7">
        <v>27</v>
      </c>
      <c r="F304" s="8">
        <v>31</v>
      </c>
      <c r="G304" s="8">
        <v>30</v>
      </c>
      <c r="H304" s="9">
        <v>100</v>
      </c>
      <c r="I304" s="10">
        <v>230</v>
      </c>
      <c r="J304" s="11">
        <v>170</v>
      </c>
    </row>
    <row r="305" spans="1:10" x14ac:dyDescent="0.25">
      <c r="A305" s="1">
        <f t="shared" ca="1" si="28"/>
        <v>14902</v>
      </c>
      <c r="B305" s="5">
        <v>748</v>
      </c>
      <c r="C305" s="6">
        <v>748</v>
      </c>
      <c r="D305" s="6">
        <v>748</v>
      </c>
      <c r="E305" s="7">
        <v>28</v>
      </c>
      <c r="F305" s="8">
        <v>31</v>
      </c>
      <c r="G305" s="8">
        <v>30</v>
      </c>
      <c r="H305" s="9">
        <v>25</v>
      </c>
      <c r="I305" s="10">
        <v>20</v>
      </c>
      <c r="J305" s="11">
        <v>0</v>
      </c>
    </row>
    <row r="306" spans="1:10" x14ac:dyDescent="0.25">
      <c r="A306" s="1">
        <f t="shared" ca="1" si="28"/>
        <v>14903</v>
      </c>
      <c r="B306" s="5">
        <v>748</v>
      </c>
      <c r="C306" s="6">
        <v>747</v>
      </c>
      <c r="D306" s="6">
        <v>748</v>
      </c>
      <c r="E306" s="7">
        <v>28</v>
      </c>
      <c r="F306" s="8">
        <v>31</v>
      </c>
      <c r="G306" s="8">
        <v>30</v>
      </c>
      <c r="H306" s="9">
        <v>0</v>
      </c>
      <c r="I306" s="10">
        <v>30</v>
      </c>
      <c r="J306" s="11">
        <v>20</v>
      </c>
    </row>
    <row r="307" spans="1:10" x14ac:dyDescent="0.25">
      <c r="A307" s="1">
        <f t="shared" ca="1" si="28"/>
        <v>14904</v>
      </c>
      <c r="B307" s="5">
        <v>748</v>
      </c>
      <c r="C307" s="6">
        <v>748</v>
      </c>
      <c r="D307" s="6">
        <v>748</v>
      </c>
      <c r="E307" s="7">
        <v>28</v>
      </c>
      <c r="F307" s="8">
        <v>30</v>
      </c>
      <c r="G307" s="8">
        <v>29</v>
      </c>
      <c r="H307" s="9">
        <v>0</v>
      </c>
      <c r="I307" s="10">
        <v>10</v>
      </c>
      <c r="J307" s="11">
        <v>0</v>
      </c>
    </row>
    <row r="308" spans="1:10" x14ac:dyDescent="0.25">
      <c r="A308" s="1">
        <f t="shared" ca="1" si="28"/>
        <v>14905</v>
      </c>
      <c r="B308" s="5">
        <v>747</v>
      </c>
      <c r="C308" s="6">
        <v>748</v>
      </c>
      <c r="D308" s="6">
        <v>748</v>
      </c>
      <c r="E308" s="7">
        <v>28</v>
      </c>
      <c r="F308" s="8">
        <v>31</v>
      </c>
      <c r="G308" s="8">
        <v>29</v>
      </c>
      <c r="H308" s="9">
        <v>27</v>
      </c>
      <c r="I308" s="10">
        <v>0</v>
      </c>
      <c r="J308" s="11">
        <v>15</v>
      </c>
    </row>
    <row r="309" spans="1:10" x14ac:dyDescent="0.25">
      <c r="A309" s="1">
        <f t="shared" ca="1" si="28"/>
        <v>14906</v>
      </c>
      <c r="B309" s="5">
        <v>748</v>
      </c>
      <c r="C309" s="6">
        <v>748</v>
      </c>
      <c r="D309" s="6">
        <v>747</v>
      </c>
      <c r="E309" s="7">
        <v>28</v>
      </c>
      <c r="F309" s="8">
        <v>30</v>
      </c>
      <c r="G309" s="8">
        <v>29</v>
      </c>
      <c r="H309" s="9">
        <v>0</v>
      </c>
      <c r="I309" s="10">
        <v>0</v>
      </c>
      <c r="J309" s="11">
        <v>90</v>
      </c>
    </row>
    <row r="310" spans="1:10" x14ac:dyDescent="0.25">
      <c r="A310" s="1">
        <f t="shared" ca="1" si="28"/>
        <v>14907</v>
      </c>
      <c r="B310" s="5">
        <v>747</v>
      </c>
      <c r="C310" s="6">
        <v>747</v>
      </c>
      <c r="D310" s="6">
        <v>748</v>
      </c>
      <c r="E310" s="7">
        <v>28</v>
      </c>
      <c r="F310" s="8">
        <v>30</v>
      </c>
      <c r="G310" s="8">
        <v>29</v>
      </c>
      <c r="H310" s="9">
        <v>0</v>
      </c>
      <c r="I310" s="10">
        <v>0</v>
      </c>
      <c r="J310" s="11">
        <v>0</v>
      </c>
    </row>
    <row r="311" spans="1:10" x14ac:dyDescent="0.25">
      <c r="A311" s="1">
        <f t="shared" ca="1" si="28"/>
        <v>14908</v>
      </c>
      <c r="B311" s="5">
        <v>747</v>
      </c>
      <c r="C311" s="6">
        <v>748</v>
      </c>
      <c r="D311" s="6">
        <v>748</v>
      </c>
      <c r="E311" s="7">
        <v>28</v>
      </c>
      <c r="F311" s="8">
        <v>30</v>
      </c>
      <c r="G311" s="8">
        <v>29</v>
      </c>
      <c r="H311" s="9">
        <v>0</v>
      </c>
      <c r="I311" s="10">
        <v>0</v>
      </c>
      <c r="J311" s="11">
        <v>0</v>
      </c>
    </row>
    <row r="312" spans="1:10" x14ac:dyDescent="0.25">
      <c r="A312" s="1">
        <f t="shared" ca="1" si="28"/>
        <v>14909</v>
      </c>
      <c r="B312" s="5">
        <v>748</v>
      </c>
      <c r="C312" s="6">
        <v>748</v>
      </c>
      <c r="D312" s="6">
        <v>748</v>
      </c>
      <c r="E312" s="7">
        <v>28</v>
      </c>
      <c r="F312" s="8">
        <v>31</v>
      </c>
      <c r="G312" s="8">
        <v>30</v>
      </c>
      <c r="H312" s="9">
        <v>220</v>
      </c>
      <c r="I312" s="10">
        <v>230</v>
      </c>
      <c r="J312" s="11">
        <v>230</v>
      </c>
    </row>
    <row r="313" spans="1:10" x14ac:dyDescent="0.25">
      <c r="A313" s="1">
        <f t="shared" ca="1" si="28"/>
        <v>14910</v>
      </c>
      <c r="B313" s="5">
        <v>748</v>
      </c>
      <c r="C313" s="6">
        <v>748</v>
      </c>
      <c r="D313" s="6">
        <v>749</v>
      </c>
      <c r="E313" s="7">
        <v>28</v>
      </c>
      <c r="F313" s="8">
        <v>31</v>
      </c>
      <c r="G313" s="8">
        <v>30</v>
      </c>
      <c r="H313" s="9">
        <v>0</v>
      </c>
      <c r="I313" s="10">
        <v>0</v>
      </c>
      <c r="J313" s="11">
        <v>0</v>
      </c>
    </row>
    <row r="314" spans="1:10" x14ac:dyDescent="0.25">
      <c r="A314" s="1">
        <f t="shared" ca="1" si="28"/>
        <v>14911</v>
      </c>
      <c r="B314" s="5">
        <v>749</v>
      </c>
      <c r="C314" s="6">
        <v>749</v>
      </c>
      <c r="D314" s="6">
        <v>749</v>
      </c>
      <c r="E314" s="7">
        <v>28</v>
      </c>
      <c r="F314" s="8">
        <v>31</v>
      </c>
      <c r="G314" s="8">
        <v>30</v>
      </c>
      <c r="H314" s="9">
        <v>0</v>
      </c>
      <c r="I314" s="10">
        <v>0</v>
      </c>
      <c r="J314" s="11">
        <v>0</v>
      </c>
    </row>
    <row r="315" spans="1:10" x14ac:dyDescent="0.25">
      <c r="A315" s="1">
        <f t="shared" ca="1" si="28"/>
        <v>14912</v>
      </c>
      <c r="B315" s="5">
        <v>749</v>
      </c>
      <c r="C315" s="6">
        <v>749</v>
      </c>
      <c r="D315" s="6">
        <v>749</v>
      </c>
      <c r="E315" s="7">
        <v>28</v>
      </c>
      <c r="F315" s="8">
        <v>31</v>
      </c>
      <c r="G315" s="8">
        <v>30</v>
      </c>
      <c r="H315" s="9">
        <v>0</v>
      </c>
      <c r="I315" s="10">
        <v>0</v>
      </c>
      <c r="J315" s="11">
        <v>0</v>
      </c>
    </row>
    <row r="316" spans="1:10" x14ac:dyDescent="0.25">
      <c r="A316" s="1">
        <f t="shared" ca="1" si="28"/>
        <v>14913</v>
      </c>
      <c r="B316" s="5">
        <v>749</v>
      </c>
      <c r="C316" s="6">
        <v>749</v>
      </c>
      <c r="D316" s="6">
        <v>749</v>
      </c>
      <c r="E316" s="7">
        <v>28</v>
      </c>
      <c r="F316" s="8">
        <v>31</v>
      </c>
      <c r="G316" s="8">
        <v>30</v>
      </c>
      <c r="H316" s="9">
        <v>0</v>
      </c>
      <c r="I316" s="10">
        <v>0</v>
      </c>
      <c r="J316" s="11">
        <v>0</v>
      </c>
    </row>
    <row r="317" spans="1:10" x14ac:dyDescent="0.25">
      <c r="A317" s="1">
        <f t="shared" ca="1" si="28"/>
        <v>14914</v>
      </c>
      <c r="B317" s="5">
        <v>749</v>
      </c>
      <c r="C317" s="6">
        <v>749</v>
      </c>
      <c r="D317" s="6">
        <v>748</v>
      </c>
      <c r="E317" s="7">
        <v>28</v>
      </c>
      <c r="F317" s="8">
        <v>31</v>
      </c>
      <c r="G317" s="8">
        <v>30</v>
      </c>
      <c r="H317" s="9">
        <v>25</v>
      </c>
      <c r="I317" s="10">
        <v>20</v>
      </c>
      <c r="J317" s="11">
        <v>30</v>
      </c>
    </row>
    <row r="318" spans="1:10" x14ac:dyDescent="0.25">
      <c r="A318" s="1">
        <f t="shared" ca="1" si="28"/>
        <v>14915</v>
      </c>
      <c r="B318" s="5">
        <v>747</v>
      </c>
      <c r="C318" s="6">
        <v>747</v>
      </c>
      <c r="D318" s="6">
        <v>747</v>
      </c>
      <c r="E318" s="7">
        <v>28</v>
      </c>
      <c r="F318" s="8">
        <v>31</v>
      </c>
      <c r="G318" s="8">
        <v>30</v>
      </c>
      <c r="H318" s="9">
        <v>35</v>
      </c>
      <c r="I318" s="10">
        <v>30</v>
      </c>
      <c r="J318" s="11">
        <v>55</v>
      </c>
    </row>
    <row r="319" spans="1:10" x14ac:dyDescent="0.25">
      <c r="A319" s="1" t="str">
        <f t="shared" ca="1" si="28"/>
        <v>Totaal</v>
      </c>
      <c r="B319" s="28">
        <f>IF(COUNT(B288:B318)&gt;0,AVERAGE(B288:B318),"")</f>
        <v>748</v>
      </c>
      <c r="C319" s="29">
        <f t="shared" ref="C319" si="30">IF(COUNT(C288:C318)&gt;0,AVERAGE(C288:C318),"")</f>
        <v>748.0322580645161</v>
      </c>
      <c r="D319" s="29">
        <f t="shared" ref="D319" si="31">IF(COUNT(D288:D318)&gt;0,AVERAGE(D288:D318),"")</f>
        <v>748.09677419354841</v>
      </c>
      <c r="E319" s="30">
        <f t="shared" ref="E319" si="32">IF(COUNT(E288:E318)&gt;0,AVERAGE(E288:E318),"")</f>
        <v>27.967741935483872</v>
      </c>
      <c r="F319" s="31">
        <f t="shared" ref="F319" si="33">IF(COUNT(F288:F318)&gt;0,AVERAGE(F288:F318),"")</f>
        <v>30.548387096774192</v>
      </c>
      <c r="G319" s="31">
        <f t="shared" ref="G319" si="34">IF(COUNT(G288:G318)&gt;0,AVERAGE(G288:G318),"")</f>
        <v>29.322580645161292</v>
      </c>
      <c r="H319" s="32">
        <f>SUM(H288:H318)/10</f>
        <v>141.19999999999999</v>
      </c>
      <c r="I319" s="33">
        <f>SUM(I288:I318)/10</f>
        <v>141</v>
      </c>
      <c r="J319" s="34">
        <f>SUM(J288:J318)/10</f>
        <v>144</v>
      </c>
    </row>
    <row r="320" spans="1:10" x14ac:dyDescent="0.25">
      <c r="A320" s="1">
        <f t="shared" ca="1" si="28"/>
        <v>14916</v>
      </c>
      <c r="B320" s="5">
        <v>747</v>
      </c>
      <c r="C320" s="6">
        <v>748</v>
      </c>
      <c r="D320" s="6">
        <v>748</v>
      </c>
      <c r="E320" s="7">
        <v>28</v>
      </c>
      <c r="F320" s="8">
        <v>31</v>
      </c>
      <c r="G320" s="8">
        <v>30</v>
      </c>
      <c r="H320" s="9">
        <v>50</v>
      </c>
      <c r="I320" s="10">
        <v>40</v>
      </c>
      <c r="J320" s="11">
        <v>65</v>
      </c>
    </row>
    <row r="321" spans="1:10" x14ac:dyDescent="0.25">
      <c r="A321" s="1">
        <f t="shared" ca="1" si="28"/>
        <v>14917</v>
      </c>
      <c r="B321" s="5">
        <v>748</v>
      </c>
      <c r="C321" s="6">
        <v>747</v>
      </c>
      <c r="D321" s="6">
        <v>747</v>
      </c>
      <c r="E321" s="7">
        <v>28</v>
      </c>
      <c r="F321" s="8">
        <v>31</v>
      </c>
      <c r="G321" s="8">
        <v>30</v>
      </c>
      <c r="H321" s="9">
        <v>0</v>
      </c>
      <c r="I321" s="10">
        <v>0</v>
      </c>
      <c r="J321" s="11">
        <v>0</v>
      </c>
    </row>
    <row r="322" spans="1:10" x14ac:dyDescent="0.25">
      <c r="A322" s="1">
        <f t="shared" ca="1" si="28"/>
        <v>14918</v>
      </c>
      <c r="B322" s="5">
        <v>747</v>
      </c>
      <c r="C322" s="6">
        <v>746</v>
      </c>
      <c r="D322" s="6">
        <v>746</v>
      </c>
      <c r="E322" s="7">
        <v>28</v>
      </c>
      <c r="F322" s="8">
        <v>30</v>
      </c>
      <c r="G322" s="8">
        <v>29</v>
      </c>
      <c r="H322" s="9">
        <v>10</v>
      </c>
      <c r="I322" s="10">
        <v>20</v>
      </c>
      <c r="J322" s="11">
        <v>0</v>
      </c>
    </row>
    <row r="323" spans="1:10" x14ac:dyDescent="0.25">
      <c r="A323" s="1">
        <f t="shared" ca="1" si="28"/>
        <v>14919</v>
      </c>
      <c r="B323" s="5">
        <v>745</v>
      </c>
      <c r="C323" s="6">
        <v>745</v>
      </c>
      <c r="D323" s="6">
        <v>745</v>
      </c>
      <c r="E323" s="7">
        <v>28</v>
      </c>
      <c r="F323" s="8">
        <v>29</v>
      </c>
      <c r="G323" s="8">
        <v>28</v>
      </c>
      <c r="H323" s="9">
        <v>330</v>
      </c>
      <c r="I323" s="10">
        <v>420</v>
      </c>
      <c r="J323" s="11">
        <v>65</v>
      </c>
    </row>
    <row r="324" spans="1:10" x14ac:dyDescent="0.25">
      <c r="A324" s="1">
        <f t="shared" ca="1" si="28"/>
        <v>14920</v>
      </c>
      <c r="B324" s="5">
        <v>745</v>
      </c>
      <c r="C324" s="6">
        <v>745</v>
      </c>
      <c r="D324" s="6">
        <v>745</v>
      </c>
      <c r="E324" s="7">
        <v>26</v>
      </c>
      <c r="F324" s="8">
        <v>30</v>
      </c>
      <c r="G324" s="8">
        <v>28</v>
      </c>
      <c r="H324" s="9">
        <v>55</v>
      </c>
      <c r="I324" s="10">
        <v>70</v>
      </c>
      <c r="J324" s="11">
        <v>50</v>
      </c>
    </row>
    <row r="325" spans="1:10" x14ac:dyDescent="0.25">
      <c r="A325" s="1">
        <f t="shared" ca="1" si="28"/>
        <v>14921</v>
      </c>
      <c r="B325" s="5">
        <v>745</v>
      </c>
      <c r="C325" s="6">
        <v>745</v>
      </c>
      <c r="D325" s="6">
        <v>745</v>
      </c>
      <c r="E325" s="7">
        <v>27</v>
      </c>
      <c r="F325" s="8">
        <v>31</v>
      </c>
      <c r="G325" s="8">
        <v>29</v>
      </c>
      <c r="H325" s="9">
        <v>0</v>
      </c>
      <c r="I325" s="10">
        <v>0</v>
      </c>
      <c r="J325" s="11">
        <v>0</v>
      </c>
    </row>
    <row r="326" spans="1:10" x14ac:dyDescent="0.25">
      <c r="A326" s="1">
        <f t="shared" ca="1" si="28"/>
        <v>14922</v>
      </c>
      <c r="B326" s="5">
        <v>746</v>
      </c>
      <c r="C326" s="6">
        <v>746</v>
      </c>
      <c r="D326" s="6">
        <v>746</v>
      </c>
      <c r="E326" s="7">
        <v>27</v>
      </c>
      <c r="F326" s="8">
        <v>30</v>
      </c>
      <c r="G326" s="8">
        <v>29</v>
      </c>
      <c r="H326" s="9">
        <v>0</v>
      </c>
      <c r="I326" s="10">
        <v>0</v>
      </c>
      <c r="J326" s="11">
        <v>0</v>
      </c>
    </row>
    <row r="327" spans="1:10" x14ac:dyDescent="0.25">
      <c r="A327" s="1">
        <f t="shared" ref="A327:A382" ca="1" si="35">IF(ISTEXT(A326),A325+1,IF(MONTH(A326+1)=MONTH(A326),A326+1,"Totaal"))</f>
        <v>14923</v>
      </c>
      <c r="B327" s="5">
        <v>746</v>
      </c>
      <c r="C327" s="6">
        <v>746</v>
      </c>
      <c r="D327" s="6">
        <v>746</v>
      </c>
      <c r="E327" s="7">
        <v>28</v>
      </c>
      <c r="F327" s="8">
        <v>31</v>
      </c>
      <c r="G327" s="8">
        <v>30</v>
      </c>
      <c r="H327" s="9">
        <v>0</v>
      </c>
      <c r="I327" s="10">
        <v>0</v>
      </c>
      <c r="J327" s="11">
        <v>0</v>
      </c>
    </row>
    <row r="328" spans="1:10" x14ac:dyDescent="0.25">
      <c r="A328" s="1">
        <f t="shared" ca="1" si="35"/>
        <v>14924</v>
      </c>
      <c r="B328" s="5">
        <v>746</v>
      </c>
      <c r="C328" s="6">
        <v>747</v>
      </c>
      <c r="D328" s="6">
        <v>747</v>
      </c>
      <c r="E328" s="7">
        <v>28</v>
      </c>
      <c r="F328" s="8">
        <v>31</v>
      </c>
      <c r="G328" s="8">
        <v>30</v>
      </c>
      <c r="H328" s="9">
        <v>0</v>
      </c>
      <c r="I328" s="10">
        <v>0</v>
      </c>
      <c r="J328" s="11">
        <v>0</v>
      </c>
    </row>
    <row r="329" spans="1:10" x14ac:dyDescent="0.25">
      <c r="A329" s="1">
        <f t="shared" ca="1" si="35"/>
        <v>14925</v>
      </c>
      <c r="B329" s="5">
        <v>748</v>
      </c>
      <c r="C329" s="6">
        <v>748</v>
      </c>
      <c r="D329" s="6">
        <v>748</v>
      </c>
      <c r="E329" s="7">
        <v>28</v>
      </c>
      <c r="F329" s="8">
        <v>30</v>
      </c>
      <c r="G329" s="8">
        <v>29</v>
      </c>
      <c r="H329" s="9">
        <v>70</v>
      </c>
      <c r="I329" s="10">
        <v>130</v>
      </c>
      <c r="J329" s="11">
        <v>0</v>
      </c>
    </row>
    <row r="330" spans="1:10" x14ac:dyDescent="0.25">
      <c r="A330" s="1">
        <f t="shared" ca="1" si="35"/>
        <v>14926</v>
      </c>
      <c r="B330" s="5">
        <v>748</v>
      </c>
      <c r="C330" s="6">
        <v>748</v>
      </c>
      <c r="D330" s="6">
        <v>748</v>
      </c>
      <c r="E330" s="7">
        <v>26</v>
      </c>
      <c r="F330" s="8">
        <v>29</v>
      </c>
      <c r="G330" s="8">
        <v>28</v>
      </c>
      <c r="H330" s="9">
        <v>70</v>
      </c>
      <c r="I330" s="10">
        <v>60</v>
      </c>
      <c r="J330" s="11">
        <v>65</v>
      </c>
    </row>
    <row r="331" spans="1:10" x14ac:dyDescent="0.25">
      <c r="A331" s="1">
        <f t="shared" ca="1" si="35"/>
        <v>14927</v>
      </c>
      <c r="B331" s="5">
        <v>747</v>
      </c>
      <c r="C331" s="6">
        <v>746</v>
      </c>
      <c r="D331" s="6">
        <v>745</v>
      </c>
      <c r="E331" s="7">
        <v>26</v>
      </c>
      <c r="F331" s="8">
        <v>29</v>
      </c>
      <c r="G331" s="8">
        <v>28</v>
      </c>
      <c r="H331" s="9">
        <v>0</v>
      </c>
      <c r="I331" s="10">
        <v>0</v>
      </c>
      <c r="J331" s="11">
        <v>90</v>
      </c>
    </row>
    <row r="332" spans="1:10" x14ac:dyDescent="0.25">
      <c r="A332" s="1">
        <f t="shared" ca="1" si="35"/>
        <v>14928</v>
      </c>
      <c r="B332" s="5">
        <v>745</v>
      </c>
      <c r="C332" s="6">
        <v>745</v>
      </c>
      <c r="D332" s="6">
        <v>745</v>
      </c>
      <c r="E332" s="7">
        <v>26</v>
      </c>
      <c r="F332" s="8">
        <v>29</v>
      </c>
      <c r="G332" s="8">
        <v>28</v>
      </c>
      <c r="H332" s="9">
        <v>85</v>
      </c>
      <c r="I332" s="10">
        <v>100</v>
      </c>
      <c r="J332" s="11">
        <v>80</v>
      </c>
    </row>
    <row r="333" spans="1:10" x14ac:dyDescent="0.25">
      <c r="A333" s="1">
        <f t="shared" ca="1" si="35"/>
        <v>14929</v>
      </c>
      <c r="B333" s="5">
        <v>746</v>
      </c>
      <c r="C333" s="6">
        <v>746</v>
      </c>
      <c r="D333" s="6">
        <v>747</v>
      </c>
      <c r="E333" s="7">
        <v>26</v>
      </c>
      <c r="F333" s="8">
        <v>29</v>
      </c>
      <c r="G333" s="8">
        <v>28</v>
      </c>
      <c r="H333" s="9">
        <v>100</v>
      </c>
      <c r="I333" s="10">
        <v>20</v>
      </c>
      <c r="J333" s="11">
        <v>35</v>
      </c>
    </row>
    <row r="334" spans="1:10" x14ac:dyDescent="0.25">
      <c r="A334" s="1">
        <f t="shared" ca="1" si="35"/>
        <v>14930</v>
      </c>
      <c r="B334" s="5">
        <v>747</v>
      </c>
      <c r="C334" s="6">
        <v>747</v>
      </c>
      <c r="D334" s="6">
        <v>748</v>
      </c>
      <c r="E334" s="7">
        <v>26</v>
      </c>
      <c r="F334" s="8">
        <v>29</v>
      </c>
      <c r="G334" s="8">
        <v>28</v>
      </c>
      <c r="H334" s="9">
        <v>100</v>
      </c>
      <c r="I334" s="10">
        <v>130</v>
      </c>
      <c r="J334" s="11">
        <v>115</v>
      </c>
    </row>
    <row r="335" spans="1:10" x14ac:dyDescent="0.25">
      <c r="A335" s="1">
        <f t="shared" ca="1" si="35"/>
        <v>14931</v>
      </c>
      <c r="B335" s="5">
        <v>749</v>
      </c>
      <c r="C335" s="6">
        <v>749</v>
      </c>
      <c r="D335" s="6">
        <v>749</v>
      </c>
      <c r="E335" s="7">
        <v>27</v>
      </c>
      <c r="F335" s="8">
        <v>29</v>
      </c>
      <c r="G335" s="8">
        <v>28</v>
      </c>
      <c r="H335" s="9">
        <v>15</v>
      </c>
      <c r="I335" s="10">
        <v>0</v>
      </c>
      <c r="J335" s="11">
        <v>75</v>
      </c>
    </row>
    <row r="336" spans="1:10" x14ac:dyDescent="0.25">
      <c r="A336" s="1">
        <f t="shared" ca="1" si="35"/>
        <v>14932</v>
      </c>
      <c r="B336" s="5">
        <v>749</v>
      </c>
      <c r="C336" s="6">
        <v>749</v>
      </c>
      <c r="D336" s="6">
        <v>749</v>
      </c>
      <c r="E336" s="7">
        <v>27</v>
      </c>
      <c r="F336" s="8">
        <v>29</v>
      </c>
      <c r="G336" s="8">
        <v>28</v>
      </c>
      <c r="H336" s="9">
        <v>0</v>
      </c>
      <c r="I336" s="10">
        <v>0</v>
      </c>
      <c r="J336" s="11">
        <v>25</v>
      </c>
    </row>
    <row r="337" spans="1:10" x14ac:dyDescent="0.25">
      <c r="A337" s="1">
        <f t="shared" ca="1" si="35"/>
        <v>14933</v>
      </c>
      <c r="B337" s="5">
        <v>749</v>
      </c>
      <c r="C337" s="6">
        <v>750</v>
      </c>
      <c r="D337" s="6">
        <v>750</v>
      </c>
      <c r="E337" s="7">
        <v>28</v>
      </c>
      <c r="F337" s="8">
        <v>29</v>
      </c>
      <c r="G337" s="8">
        <v>28</v>
      </c>
      <c r="H337" s="9">
        <v>0</v>
      </c>
      <c r="I337" s="10">
        <v>0</v>
      </c>
      <c r="J337" s="11">
        <v>0</v>
      </c>
    </row>
    <row r="338" spans="1:10" x14ac:dyDescent="0.25">
      <c r="A338" s="1">
        <f t="shared" ca="1" si="35"/>
        <v>14934</v>
      </c>
      <c r="B338" s="5">
        <v>750</v>
      </c>
      <c r="C338" s="6">
        <v>750</v>
      </c>
      <c r="D338" s="6">
        <v>750</v>
      </c>
      <c r="E338" s="7">
        <v>27</v>
      </c>
      <c r="F338" s="8">
        <v>29</v>
      </c>
      <c r="G338" s="8">
        <v>28</v>
      </c>
      <c r="H338" s="9">
        <v>40</v>
      </c>
      <c r="I338" s="10">
        <v>30</v>
      </c>
      <c r="J338" s="11">
        <v>60</v>
      </c>
    </row>
    <row r="339" spans="1:10" x14ac:dyDescent="0.25">
      <c r="A339" s="1">
        <f t="shared" ca="1" si="35"/>
        <v>14935</v>
      </c>
      <c r="B339" s="5">
        <v>749</v>
      </c>
      <c r="C339" s="6">
        <v>749</v>
      </c>
      <c r="D339" s="6">
        <v>749</v>
      </c>
      <c r="E339" s="7">
        <v>27</v>
      </c>
      <c r="F339" s="8">
        <v>29</v>
      </c>
      <c r="G339" s="8">
        <v>28</v>
      </c>
      <c r="H339" s="9">
        <v>110</v>
      </c>
      <c r="I339" s="10">
        <v>90</v>
      </c>
      <c r="J339" s="11">
        <v>70</v>
      </c>
    </row>
    <row r="340" spans="1:10" x14ac:dyDescent="0.25">
      <c r="A340" s="1">
        <f t="shared" ca="1" si="35"/>
        <v>14936</v>
      </c>
      <c r="B340" s="5">
        <v>749</v>
      </c>
      <c r="C340" s="6">
        <v>749</v>
      </c>
      <c r="D340" s="6">
        <v>749</v>
      </c>
      <c r="E340" s="7">
        <v>27</v>
      </c>
      <c r="F340" s="8">
        <v>29</v>
      </c>
      <c r="G340" s="8">
        <v>28</v>
      </c>
      <c r="H340" s="9">
        <v>0</v>
      </c>
      <c r="I340" s="10">
        <v>0</v>
      </c>
      <c r="J340" s="11">
        <v>0</v>
      </c>
    </row>
    <row r="341" spans="1:10" x14ac:dyDescent="0.25">
      <c r="A341" s="1">
        <f t="shared" ca="1" si="35"/>
        <v>14937</v>
      </c>
      <c r="B341" s="5">
        <v>749</v>
      </c>
      <c r="C341" s="6">
        <v>749</v>
      </c>
      <c r="D341" s="6">
        <v>749</v>
      </c>
      <c r="E341" s="7">
        <v>27</v>
      </c>
      <c r="F341" s="8">
        <v>30</v>
      </c>
      <c r="G341" s="8">
        <v>29</v>
      </c>
      <c r="H341" s="9">
        <v>0</v>
      </c>
      <c r="I341" s="10">
        <v>0</v>
      </c>
      <c r="J341" s="11">
        <v>0</v>
      </c>
    </row>
    <row r="342" spans="1:10" x14ac:dyDescent="0.25">
      <c r="A342" s="1">
        <f t="shared" ca="1" si="35"/>
        <v>14938</v>
      </c>
      <c r="B342" s="5">
        <v>748</v>
      </c>
      <c r="C342" s="6">
        <v>748</v>
      </c>
      <c r="D342" s="6">
        <v>748</v>
      </c>
      <c r="E342" s="7">
        <v>26</v>
      </c>
      <c r="F342" s="8">
        <v>29</v>
      </c>
      <c r="G342" s="8">
        <v>27</v>
      </c>
      <c r="H342" s="9">
        <v>45</v>
      </c>
      <c r="I342" s="10">
        <v>20</v>
      </c>
      <c r="J342" s="11">
        <v>0</v>
      </c>
    </row>
    <row r="343" spans="1:10" x14ac:dyDescent="0.25">
      <c r="A343" s="1">
        <f t="shared" ca="1" si="35"/>
        <v>14939</v>
      </c>
      <c r="B343" s="5">
        <v>748</v>
      </c>
      <c r="C343" s="6">
        <v>748</v>
      </c>
      <c r="D343" s="6">
        <v>748</v>
      </c>
      <c r="E343" s="7">
        <v>27</v>
      </c>
      <c r="F343" s="8">
        <v>30</v>
      </c>
      <c r="G343" s="8">
        <v>29</v>
      </c>
      <c r="H343" s="9">
        <v>190</v>
      </c>
      <c r="I343" s="10">
        <v>240</v>
      </c>
      <c r="J343" s="11">
        <v>270</v>
      </c>
    </row>
    <row r="344" spans="1:10" x14ac:dyDescent="0.25">
      <c r="A344" s="1">
        <f t="shared" ca="1" si="35"/>
        <v>14940</v>
      </c>
      <c r="B344" s="5">
        <v>748</v>
      </c>
      <c r="C344" s="6">
        <v>748</v>
      </c>
      <c r="D344" s="6">
        <v>748</v>
      </c>
      <c r="E344" s="7">
        <v>26</v>
      </c>
      <c r="F344" s="8">
        <v>30</v>
      </c>
      <c r="G344" s="8">
        <v>29</v>
      </c>
      <c r="H344" s="9">
        <v>0</v>
      </c>
      <c r="I344" s="10">
        <v>0</v>
      </c>
      <c r="J344" s="11">
        <v>0</v>
      </c>
    </row>
    <row r="345" spans="1:10" x14ac:dyDescent="0.25">
      <c r="A345" s="1">
        <f t="shared" ca="1" si="35"/>
        <v>14941</v>
      </c>
      <c r="B345" s="5">
        <v>748</v>
      </c>
      <c r="C345" s="6">
        <v>748</v>
      </c>
      <c r="D345" s="6">
        <v>748</v>
      </c>
      <c r="E345" s="7">
        <v>27</v>
      </c>
      <c r="F345" s="8">
        <v>30</v>
      </c>
      <c r="G345" s="8">
        <v>29</v>
      </c>
      <c r="H345" s="9">
        <v>25</v>
      </c>
      <c r="I345" s="10">
        <v>40</v>
      </c>
      <c r="J345" s="11">
        <v>65</v>
      </c>
    </row>
    <row r="346" spans="1:10" x14ac:dyDescent="0.25">
      <c r="A346" s="1">
        <f t="shared" ca="1" si="35"/>
        <v>14942</v>
      </c>
      <c r="B346" s="5">
        <v>748</v>
      </c>
      <c r="C346" s="6">
        <v>748</v>
      </c>
      <c r="D346" s="6">
        <v>749</v>
      </c>
      <c r="E346" s="7">
        <v>27</v>
      </c>
      <c r="F346" s="8">
        <v>30</v>
      </c>
      <c r="G346" s="8">
        <v>29</v>
      </c>
      <c r="H346" s="9">
        <v>0</v>
      </c>
      <c r="I346" s="10">
        <v>0</v>
      </c>
      <c r="J346" s="11">
        <v>0</v>
      </c>
    </row>
    <row r="347" spans="1:10" x14ac:dyDescent="0.25">
      <c r="A347" s="1">
        <f t="shared" ca="1" si="35"/>
        <v>14943</v>
      </c>
      <c r="B347" s="5">
        <v>750</v>
      </c>
      <c r="C347" s="6">
        <v>750</v>
      </c>
      <c r="D347" s="6">
        <v>750</v>
      </c>
      <c r="E347" s="7">
        <v>27</v>
      </c>
      <c r="F347" s="8">
        <v>30</v>
      </c>
      <c r="G347" s="8">
        <v>29</v>
      </c>
      <c r="H347" s="9">
        <v>10</v>
      </c>
      <c r="I347" s="10">
        <v>20</v>
      </c>
      <c r="J347" s="11">
        <v>30</v>
      </c>
    </row>
    <row r="348" spans="1:10" x14ac:dyDescent="0.25">
      <c r="A348" s="1">
        <f t="shared" ca="1" si="35"/>
        <v>14944</v>
      </c>
      <c r="B348" s="5">
        <v>750</v>
      </c>
      <c r="C348" s="6">
        <v>750</v>
      </c>
      <c r="D348" s="6">
        <v>750</v>
      </c>
      <c r="E348" s="7">
        <v>27</v>
      </c>
      <c r="F348" s="8">
        <v>30</v>
      </c>
      <c r="G348" s="8">
        <v>29</v>
      </c>
      <c r="H348" s="9">
        <v>50</v>
      </c>
      <c r="I348" s="10">
        <v>70</v>
      </c>
      <c r="J348" s="11">
        <v>100</v>
      </c>
    </row>
    <row r="349" spans="1:10" x14ac:dyDescent="0.25">
      <c r="A349" s="1">
        <f t="shared" ca="1" si="35"/>
        <v>14945</v>
      </c>
      <c r="B349" s="5">
        <v>750</v>
      </c>
      <c r="C349" s="6">
        <v>750</v>
      </c>
      <c r="D349" s="6">
        <v>750</v>
      </c>
      <c r="E349" s="7">
        <v>27</v>
      </c>
      <c r="F349" s="8">
        <v>30</v>
      </c>
      <c r="G349" s="8">
        <v>29</v>
      </c>
      <c r="H349" s="9">
        <v>5</v>
      </c>
      <c r="I349" s="10">
        <v>0</v>
      </c>
      <c r="J349" s="11">
        <v>110</v>
      </c>
    </row>
    <row r="350" spans="1:10" x14ac:dyDescent="0.25">
      <c r="A350" s="1" t="str">
        <f t="shared" ca="1" si="35"/>
        <v>Totaal</v>
      </c>
      <c r="B350" s="28">
        <f t="shared" ref="B350:G350" si="36">IF(COUNT(B320:B349)&gt;0,AVERAGE(B320:B349),"")</f>
        <v>747.66666666666663</v>
      </c>
      <c r="C350" s="29">
        <f t="shared" si="36"/>
        <v>747.66666666666663</v>
      </c>
      <c r="D350" s="29">
        <f t="shared" si="36"/>
        <v>747.73333333333335</v>
      </c>
      <c r="E350" s="30">
        <f t="shared" si="36"/>
        <v>27</v>
      </c>
      <c r="F350" s="31">
        <f t="shared" si="36"/>
        <v>29.733333333333334</v>
      </c>
      <c r="G350" s="31">
        <f t="shared" si="36"/>
        <v>28.633333333333333</v>
      </c>
      <c r="H350" s="32">
        <f>SUM(H320:H349)/10</f>
        <v>136</v>
      </c>
      <c r="I350" s="33">
        <f>SUM(I320:I349)/10</f>
        <v>150</v>
      </c>
      <c r="J350" s="34">
        <f>SUM(J320:J349)/10</f>
        <v>137</v>
      </c>
    </row>
    <row r="351" spans="1:10" x14ac:dyDescent="0.25">
      <c r="A351" s="1">
        <f t="shared" ca="1" si="35"/>
        <v>14946</v>
      </c>
      <c r="B351" s="5">
        <v>750</v>
      </c>
      <c r="C351" s="6">
        <v>750</v>
      </c>
      <c r="D351" s="6">
        <v>750</v>
      </c>
      <c r="E351" s="7">
        <v>27</v>
      </c>
      <c r="F351" s="8">
        <v>30</v>
      </c>
      <c r="G351" s="8">
        <v>29</v>
      </c>
      <c r="H351" s="9">
        <v>0</v>
      </c>
      <c r="I351" s="10">
        <v>0</v>
      </c>
      <c r="J351" s="11">
        <v>0</v>
      </c>
    </row>
    <row r="352" spans="1:10" x14ac:dyDescent="0.25">
      <c r="A352" s="1">
        <f t="shared" ca="1" si="35"/>
        <v>14947</v>
      </c>
      <c r="B352" s="5">
        <v>750</v>
      </c>
      <c r="C352" s="6">
        <v>750</v>
      </c>
      <c r="D352" s="6">
        <v>750</v>
      </c>
      <c r="E352" s="7">
        <v>27</v>
      </c>
      <c r="F352" s="8">
        <v>30</v>
      </c>
      <c r="G352" s="8">
        <v>29</v>
      </c>
      <c r="H352" s="9">
        <v>0</v>
      </c>
      <c r="I352" s="10">
        <v>0</v>
      </c>
      <c r="J352" s="11">
        <v>0</v>
      </c>
    </row>
    <row r="353" spans="1:10" x14ac:dyDescent="0.25">
      <c r="A353" s="1">
        <f t="shared" ca="1" si="35"/>
        <v>14948</v>
      </c>
      <c r="B353" s="5">
        <v>750</v>
      </c>
      <c r="C353" s="6">
        <v>750</v>
      </c>
      <c r="D353" s="6">
        <v>750</v>
      </c>
      <c r="E353" s="7">
        <v>27</v>
      </c>
      <c r="F353" s="8">
        <v>30</v>
      </c>
      <c r="G353" s="8">
        <v>29</v>
      </c>
      <c r="H353" s="9">
        <v>0</v>
      </c>
      <c r="I353" s="10">
        <v>0</v>
      </c>
      <c r="J353" s="11">
        <v>0</v>
      </c>
    </row>
    <row r="354" spans="1:10" x14ac:dyDescent="0.25">
      <c r="A354" s="1">
        <f t="shared" ca="1" si="35"/>
        <v>14949</v>
      </c>
      <c r="B354" s="5">
        <v>750</v>
      </c>
      <c r="C354" s="6">
        <v>750</v>
      </c>
      <c r="D354" s="6">
        <v>750</v>
      </c>
      <c r="E354" s="7">
        <v>27</v>
      </c>
      <c r="F354" s="8">
        <v>30</v>
      </c>
      <c r="G354" s="8">
        <v>29</v>
      </c>
      <c r="H354" s="9">
        <v>0</v>
      </c>
      <c r="I354" s="10">
        <v>0</v>
      </c>
      <c r="J354" s="11">
        <v>0</v>
      </c>
    </row>
    <row r="355" spans="1:10" x14ac:dyDescent="0.25">
      <c r="A355" s="1">
        <f t="shared" ca="1" si="35"/>
        <v>14950</v>
      </c>
      <c r="B355" s="5">
        <v>750</v>
      </c>
      <c r="C355" s="6">
        <v>750</v>
      </c>
      <c r="D355" s="6">
        <v>750</v>
      </c>
      <c r="E355" s="7">
        <v>27</v>
      </c>
      <c r="F355" s="8">
        <v>30</v>
      </c>
      <c r="G355" s="8">
        <v>29</v>
      </c>
      <c r="H355" s="9">
        <v>75</v>
      </c>
      <c r="I355" s="10">
        <v>60</v>
      </c>
      <c r="J355" s="11">
        <v>70</v>
      </c>
    </row>
    <row r="356" spans="1:10" x14ac:dyDescent="0.25">
      <c r="A356" s="1">
        <f t="shared" ca="1" si="35"/>
        <v>14951</v>
      </c>
      <c r="B356" s="5">
        <v>749</v>
      </c>
      <c r="C356" s="6">
        <v>749</v>
      </c>
      <c r="D356" s="6">
        <v>749</v>
      </c>
      <c r="E356" s="7">
        <v>27</v>
      </c>
      <c r="F356" s="8">
        <v>30</v>
      </c>
      <c r="G356" s="8">
        <v>29</v>
      </c>
      <c r="H356" s="9">
        <v>20</v>
      </c>
      <c r="I356" s="10">
        <v>25</v>
      </c>
      <c r="J356" s="11">
        <v>20</v>
      </c>
    </row>
    <row r="357" spans="1:10" x14ac:dyDescent="0.25">
      <c r="A357" s="1">
        <f t="shared" ca="1" si="35"/>
        <v>14952</v>
      </c>
      <c r="B357" s="5">
        <v>749</v>
      </c>
      <c r="C357" s="6">
        <v>749</v>
      </c>
      <c r="D357" s="6">
        <v>749</v>
      </c>
      <c r="E357" s="7">
        <v>27</v>
      </c>
      <c r="F357" s="8">
        <v>30</v>
      </c>
      <c r="G357" s="8">
        <v>29</v>
      </c>
      <c r="H357" s="9">
        <v>0</v>
      </c>
      <c r="I357" s="10">
        <v>0</v>
      </c>
      <c r="J357" s="11">
        <v>0</v>
      </c>
    </row>
    <row r="358" spans="1:10" x14ac:dyDescent="0.25">
      <c r="A358" s="1">
        <f t="shared" ca="1" si="35"/>
        <v>14953</v>
      </c>
      <c r="B358" s="5">
        <v>749</v>
      </c>
      <c r="C358" s="6">
        <v>749</v>
      </c>
      <c r="D358" s="6">
        <v>749</v>
      </c>
      <c r="E358" s="7">
        <v>27</v>
      </c>
      <c r="F358" s="8">
        <v>30</v>
      </c>
      <c r="G358" s="8">
        <v>29</v>
      </c>
      <c r="H358" s="9">
        <v>0</v>
      </c>
      <c r="I358" s="10">
        <v>0</v>
      </c>
      <c r="J358" s="11">
        <v>0</v>
      </c>
    </row>
    <row r="359" spans="1:10" x14ac:dyDescent="0.25">
      <c r="A359" s="1">
        <f t="shared" ca="1" si="35"/>
        <v>14954</v>
      </c>
      <c r="B359" s="5">
        <v>749</v>
      </c>
      <c r="C359" s="6">
        <v>749</v>
      </c>
      <c r="D359" s="6">
        <v>750</v>
      </c>
      <c r="E359" s="7">
        <v>27</v>
      </c>
      <c r="F359" s="8">
        <v>29</v>
      </c>
      <c r="G359" s="8">
        <v>28</v>
      </c>
      <c r="H359" s="9">
        <v>0</v>
      </c>
      <c r="I359" s="10">
        <v>0</v>
      </c>
      <c r="J359" s="11">
        <v>0</v>
      </c>
    </row>
    <row r="360" spans="1:10" x14ac:dyDescent="0.25">
      <c r="A360" s="1">
        <f t="shared" ca="1" si="35"/>
        <v>14955</v>
      </c>
      <c r="B360" s="5">
        <v>750</v>
      </c>
      <c r="C360" s="6">
        <v>750</v>
      </c>
      <c r="D360" s="6">
        <v>750</v>
      </c>
      <c r="E360" s="7">
        <v>27</v>
      </c>
      <c r="F360" s="8">
        <v>29</v>
      </c>
      <c r="G360" s="8">
        <v>28</v>
      </c>
      <c r="H360" s="9">
        <v>0</v>
      </c>
      <c r="I360" s="10">
        <v>0</v>
      </c>
      <c r="J360" s="11">
        <v>0</v>
      </c>
    </row>
    <row r="361" spans="1:10" x14ac:dyDescent="0.25">
      <c r="A361" s="1">
        <f t="shared" ca="1" si="35"/>
        <v>14956</v>
      </c>
      <c r="B361" s="5">
        <v>750</v>
      </c>
      <c r="C361" s="6">
        <v>750</v>
      </c>
      <c r="D361" s="6">
        <v>750</v>
      </c>
      <c r="E361" s="7">
        <v>27</v>
      </c>
      <c r="F361" s="8">
        <v>29</v>
      </c>
      <c r="G361" s="8">
        <v>28</v>
      </c>
      <c r="H361" s="9">
        <v>25</v>
      </c>
      <c r="I361" s="10">
        <v>20</v>
      </c>
      <c r="J361" s="11">
        <v>30</v>
      </c>
    </row>
    <row r="362" spans="1:10" x14ac:dyDescent="0.25">
      <c r="A362" s="1">
        <f t="shared" ca="1" si="35"/>
        <v>14957</v>
      </c>
      <c r="B362" s="5">
        <v>749</v>
      </c>
      <c r="C362" s="6">
        <v>750</v>
      </c>
      <c r="D362" s="6">
        <v>750</v>
      </c>
      <c r="E362" s="7">
        <v>27</v>
      </c>
      <c r="F362" s="8">
        <v>29</v>
      </c>
      <c r="G362" s="8">
        <v>28</v>
      </c>
      <c r="H362" s="9">
        <v>0</v>
      </c>
      <c r="I362" s="10">
        <v>0</v>
      </c>
      <c r="J362" s="11">
        <v>0</v>
      </c>
    </row>
    <row r="363" spans="1:10" x14ac:dyDescent="0.25">
      <c r="A363" s="1">
        <f t="shared" ca="1" si="35"/>
        <v>14958</v>
      </c>
      <c r="B363" s="5">
        <v>750</v>
      </c>
      <c r="C363" s="6">
        <v>749</v>
      </c>
      <c r="D363" s="6">
        <v>749</v>
      </c>
      <c r="E363" s="7">
        <v>27</v>
      </c>
      <c r="F363" s="8">
        <v>29</v>
      </c>
      <c r="G363" s="8">
        <v>28</v>
      </c>
      <c r="H363" s="9">
        <v>0</v>
      </c>
      <c r="I363" s="10">
        <v>0</v>
      </c>
      <c r="J363" s="11">
        <v>0</v>
      </c>
    </row>
    <row r="364" spans="1:10" x14ac:dyDescent="0.25">
      <c r="A364" s="1">
        <f t="shared" ca="1" si="35"/>
        <v>14959</v>
      </c>
      <c r="B364" s="5">
        <v>749</v>
      </c>
      <c r="C364" s="6">
        <v>749</v>
      </c>
      <c r="D364" s="6">
        <v>749</v>
      </c>
      <c r="E364" s="7">
        <v>27</v>
      </c>
      <c r="F364" s="8">
        <v>29</v>
      </c>
      <c r="G364" s="8">
        <v>28</v>
      </c>
      <c r="H364" s="9">
        <v>100</v>
      </c>
      <c r="I364" s="10">
        <v>50</v>
      </c>
      <c r="J364" s="11">
        <v>80</v>
      </c>
    </row>
    <row r="365" spans="1:10" x14ac:dyDescent="0.25">
      <c r="A365" s="1">
        <f t="shared" ca="1" si="35"/>
        <v>14960</v>
      </c>
      <c r="B365" s="5">
        <v>749</v>
      </c>
      <c r="C365" s="6">
        <v>749</v>
      </c>
      <c r="D365" s="6">
        <v>750</v>
      </c>
      <c r="E365" s="7">
        <v>27</v>
      </c>
      <c r="F365" s="8">
        <v>29</v>
      </c>
      <c r="G365" s="8">
        <v>28</v>
      </c>
      <c r="H365" s="9">
        <v>50</v>
      </c>
      <c r="I365" s="10">
        <v>15</v>
      </c>
      <c r="J365" s="11">
        <v>45</v>
      </c>
    </row>
    <row r="366" spans="1:10" x14ac:dyDescent="0.25">
      <c r="A366" s="1">
        <f t="shared" ca="1" si="35"/>
        <v>14961</v>
      </c>
      <c r="B366" s="5">
        <v>750</v>
      </c>
      <c r="C366" s="6">
        <v>750</v>
      </c>
      <c r="D366" s="6">
        <v>750</v>
      </c>
      <c r="E366" s="7">
        <v>27</v>
      </c>
      <c r="F366" s="8">
        <v>29</v>
      </c>
      <c r="G366" s="8">
        <v>28</v>
      </c>
      <c r="H366" s="9">
        <v>0</v>
      </c>
      <c r="I366" s="10">
        <v>0</v>
      </c>
      <c r="J366" s="11">
        <v>0</v>
      </c>
    </row>
    <row r="367" spans="1:10" x14ac:dyDescent="0.25">
      <c r="A367" s="1">
        <f t="shared" ca="1" si="35"/>
        <v>14962</v>
      </c>
      <c r="B367" s="5">
        <v>750</v>
      </c>
      <c r="C367" s="6">
        <v>750</v>
      </c>
      <c r="D367" s="6">
        <v>750</v>
      </c>
      <c r="E367" s="7">
        <v>26</v>
      </c>
      <c r="F367" s="8">
        <v>28</v>
      </c>
      <c r="G367" s="8">
        <v>27</v>
      </c>
      <c r="H367" s="9">
        <v>12</v>
      </c>
      <c r="I367" s="10">
        <v>0</v>
      </c>
      <c r="J367" s="11">
        <v>0</v>
      </c>
    </row>
    <row r="368" spans="1:10" x14ac:dyDescent="0.25">
      <c r="A368" s="1">
        <f t="shared" ca="1" si="35"/>
        <v>14963</v>
      </c>
      <c r="B368" s="5">
        <v>750</v>
      </c>
      <c r="C368" s="6">
        <v>750</v>
      </c>
      <c r="D368" s="6">
        <v>750</v>
      </c>
      <c r="E368" s="7">
        <v>26</v>
      </c>
      <c r="F368" s="8">
        <v>28</v>
      </c>
      <c r="G368" s="8">
        <v>27</v>
      </c>
      <c r="H368" s="9">
        <v>0</v>
      </c>
      <c r="I368" s="10">
        <v>0</v>
      </c>
      <c r="J368" s="11">
        <v>0</v>
      </c>
    </row>
    <row r="369" spans="1:10" x14ac:dyDescent="0.25">
      <c r="A369" s="1">
        <f t="shared" ca="1" si="35"/>
        <v>14964</v>
      </c>
      <c r="B369" s="5">
        <v>750</v>
      </c>
      <c r="C369" s="6">
        <v>750</v>
      </c>
      <c r="D369" s="6">
        <v>750</v>
      </c>
      <c r="E369" s="7">
        <v>26</v>
      </c>
      <c r="F369" s="8">
        <v>28</v>
      </c>
      <c r="G369" s="8">
        <v>27</v>
      </c>
      <c r="H369" s="9">
        <v>95</v>
      </c>
      <c r="I369" s="10">
        <v>60</v>
      </c>
      <c r="J369" s="11">
        <v>40</v>
      </c>
    </row>
    <row r="370" spans="1:10" x14ac:dyDescent="0.25">
      <c r="A370" s="1">
        <f t="shared" ca="1" si="35"/>
        <v>14965</v>
      </c>
      <c r="B370" s="5">
        <v>750</v>
      </c>
      <c r="C370" s="6">
        <v>750</v>
      </c>
      <c r="D370" s="6">
        <v>750</v>
      </c>
      <c r="E370" s="7">
        <v>26</v>
      </c>
      <c r="F370" s="8">
        <v>28</v>
      </c>
      <c r="G370" s="8">
        <v>27</v>
      </c>
      <c r="H370" s="9">
        <v>0</v>
      </c>
      <c r="I370" s="10">
        <v>0</v>
      </c>
      <c r="J370" s="11">
        <v>0</v>
      </c>
    </row>
    <row r="371" spans="1:10" x14ac:dyDescent="0.25">
      <c r="A371" s="1">
        <f t="shared" ca="1" si="35"/>
        <v>14966</v>
      </c>
      <c r="B371" s="5">
        <v>750</v>
      </c>
      <c r="C371" s="6">
        <v>750</v>
      </c>
      <c r="D371" s="6">
        <v>750</v>
      </c>
      <c r="E371" s="7">
        <v>26</v>
      </c>
      <c r="F371" s="8">
        <v>28</v>
      </c>
      <c r="G371" s="8">
        <v>27</v>
      </c>
      <c r="H371" s="9">
        <v>60</v>
      </c>
      <c r="I371" s="10">
        <v>30</v>
      </c>
      <c r="J371" s="11">
        <v>50</v>
      </c>
    </row>
    <row r="372" spans="1:10" x14ac:dyDescent="0.25">
      <c r="A372" s="1">
        <f t="shared" ca="1" si="35"/>
        <v>14967</v>
      </c>
      <c r="B372" s="5">
        <v>749</v>
      </c>
      <c r="C372" s="6">
        <v>750</v>
      </c>
      <c r="D372" s="6">
        <v>750</v>
      </c>
      <c r="E372" s="7">
        <v>26</v>
      </c>
      <c r="F372" s="8">
        <v>28</v>
      </c>
      <c r="G372" s="8">
        <v>27</v>
      </c>
      <c r="H372" s="9">
        <v>0</v>
      </c>
      <c r="I372" s="10">
        <v>0</v>
      </c>
      <c r="J372" s="11">
        <v>0</v>
      </c>
    </row>
    <row r="373" spans="1:10" x14ac:dyDescent="0.25">
      <c r="A373" s="1">
        <f t="shared" ca="1" si="35"/>
        <v>14968</v>
      </c>
      <c r="B373" s="5">
        <v>750</v>
      </c>
      <c r="C373" s="6">
        <v>750</v>
      </c>
      <c r="D373" s="6">
        <v>750</v>
      </c>
      <c r="E373" s="7">
        <v>26</v>
      </c>
      <c r="F373" s="8">
        <v>28</v>
      </c>
      <c r="G373" s="8">
        <v>27</v>
      </c>
      <c r="H373" s="9">
        <v>0</v>
      </c>
      <c r="I373" s="10">
        <v>15</v>
      </c>
      <c r="J373" s="11">
        <v>0</v>
      </c>
    </row>
    <row r="374" spans="1:10" x14ac:dyDescent="0.25">
      <c r="A374" s="1">
        <f t="shared" ca="1" si="35"/>
        <v>14969</v>
      </c>
      <c r="B374" s="5">
        <v>750</v>
      </c>
      <c r="C374" s="6">
        <v>749</v>
      </c>
      <c r="D374" s="6">
        <v>749</v>
      </c>
      <c r="E374" s="7">
        <v>25</v>
      </c>
      <c r="F374" s="8">
        <v>29</v>
      </c>
      <c r="G374" s="8">
        <v>27</v>
      </c>
      <c r="H374" s="9">
        <v>345</v>
      </c>
      <c r="I374" s="10">
        <v>260</v>
      </c>
      <c r="J374" s="11">
        <v>280</v>
      </c>
    </row>
    <row r="375" spans="1:10" x14ac:dyDescent="0.25">
      <c r="A375" s="1">
        <f t="shared" ca="1" si="35"/>
        <v>14970</v>
      </c>
      <c r="B375" s="5">
        <v>749</v>
      </c>
      <c r="C375" s="6">
        <v>748</v>
      </c>
      <c r="D375" s="6">
        <v>748</v>
      </c>
      <c r="E375" s="7">
        <v>26</v>
      </c>
      <c r="F375" s="8">
        <v>29</v>
      </c>
      <c r="G375" s="8">
        <v>28</v>
      </c>
      <c r="H375" s="9">
        <v>0</v>
      </c>
      <c r="I375" s="10">
        <v>0</v>
      </c>
      <c r="J375" s="11">
        <v>0</v>
      </c>
    </row>
    <row r="376" spans="1:10" x14ac:dyDescent="0.25">
      <c r="A376" s="1">
        <f t="shared" ca="1" si="35"/>
        <v>14971</v>
      </c>
      <c r="B376" s="5">
        <v>747</v>
      </c>
      <c r="C376" s="6">
        <v>747</v>
      </c>
      <c r="D376" s="6">
        <v>747</v>
      </c>
      <c r="E376" s="7">
        <v>27</v>
      </c>
      <c r="F376" s="8">
        <v>29</v>
      </c>
      <c r="G376" s="8">
        <v>28</v>
      </c>
      <c r="H376" s="9">
        <v>0</v>
      </c>
      <c r="I376" s="10">
        <v>0</v>
      </c>
      <c r="J376" s="11">
        <v>0</v>
      </c>
    </row>
    <row r="377" spans="1:10" x14ac:dyDescent="0.25">
      <c r="A377" s="1">
        <f t="shared" ca="1" si="35"/>
        <v>14972</v>
      </c>
      <c r="B377" s="5">
        <v>748</v>
      </c>
      <c r="C377" s="6">
        <v>748</v>
      </c>
      <c r="D377" s="6">
        <v>748</v>
      </c>
      <c r="E377" s="7">
        <v>27</v>
      </c>
      <c r="F377" s="8">
        <v>29</v>
      </c>
      <c r="G377" s="8">
        <v>28</v>
      </c>
      <c r="H377" s="9">
        <v>0</v>
      </c>
      <c r="I377" s="10">
        <v>0</v>
      </c>
      <c r="J377" s="11">
        <v>0</v>
      </c>
    </row>
    <row r="378" spans="1:10" x14ac:dyDescent="0.25">
      <c r="A378" s="1">
        <f t="shared" ca="1" si="35"/>
        <v>14973</v>
      </c>
      <c r="B378" s="5">
        <v>748</v>
      </c>
      <c r="C378" s="6">
        <v>749</v>
      </c>
      <c r="D378" s="6">
        <v>750</v>
      </c>
      <c r="E378" s="7">
        <v>27</v>
      </c>
      <c r="F378" s="8">
        <v>29</v>
      </c>
      <c r="G378" s="8">
        <v>28</v>
      </c>
      <c r="H378" s="9">
        <v>0</v>
      </c>
      <c r="I378" s="10">
        <v>0</v>
      </c>
      <c r="J378" s="11">
        <v>0</v>
      </c>
    </row>
    <row r="379" spans="1:10" x14ac:dyDescent="0.25">
      <c r="A379" s="1">
        <f t="shared" ca="1" si="35"/>
        <v>14974</v>
      </c>
      <c r="B379" s="5">
        <v>750</v>
      </c>
      <c r="C379" s="6">
        <v>750</v>
      </c>
      <c r="D379" s="6">
        <v>750</v>
      </c>
      <c r="E379" s="7">
        <v>27</v>
      </c>
      <c r="F379" s="8">
        <v>29</v>
      </c>
      <c r="G379" s="8">
        <v>28</v>
      </c>
      <c r="H379" s="9">
        <v>10</v>
      </c>
      <c r="I379" s="10">
        <v>15</v>
      </c>
      <c r="J379" s="11">
        <v>20</v>
      </c>
    </row>
    <row r="380" spans="1:10" x14ac:dyDescent="0.25">
      <c r="A380" s="1">
        <f t="shared" ca="1" si="35"/>
        <v>14975</v>
      </c>
      <c r="B380" s="5">
        <v>750</v>
      </c>
      <c r="C380" s="6">
        <v>749</v>
      </c>
      <c r="D380" s="6">
        <v>749</v>
      </c>
      <c r="E380" s="7">
        <v>27</v>
      </c>
      <c r="F380" s="8">
        <v>29</v>
      </c>
      <c r="G380" s="8">
        <v>28</v>
      </c>
      <c r="H380" s="9">
        <v>0</v>
      </c>
      <c r="I380" s="10">
        <v>0</v>
      </c>
      <c r="J380" s="11">
        <v>0</v>
      </c>
    </row>
    <row r="381" spans="1:10" x14ac:dyDescent="0.25">
      <c r="A381" s="1">
        <f t="shared" ca="1" si="35"/>
        <v>14976</v>
      </c>
      <c r="B381" s="5">
        <v>749</v>
      </c>
      <c r="C381" s="6">
        <v>750</v>
      </c>
      <c r="D381" s="6">
        <v>750</v>
      </c>
      <c r="E381" s="7">
        <v>27</v>
      </c>
      <c r="F381" s="8">
        <v>29</v>
      </c>
      <c r="G381" s="8">
        <v>28</v>
      </c>
      <c r="H381" s="9">
        <v>0</v>
      </c>
      <c r="I381" s="10">
        <v>0</v>
      </c>
      <c r="J381" s="11">
        <v>0</v>
      </c>
    </row>
    <row r="382" spans="1:10" x14ac:dyDescent="0.25">
      <c r="A382" s="1" t="str">
        <f t="shared" ca="1" si="35"/>
        <v>Totaal</v>
      </c>
      <c r="B382" s="28">
        <f>IF(COUNT(B351:B381)&gt;0,AVERAGE(B351:B381),"")</f>
        <v>749.45161290322585</v>
      </c>
      <c r="C382" s="29">
        <f t="shared" ref="C382" si="37">IF(COUNT(C351:C381)&gt;0,AVERAGE(C351:C381),"")</f>
        <v>749.45161290322585</v>
      </c>
      <c r="D382" s="29">
        <f t="shared" ref="D382" si="38">IF(COUNT(D351:D381)&gt;0,AVERAGE(D351:D381),"")</f>
        <v>749.54838709677415</v>
      </c>
      <c r="E382" s="30">
        <f t="shared" ref="E382" si="39">IF(COUNT(E351:E381)&gt;0,AVERAGE(E351:E381),"")</f>
        <v>26.677419354838708</v>
      </c>
      <c r="F382" s="31">
        <f t="shared" ref="F382" si="40">IF(COUNT(F351:F381)&gt;0,AVERAGE(F351:F381),"")</f>
        <v>29.032258064516128</v>
      </c>
      <c r="G382" s="31">
        <f t="shared" ref="G382" si="41">IF(COUNT(G351:G381)&gt;0,AVERAGE(G351:G381),"")</f>
        <v>28</v>
      </c>
      <c r="H382" s="32">
        <f>SUM(H351:H381)/10</f>
        <v>79.2</v>
      </c>
      <c r="I382" s="33">
        <f>SUM(I351:I381)/10</f>
        <v>55</v>
      </c>
      <c r="J382" s="34">
        <f>SUM(J351:J381)/10</f>
        <v>63.5</v>
      </c>
    </row>
  </sheetData>
  <sheetProtection sheet="1" objects="1" scenarios="1" selectLockedCells="1"/>
  <mergeCells count="5">
    <mergeCell ref="H3:J3"/>
    <mergeCell ref="B3:D3"/>
    <mergeCell ref="E3:G3"/>
    <mergeCell ref="A3:A4"/>
    <mergeCell ref="A1:J1"/>
  </mergeCells>
  <conditionalFormatting sqref="A5:J382">
    <cfRule type="expression" dxfId="0" priority="1">
      <formula>ISTEXT($A5)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S9"/>
  <sheetViews>
    <sheetView workbookViewId="0"/>
  </sheetViews>
  <sheetFormatPr defaultRowHeight="15" x14ac:dyDescent="0.25"/>
  <cols>
    <col min="2" max="2" width="14.140625" customWidth="1"/>
    <col min="5" max="5" width="13.7109375" customWidth="1"/>
  </cols>
  <sheetData>
    <row r="1" spans="1:19" x14ac:dyDescent="0.25">
      <c r="A1" t="s">
        <v>20</v>
      </c>
      <c r="D1" t="s">
        <v>33</v>
      </c>
      <c r="G1" t="s">
        <v>30</v>
      </c>
      <c r="J1" t="s">
        <v>32</v>
      </c>
    </row>
    <row r="2" spans="1:19" ht="15.75" thickBot="1" x14ac:dyDescent="0.3"/>
    <row r="3" spans="1:19" ht="15.75" thickBot="1" x14ac:dyDescent="0.3">
      <c r="J3" s="48" t="s">
        <v>6</v>
      </c>
      <c r="K3" s="47" t="s">
        <v>31</v>
      </c>
      <c r="L3" s="47"/>
      <c r="M3" s="47"/>
      <c r="N3" s="47" t="s">
        <v>9</v>
      </c>
      <c r="O3" s="47"/>
      <c r="P3" s="47"/>
      <c r="Q3" s="47" t="s">
        <v>10</v>
      </c>
      <c r="R3" s="47"/>
      <c r="S3" s="47"/>
    </row>
    <row r="4" spans="1:19" x14ac:dyDescent="0.25">
      <c r="A4" s="37" t="s">
        <v>21</v>
      </c>
      <c r="B4" s="36" t="s">
        <v>22</v>
      </c>
      <c r="D4" s="36" t="s">
        <v>34</v>
      </c>
      <c r="E4" s="36" t="s">
        <v>36</v>
      </c>
      <c r="G4" s="22" t="s">
        <v>23</v>
      </c>
      <c r="H4" s="22" t="s">
        <v>24</v>
      </c>
      <c r="J4" s="49"/>
      <c r="K4" s="26" t="s">
        <v>7</v>
      </c>
      <c r="L4" s="26" t="s">
        <v>1</v>
      </c>
      <c r="M4" s="26" t="s">
        <v>2</v>
      </c>
      <c r="N4" s="26" t="s">
        <v>7</v>
      </c>
      <c r="O4" s="26" t="s">
        <v>1</v>
      </c>
      <c r="P4" s="26" t="s">
        <v>2</v>
      </c>
      <c r="Q4" s="27" t="s">
        <v>3</v>
      </c>
      <c r="R4" s="27" t="s">
        <v>4</v>
      </c>
      <c r="S4" s="27" t="s">
        <v>5</v>
      </c>
    </row>
    <row r="5" spans="1:19" x14ac:dyDescent="0.25">
      <c r="A5" s="17">
        <v>81</v>
      </c>
      <c r="B5" t="s">
        <v>3</v>
      </c>
      <c r="D5" t="s">
        <v>16</v>
      </c>
      <c r="E5" t="s">
        <v>35</v>
      </c>
      <c r="G5" t="s">
        <v>25</v>
      </c>
      <c r="H5" s="18">
        <v>0</v>
      </c>
    </row>
    <row r="6" spans="1:19" x14ac:dyDescent="0.25">
      <c r="A6" s="17">
        <v>83</v>
      </c>
      <c r="B6" t="s">
        <v>4</v>
      </c>
      <c r="D6" s="38" t="s">
        <v>18</v>
      </c>
      <c r="E6" s="38" t="s">
        <v>37</v>
      </c>
      <c r="G6" t="s">
        <v>26</v>
      </c>
      <c r="H6" s="18">
        <v>1</v>
      </c>
    </row>
    <row r="7" spans="1:19" ht="15.75" thickBot="1" x14ac:dyDescent="0.3">
      <c r="A7" s="21">
        <v>82</v>
      </c>
      <c r="B7" s="19" t="s">
        <v>5</v>
      </c>
      <c r="D7" s="39" t="s">
        <v>13</v>
      </c>
      <c r="E7" s="39" t="s">
        <v>38</v>
      </c>
      <c r="G7" t="s">
        <v>27</v>
      </c>
      <c r="H7" s="18">
        <v>4</v>
      </c>
    </row>
    <row r="8" spans="1:19" x14ac:dyDescent="0.25">
      <c r="G8" t="s">
        <v>28</v>
      </c>
      <c r="H8" s="18">
        <v>6</v>
      </c>
    </row>
    <row r="9" spans="1:19" ht="15.75" thickBot="1" x14ac:dyDescent="0.3">
      <c r="G9" s="19" t="s">
        <v>29</v>
      </c>
      <c r="H9" s="20">
        <v>7</v>
      </c>
    </row>
  </sheetData>
  <mergeCells count="4">
    <mergeCell ref="Q3:S3"/>
    <mergeCell ref="N3:P3"/>
    <mergeCell ref="K3:M3"/>
    <mergeCell ref="J3:J4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1099"/>
  <sheetViews>
    <sheetView workbookViewId="0"/>
  </sheetViews>
  <sheetFormatPr defaultRowHeight="15" x14ac:dyDescent="0.25"/>
  <sheetData>
    <row r="1" spans="1:5" x14ac:dyDescent="0.25">
      <c r="A1" s="16" t="s">
        <v>11</v>
      </c>
      <c r="B1" s="15" t="s">
        <v>6</v>
      </c>
      <c r="C1" s="16" t="s">
        <v>12</v>
      </c>
      <c r="D1" s="16" t="s">
        <v>13</v>
      </c>
      <c r="E1" s="16" t="s">
        <v>14</v>
      </c>
    </row>
    <row r="2" spans="1:5" x14ac:dyDescent="0.25">
      <c r="A2" s="17">
        <f ca="1">INDEX(Stations,INT((ROWS(A$2:A2)-1)/(DATE(YEAR(Invoer!$A$5),12,31)-DATE(YEAR(Invoer!$A$5),1,1)+1))+2,1)</f>
        <v>81</v>
      </c>
      <c r="B2" t="str">
        <f ca="1">TEXT(DATE(YEAR(Invoer!$A$5),1,1)+MOD(ROWS(B$2:B2)-1,DATE(YEAR(Invoer!$A$5),12,31)-DATE(YEAR(Invoer!$A$5),1,1)+1),"jjjjmmdd")</f>
        <v>19400101</v>
      </c>
      <c r="C2" s="18">
        <v>1</v>
      </c>
      <c r="D2" s="23">
        <f t="shared" ref="D2:D65" ca="1" si="0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"—",VLOOKUP(DATEVALUE(LEFT(B2,4)&amp;"-"&amp;MID(B2,5,2)&amp;"-"&amp;RIGHT(B2,2)),Data,MATCH(VLOOKUP(A2,Stations,2,FALSE()),OFFSET(Data,1,0,1),0),FALSE()))</f>
        <v>10</v>
      </c>
      <c r="E2" s="24">
        <f t="shared" ref="E2:E65" ca="1" si="1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Lacking,IF(ISNA(MATCH(DATEVALUE(LEFT(B2,4)&amp;"-"&amp;MID(B2,5,2)&amp;"-"&amp;RIGHT(B2,2)),OFFSET(Catalogus,0,0,,1),0)),Ok,VLOOKUP(DATEVALUE(LEFT(B2,4)&amp;"-"&amp;MID(B2,5,2)&amp;"-"&amp;RIGHT(B2,2)),Catalogus,MATCH(VLOOKUP(A2,Stations,2,FALSE()),OFFSET(Catalogus,1,0,1),0),FALSE())))</f>
        <v>0</v>
      </c>
    </row>
    <row r="3" spans="1:5" x14ac:dyDescent="0.25">
      <c r="A3" s="17">
        <f ca="1">INDEX(Stations,INT((ROWS(A$2:A3)-1)/(DATE(YEAR(Invoer!$A$5),12,31)-DATE(YEAR(Invoer!$A$5),1,1)+1))+2,1)</f>
        <v>81</v>
      </c>
      <c r="B3" t="str">
        <f ca="1">TEXT(DATE(YEAR(Invoer!$A$5),1,1)+MOD(ROWS(B$2:B3)-1,DATE(YEAR(Invoer!$A$5),12,31)-DATE(YEAR(Invoer!$A$5),1,1)+1),"jjjjmmdd")</f>
        <v>19400102</v>
      </c>
      <c r="C3" s="18">
        <v>1</v>
      </c>
      <c r="D3" s="23">
        <f t="shared" ca="1" si="0"/>
        <v>0</v>
      </c>
      <c r="E3" s="24">
        <f t="shared" ca="1" si="1"/>
        <v>0</v>
      </c>
    </row>
    <row r="4" spans="1:5" x14ac:dyDescent="0.25">
      <c r="A4" s="17">
        <f ca="1">INDEX(Stations,INT((ROWS(A$2:A4)-1)/(DATE(YEAR(Invoer!$A$5),12,31)-DATE(YEAR(Invoer!$A$5),1,1)+1))+2,1)</f>
        <v>81</v>
      </c>
      <c r="B4" t="str">
        <f ca="1">TEXT(DATE(YEAR(Invoer!$A$5),1,1)+MOD(ROWS(B$2:B4)-1,DATE(YEAR(Invoer!$A$5),12,31)-DATE(YEAR(Invoer!$A$5),1,1)+1),"jjjjmmdd")</f>
        <v>19400103</v>
      </c>
      <c r="C4" s="18">
        <v>1</v>
      </c>
      <c r="D4" s="23">
        <f t="shared" ca="1" si="0"/>
        <v>0</v>
      </c>
      <c r="E4" s="24">
        <f t="shared" ca="1" si="1"/>
        <v>0</v>
      </c>
    </row>
    <row r="5" spans="1:5" x14ac:dyDescent="0.25">
      <c r="A5" s="17">
        <f ca="1">INDEX(Stations,INT((ROWS(A$2:A5)-1)/(DATE(YEAR(Invoer!$A$5),12,31)-DATE(YEAR(Invoer!$A$5),1,1)+1))+2,1)</f>
        <v>81</v>
      </c>
      <c r="B5" t="str">
        <f ca="1">TEXT(DATE(YEAR(Invoer!$A$5),1,1)+MOD(ROWS(B$2:B5)-1,DATE(YEAR(Invoer!$A$5),12,31)-DATE(YEAR(Invoer!$A$5),1,1)+1),"jjjjmmdd")</f>
        <v>19400104</v>
      </c>
      <c r="C5" s="18">
        <v>1</v>
      </c>
      <c r="D5" s="23">
        <f t="shared" ca="1" si="0"/>
        <v>0</v>
      </c>
      <c r="E5" s="24">
        <f t="shared" ca="1" si="1"/>
        <v>0</v>
      </c>
    </row>
    <row r="6" spans="1:5" x14ac:dyDescent="0.25">
      <c r="A6" s="17">
        <f ca="1">INDEX(Stations,INT((ROWS(A$2:A6)-1)/(DATE(YEAR(Invoer!$A$5),12,31)-DATE(YEAR(Invoer!$A$5),1,1)+1))+2,1)</f>
        <v>81</v>
      </c>
      <c r="B6" t="str">
        <f ca="1">TEXT(DATE(YEAR(Invoer!$A$5),1,1)+MOD(ROWS(B$2:B6)-1,DATE(YEAR(Invoer!$A$5),12,31)-DATE(YEAR(Invoer!$A$5),1,1)+1),"jjjjmmdd")</f>
        <v>19400105</v>
      </c>
      <c r="C6" s="18">
        <v>1</v>
      </c>
      <c r="D6" s="23">
        <f t="shared" ca="1" si="0"/>
        <v>0</v>
      </c>
      <c r="E6" s="24">
        <f t="shared" ca="1" si="1"/>
        <v>0</v>
      </c>
    </row>
    <row r="7" spans="1:5" x14ac:dyDescent="0.25">
      <c r="A7" s="17">
        <f ca="1">INDEX(Stations,INT((ROWS(A$2:A7)-1)/(DATE(YEAR(Invoer!$A$5),12,31)-DATE(YEAR(Invoer!$A$5),1,1)+1))+2,1)</f>
        <v>81</v>
      </c>
      <c r="B7" t="str">
        <f ca="1">TEXT(DATE(YEAR(Invoer!$A$5),1,1)+MOD(ROWS(B$2:B7)-1,DATE(YEAR(Invoer!$A$5),12,31)-DATE(YEAR(Invoer!$A$5),1,1)+1),"jjjjmmdd")</f>
        <v>19400106</v>
      </c>
      <c r="C7" s="18">
        <v>1</v>
      </c>
      <c r="D7" s="23">
        <f t="shared" ca="1" si="0"/>
        <v>0</v>
      </c>
      <c r="E7" s="24">
        <f t="shared" ca="1" si="1"/>
        <v>0</v>
      </c>
    </row>
    <row r="8" spans="1:5" x14ac:dyDescent="0.25">
      <c r="A8" s="17">
        <f ca="1">INDEX(Stations,INT((ROWS(A$2:A8)-1)/(DATE(YEAR(Invoer!$A$5),12,31)-DATE(YEAR(Invoer!$A$5),1,1)+1))+2,1)</f>
        <v>81</v>
      </c>
      <c r="B8" t="str">
        <f ca="1">TEXT(DATE(YEAR(Invoer!$A$5),1,1)+MOD(ROWS(B$2:B8)-1,DATE(YEAR(Invoer!$A$5),12,31)-DATE(YEAR(Invoer!$A$5),1,1)+1),"jjjjmmdd")</f>
        <v>19400107</v>
      </c>
      <c r="C8" s="18">
        <v>1</v>
      </c>
      <c r="D8" s="23">
        <f t="shared" ca="1" si="0"/>
        <v>0</v>
      </c>
      <c r="E8" s="24">
        <f t="shared" ca="1" si="1"/>
        <v>0</v>
      </c>
    </row>
    <row r="9" spans="1:5" x14ac:dyDescent="0.25">
      <c r="A9" s="17">
        <f ca="1">INDEX(Stations,INT((ROWS(A$2:A9)-1)/(DATE(YEAR(Invoer!$A$5),12,31)-DATE(YEAR(Invoer!$A$5),1,1)+1))+2,1)</f>
        <v>81</v>
      </c>
      <c r="B9" t="str">
        <f ca="1">TEXT(DATE(YEAR(Invoer!$A$5),1,1)+MOD(ROWS(B$2:B9)-1,DATE(YEAR(Invoer!$A$5),12,31)-DATE(YEAR(Invoer!$A$5),1,1)+1),"jjjjmmdd")</f>
        <v>19400108</v>
      </c>
      <c r="C9" s="18">
        <v>1</v>
      </c>
      <c r="D9" s="23">
        <f t="shared" ca="1" si="0"/>
        <v>6</v>
      </c>
      <c r="E9" s="24">
        <f t="shared" ca="1" si="1"/>
        <v>0</v>
      </c>
    </row>
    <row r="10" spans="1:5" x14ac:dyDescent="0.25">
      <c r="A10" s="17">
        <f ca="1">INDEX(Stations,INT((ROWS(A$2:A10)-1)/(DATE(YEAR(Invoer!$A$5),12,31)-DATE(YEAR(Invoer!$A$5),1,1)+1))+2,1)</f>
        <v>81</v>
      </c>
      <c r="B10" t="str">
        <f ca="1">TEXT(DATE(YEAR(Invoer!$A$5),1,1)+MOD(ROWS(B$2:B10)-1,DATE(YEAR(Invoer!$A$5),12,31)-DATE(YEAR(Invoer!$A$5),1,1)+1),"jjjjmmdd")</f>
        <v>19400109</v>
      </c>
      <c r="C10" s="18">
        <v>1</v>
      </c>
      <c r="D10" s="23">
        <f t="shared" ca="1" si="0"/>
        <v>0</v>
      </c>
      <c r="E10" s="24">
        <f t="shared" ca="1" si="1"/>
        <v>0</v>
      </c>
    </row>
    <row r="11" spans="1:5" x14ac:dyDescent="0.25">
      <c r="A11" s="17">
        <f ca="1">INDEX(Stations,INT((ROWS(A$2:A11)-1)/(DATE(YEAR(Invoer!$A$5),12,31)-DATE(YEAR(Invoer!$A$5),1,1)+1))+2,1)</f>
        <v>81</v>
      </c>
      <c r="B11" t="str">
        <f ca="1">TEXT(DATE(YEAR(Invoer!$A$5),1,1)+MOD(ROWS(B$2:B11)-1,DATE(YEAR(Invoer!$A$5),12,31)-DATE(YEAR(Invoer!$A$5),1,1)+1),"jjjjmmdd")</f>
        <v>19400110</v>
      </c>
      <c r="C11" s="18">
        <v>1</v>
      </c>
      <c r="D11" s="23">
        <f t="shared" ca="1" si="0"/>
        <v>8</v>
      </c>
      <c r="E11" s="24">
        <f t="shared" ca="1" si="1"/>
        <v>0</v>
      </c>
    </row>
    <row r="12" spans="1:5" x14ac:dyDescent="0.25">
      <c r="A12" s="17">
        <f ca="1">INDEX(Stations,INT((ROWS(A$2:A12)-1)/(DATE(YEAR(Invoer!$A$5),12,31)-DATE(YEAR(Invoer!$A$5),1,1)+1))+2,1)</f>
        <v>81</v>
      </c>
      <c r="B12" t="str">
        <f ca="1">TEXT(DATE(YEAR(Invoer!$A$5),1,1)+MOD(ROWS(B$2:B12)-1,DATE(YEAR(Invoer!$A$5),12,31)-DATE(YEAR(Invoer!$A$5),1,1)+1),"jjjjmmdd")</f>
        <v>19400111</v>
      </c>
      <c r="C12" s="18">
        <v>1</v>
      </c>
      <c r="D12" s="23">
        <f t="shared" ca="1" si="0"/>
        <v>0</v>
      </c>
      <c r="E12" s="24">
        <f t="shared" ca="1" si="1"/>
        <v>0</v>
      </c>
    </row>
    <row r="13" spans="1:5" x14ac:dyDescent="0.25">
      <c r="A13" s="17">
        <f ca="1">INDEX(Stations,INT((ROWS(A$2:A13)-1)/(DATE(YEAR(Invoer!$A$5),12,31)-DATE(YEAR(Invoer!$A$5),1,1)+1))+2,1)</f>
        <v>81</v>
      </c>
      <c r="B13" t="str">
        <f ca="1">TEXT(DATE(YEAR(Invoer!$A$5),1,1)+MOD(ROWS(B$2:B13)-1,DATE(YEAR(Invoer!$A$5),12,31)-DATE(YEAR(Invoer!$A$5),1,1)+1),"jjjjmmdd")</f>
        <v>19400112</v>
      </c>
      <c r="C13" s="18">
        <v>1</v>
      </c>
      <c r="D13" s="23">
        <f t="shared" ca="1" si="0"/>
        <v>0</v>
      </c>
      <c r="E13" s="24">
        <f t="shared" ca="1" si="1"/>
        <v>0</v>
      </c>
    </row>
    <row r="14" spans="1:5" x14ac:dyDescent="0.25">
      <c r="A14" s="17">
        <f ca="1">INDEX(Stations,INT((ROWS(A$2:A14)-1)/(DATE(YEAR(Invoer!$A$5),12,31)-DATE(YEAR(Invoer!$A$5),1,1)+1))+2,1)</f>
        <v>81</v>
      </c>
      <c r="B14" t="str">
        <f ca="1">TEXT(DATE(YEAR(Invoer!$A$5),1,1)+MOD(ROWS(B$2:B14)-1,DATE(YEAR(Invoer!$A$5),12,31)-DATE(YEAR(Invoer!$A$5),1,1)+1),"jjjjmmdd")</f>
        <v>19400113</v>
      </c>
      <c r="C14" s="18">
        <v>1</v>
      </c>
      <c r="D14" s="23">
        <f t="shared" ca="1" si="0"/>
        <v>0</v>
      </c>
      <c r="E14" s="24">
        <f t="shared" ca="1" si="1"/>
        <v>0</v>
      </c>
    </row>
    <row r="15" spans="1:5" x14ac:dyDescent="0.25">
      <c r="A15" s="17">
        <f ca="1">INDEX(Stations,INT((ROWS(A$2:A15)-1)/(DATE(YEAR(Invoer!$A$5),12,31)-DATE(YEAR(Invoer!$A$5),1,1)+1))+2,1)</f>
        <v>81</v>
      </c>
      <c r="B15" t="str">
        <f ca="1">TEXT(DATE(YEAR(Invoer!$A$5),1,1)+MOD(ROWS(B$2:B15)-1,DATE(YEAR(Invoer!$A$5),12,31)-DATE(YEAR(Invoer!$A$5),1,1)+1),"jjjjmmdd")</f>
        <v>19400114</v>
      </c>
      <c r="C15" s="18">
        <v>1</v>
      </c>
      <c r="D15" s="23">
        <f t="shared" ca="1" si="0"/>
        <v>0</v>
      </c>
      <c r="E15" s="24">
        <f t="shared" ca="1" si="1"/>
        <v>0</v>
      </c>
    </row>
    <row r="16" spans="1:5" x14ac:dyDescent="0.25">
      <c r="A16" s="17">
        <f ca="1">INDEX(Stations,INT((ROWS(A$2:A16)-1)/(DATE(YEAR(Invoer!$A$5),12,31)-DATE(YEAR(Invoer!$A$5),1,1)+1))+2,1)</f>
        <v>81</v>
      </c>
      <c r="B16" t="str">
        <f ca="1">TEXT(DATE(YEAR(Invoer!$A$5),1,1)+MOD(ROWS(B$2:B16)-1,DATE(YEAR(Invoer!$A$5),12,31)-DATE(YEAR(Invoer!$A$5),1,1)+1),"jjjjmmdd")</f>
        <v>19400115</v>
      </c>
      <c r="C16" s="18">
        <v>1</v>
      </c>
      <c r="D16" s="23">
        <f t="shared" ca="1" si="0"/>
        <v>135</v>
      </c>
      <c r="E16" s="24">
        <f t="shared" ca="1" si="1"/>
        <v>0</v>
      </c>
    </row>
    <row r="17" spans="1:5" x14ac:dyDescent="0.25">
      <c r="A17" s="17">
        <f ca="1">INDEX(Stations,INT((ROWS(A$2:A17)-1)/(DATE(YEAR(Invoer!$A$5),12,31)-DATE(YEAR(Invoer!$A$5),1,1)+1))+2,1)</f>
        <v>81</v>
      </c>
      <c r="B17" t="str">
        <f ca="1">TEXT(DATE(YEAR(Invoer!$A$5),1,1)+MOD(ROWS(B$2:B17)-1,DATE(YEAR(Invoer!$A$5),12,31)-DATE(YEAR(Invoer!$A$5),1,1)+1),"jjjjmmdd")</f>
        <v>19400116</v>
      </c>
      <c r="C17" s="18">
        <v>1</v>
      </c>
      <c r="D17" s="23">
        <f t="shared" ca="1" si="0"/>
        <v>0</v>
      </c>
      <c r="E17" s="24">
        <f t="shared" ca="1" si="1"/>
        <v>0</v>
      </c>
    </row>
    <row r="18" spans="1:5" x14ac:dyDescent="0.25">
      <c r="A18" s="17">
        <f ca="1">INDEX(Stations,INT((ROWS(A$2:A18)-1)/(DATE(YEAR(Invoer!$A$5),12,31)-DATE(YEAR(Invoer!$A$5),1,1)+1))+2,1)</f>
        <v>81</v>
      </c>
      <c r="B18" t="str">
        <f ca="1">TEXT(DATE(YEAR(Invoer!$A$5),1,1)+MOD(ROWS(B$2:B18)-1,DATE(YEAR(Invoer!$A$5),12,31)-DATE(YEAR(Invoer!$A$5),1,1)+1),"jjjjmmdd")</f>
        <v>19400117</v>
      </c>
      <c r="C18" s="18">
        <v>1</v>
      </c>
      <c r="D18" s="23">
        <f t="shared" ca="1" si="0"/>
        <v>0</v>
      </c>
      <c r="E18" s="24">
        <f t="shared" ca="1" si="1"/>
        <v>0</v>
      </c>
    </row>
    <row r="19" spans="1:5" x14ac:dyDescent="0.25">
      <c r="A19" s="17">
        <f ca="1">INDEX(Stations,INT((ROWS(A$2:A19)-1)/(DATE(YEAR(Invoer!$A$5),12,31)-DATE(YEAR(Invoer!$A$5),1,1)+1))+2,1)</f>
        <v>81</v>
      </c>
      <c r="B19" t="str">
        <f ca="1">TEXT(DATE(YEAR(Invoer!$A$5),1,1)+MOD(ROWS(B$2:B19)-1,DATE(YEAR(Invoer!$A$5),12,31)-DATE(YEAR(Invoer!$A$5),1,1)+1),"jjjjmmdd")</f>
        <v>19400118</v>
      </c>
      <c r="C19" s="18">
        <v>1</v>
      </c>
      <c r="D19" s="23">
        <f t="shared" ca="1" si="0"/>
        <v>0</v>
      </c>
      <c r="E19" s="24">
        <f t="shared" ca="1" si="1"/>
        <v>0</v>
      </c>
    </row>
    <row r="20" spans="1:5" x14ac:dyDescent="0.25">
      <c r="A20" s="17">
        <f ca="1">INDEX(Stations,INT((ROWS(A$2:A20)-1)/(DATE(YEAR(Invoer!$A$5),12,31)-DATE(YEAR(Invoer!$A$5),1,1)+1))+2,1)</f>
        <v>81</v>
      </c>
      <c r="B20" t="str">
        <f ca="1">TEXT(DATE(YEAR(Invoer!$A$5),1,1)+MOD(ROWS(B$2:B20)-1,DATE(YEAR(Invoer!$A$5),12,31)-DATE(YEAR(Invoer!$A$5),1,1)+1),"jjjjmmdd")</f>
        <v>19400119</v>
      </c>
      <c r="C20" s="18">
        <v>1</v>
      </c>
      <c r="D20" s="23">
        <f t="shared" ca="1" si="0"/>
        <v>0</v>
      </c>
      <c r="E20" s="24">
        <f t="shared" ca="1" si="1"/>
        <v>0</v>
      </c>
    </row>
    <row r="21" spans="1:5" x14ac:dyDescent="0.25">
      <c r="A21" s="17">
        <f ca="1">INDEX(Stations,INT((ROWS(A$2:A21)-1)/(DATE(YEAR(Invoer!$A$5),12,31)-DATE(YEAR(Invoer!$A$5),1,1)+1))+2,1)</f>
        <v>81</v>
      </c>
      <c r="B21" t="str">
        <f ca="1">TEXT(DATE(YEAR(Invoer!$A$5),1,1)+MOD(ROWS(B$2:B21)-1,DATE(YEAR(Invoer!$A$5),12,31)-DATE(YEAR(Invoer!$A$5),1,1)+1),"jjjjmmdd")</f>
        <v>19400120</v>
      </c>
      <c r="C21" s="18">
        <v>1</v>
      </c>
      <c r="D21" s="23">
        <f t="shared" ca="1" si="0"/>
        <v>0</v>
      </c>
      <c r="E21" s="24">
        <f t="shared" ca="1" si="1"/>
        <v>0</v>
      </c>
    </row>
    <row r="22" spans="1:5" x14ac:dyDescent="0.25">
      <c r="A22" s="17">
        <f ca="1">INDEX(Stations,INT((ROWS(A$2:A22)-1)/(DATE(YEAR(Invoer!$A$5),12,31)-DATE(YEAR(Invoer!$A$5),1,1)+1))+2,1)</f>
        <v>81</v>
      </c>
      <c r="B22" t="str">
        <f ca="1">TEXT(DATE(YEAR(Invoer!$A$5),1,1)+MOD(ROWS(B$2:B22)-1,DATE(YEAR(Invoer!$A$5),12,31)-DATE(YEAR(Invoer!$A$5),1,1)+1),"jjjjmmdd")</f>
        <v>19400121</v>
      </c>
      <c r="C22" s="18">
        <v>1</v>
      </c>
      <c r="D22" s="23">
        <f t="shared" ca="1" si="0"/>
        <v>8</v>
      </c>
      <c r="E22" s="24">
        <f t="shared" ca="1" si="1"/>
        <v>0</v>
      </c>
    </row>
    <row r="23" spans="1:5" x14ac:dyDescent="0.25">
      <c r="A23" s="17">
        <f ca="1">INDEX(Stations,INT((ROWS(A$2:A23)-1)/(DATE(YEAR(Invoer!$A$5),12,31)-DATE(YEAR(Invoer!$A$5),1,1)+1))+2,1)</f>
        <v>81</v>
      </c>
      <c r="B23" t="str">
        <f ca="1">TEXT(DATE(YEAR(Invoer!$A$5),1,1)+MOD(ROWS(B$2:B23)-1,DATE(YEAR(Invoer!$A$5),12,31)-DATE(YEAR(Invoer!$A$5),1,1)+1),"jjjjmmdd")</f>
        <v>19400122</v>
      </c>
      <c r="C23" s="18">
        <v>1</v>
      </c>
      <c r="D23" s="23">
        <f t="shared" ca="1" si="0"/>
        <v>0</v>
      </c>
      <c r="E23" s="24">
        <f t="shared" ca="1" si="1"/>
        <v>0</v>
      </c>
    </row>
    <row r="24" spans="1:5" x14ac:dyDescent="0.25">
      <c r="A24" s="17">
        <f ca="1">INDEX(Stations,INT((ROWS(A$2:A24)-1)/(DATE(YEAR(Invoer!$A$5),12,31)-DATE(YEAR(Invoer!$A$5),1,1)+1))+2,1)</f>
        <v>81</v>
      </c>
      <c r="B24" t="str">
        <f ca="1">TEXT(DATE(YEAR(Invoer!$A$5),1,1)+MOD(ROWS(B$2:B24)-1,DATE(YEAR(Invoer!$A$5),12,31)-DATE(YEAR(Invoer!$A$5),1,1)+1),"jjjjmmdd")</f>
        <v>19400123</v>
      </c>
      <c r="C24" s="18">
        <v>1</v>
      </c>
      <c r="D24" s="23">
        <f t="shared" ca="1" si="0"/>
        <v>61</v>
      </c>
      <c r="E24" s="24">
        <f t="shared" ca="1" si="1"/>
        <v>0</v>
      </c>
    </row>
    <row r="25" spans="1:5" x14ac:dyDescent="0.25">
      <c r="A25" s="17">
        <f ca="1">INDEX(Stations,INT((ROWS(A$2:A25)-1)/(DATE(YEAR(Invoer!$A$5),12,31)-DATE(YEAR(Invoer!$A$5),1,1)+1))+2,1)</f>
        <v>81</v>
      </c>
      <c r="B25" t="str">
        <f ca="1">TEXT(DATE(YEAR(Invoer!$A$5),1,1)+MOD(ROWS(B$2:B25)-1,DATE(YEAR(Invoer!$A$5),12,31)-DATE(YEAR(Invoer!$A$5),1,1)+1),"jjjjmmdd")</f>
        <v>19400124</v>
      </c>
      <c r="C25" s="18">
        <v>1</v>
      </c>
      <c r="D25" s="23">
        <f t="shared" ca="1" si="0"/>
        <v>50</v>
      </c>
      <c r="E25" s="24">
        <f t="shared" ca="1" si="1"/>
        <v>0</v>
      </c>
    </row>
    <row r="26" spans="1:5" x14ac:dyDescent="0.25">
      <c r="A26" s="17">
        <f ca="1">INDEX(Stations,INT((ROWS(A$2:A26)-1)/(DATE(YEAR(Invoer!$A$5),12,31)-DATE(YEAR(Invoer!$A$5),1,1)+1))+2,1)</f>
        <v>81</v>
      </c>
      <c r="B26" t="str">
        <f ca="1">TEXT(DATE(YEAR(Invoer!$A$5),1,1)+MOD(ROWS(B$2:B26)-1,DATE(YEAR(Invoer!$A$5),12,31)-DATE(YEAR(Invoer!$A$5),1,1)+1),"jjjjmmdd")</f>
        <v>19400125</v>
      </c>
      <c r="C26" s="18">
        <v>1</v>
      </c>
      <c r="D26" s="23">
        <f t="shared" ca="1" si="0"/>
        <v>75</v>
      </c>
      <c r="E26" s="24">
        <f t="shared" ca="1" si="1"/>
        <v>0</v>
      </c>
    </row>
    <row r="27" spans="1:5" x14ac:dyDescent="0.25">
      <c r="A27" s="17">
        <f ca="1">INDEX(Stations,INT((ROWS(A$2:A27)-1)/(DATE(YEAR(Invoer!$A$5),12,31)-DATE(YEAR(Invoer!$A$5),1,1)+1))+2,1)</f>
        <v>81</v>
      </c>
      <c r="B27" t="str">
        <f ca="1">TEXT(DATE(YEAR(Invoer!$A$5),1,1)+MOD(ROWS(B$2:B27)-1,DATE(YEAR(Invoer!$A$5),12,31)-DATE(YEAR(Invoer!$A$5),1,1)+1),"jjjjmmdd")</f>
        <v>19400126</v>
      </c>
      <c r="C27" s="18">
        <v>1</v>
      </c>
      <c r="D27" s="23">
        <f t="shared" ca="1" si="0"/>
        <v>95</v>
      </c>
      <c r="E27" s="24">
        <f t="shared" ca="1" si="1"/>
        <v>0</v>
      </c>
    </row>
    <row r="28" spans="1:5" x14ac:dyDescent="0.25">
      <c r="A28" s="17">
        <f ca="1">INDEX(Stations,INT((ROWS(A$2:A28)-1)/(DATE(YEAR(Invoer!$A$5),12,31)-DATE(YEAR(Invoer!$A$5),1,1)+1))+2,1)</f>
        <v>81</v>
      </c>
      <c r="B28" t="str">
        <f ca="1">TEXT(DATE(YEAR(Invoer!$A$5),1,1)+MOD(ROWS(B$2:B28)-1,DATE(YEAR(Invoer!$A$5),12,31)-DATE(YEAR(Invoer!$A$5),1,1)+1),"jjjjmmdd")</f>
        <v>19400127</v>
      </c>
      <c r="C28" s="18">
        <v>1</v>
      </c>
      <c r="D28" s="23">
        <f t="shared" ca="1" si="0"/>
        <v>0</v>
      </c>
      <c r="E28" s="24">
        <f t="shared" ca="1" si="1"/>
        <v>0</v>
      </c>
    </row>
    <row r="29" spans="1:5" x14ac:dyDescent="0.25">
      <c r="A29" s="17">
        <f ca="1">INDEX(Stations,INT((ROWS(A$2:A29)-1)/(DATE(YEAR(Invoer!$A$5),12,31)-DATE(YEAR(Invoer!$A$5),1,1)+1))+2,1)</f>
        <v>81</v>
      </c>
      <c r="B29" t="str">
        <f ca="1">TEXT(DATE(YEAR(Invoer!$A$5),1,1)+MOD(ROWS(B$2:B29)-1,DATE(YEAR(Invoer!$A$5),12,31)-DATE(YEAR(Invoer!$A$5),1,1)+1),"jjjjmmdd")</f>
        <v>19400128</v>
      </c>
      <c r="C29" s="18">
        <v>1</v>
      </c>
      <c r="D29" s="23">
        <f t="shared" ca="1" si="0"/>
        <v>0</v>
      </c>
      <c r="E29" s="24">
        <f t="shared" ca="1" si="1"/>
        <v>0</v>
      </c>
    </row>
    <row r="30" spans="1:5" x14ac:dyDescent="0.25">
      <c r="A30" s="17">
        <f ca="1">INDEX(Stations,INT((ROWS(A$2:A30)-1)/(DATE(YEAR(Invoer!$A$5),12,31)-DATE(YEAR(Invoer!$A$5),1,1)+1))+2,1)</f>
        <v>81</v>
      </c>
      <c r="B30" t="str">
        <f ca="1">TEXT(DATE(YEAR(Invoer!$A$5),1,1)+MOD(ROWS(B$2:B30)-1,DATE(YEAR(Invoer!$A$5),12,31)-DATE(YEAR(Invoer!$A$5),1,1)+1),"jjjjmmdd")</f>
        <v>19400129</v>
      </c>
      <c r="C30" s="18">
        <v>1</v>
      </c>
      <c r="D30" s="23">
        <f t="shared" ca="1" si="0"/>
        <v>0</v>
      </c>
      <c r="E30" s="24">
        <f t="shared" ca="1" si="1"/>
        <v>0</v>
      </c>
    </row>
    <row r="31" spans="1:5" x14ac:dyDescent="0.25">
      <c r="A31" s="17">
        <f ca="1">INDEX(Stations,INT((ROWS(A$2:A31)-1)/(DATE(YEAR(Invoer!$A$5),12,31)-DATE(YEAR(Invoer!$A$5),1,1)+1))+2,1)</f>
        <v>81</v>
      </c>
      <c r="B31" t="str">
        <f ca="1">TEXT(DATE(YEAR(Invoer!$A$5),1,1)+MOD(ROWS(B$2:B31)-1,DATE(YEAR(Invoer!$A$5),12,31)-DATE(YEAR(Invoer!$A$5),1,1)+1),"jjjjmmdd")</f>
        <v>19400130</v>
      </c>
      <c r="C31" s="18">
        <v>1</v>
      </c>
      <c r="D31" s="23">
        <f t="shared" ca="1" si="0"/>
        <v>0</v>
      </c>
      <c r="E31" s="24">
        <f t="shared" ca="1" si="1"/>
        <v>0</v>
      </c>
    </row>
    <row r="32" spans="1:5" x14ac:dyDescent="0.25">
      <c r="A32" s="17">
        <f ca="1">INDEX(Stations,INT((ROWS(A$2:A32)-1)/(DATE(YEAR(Invoer!$A$5),12,31)-DATE(YEAR(Invoer!$A$5),1,1)+1))+2,1)</f>
        <v>81</v>
      </c>
      <c r="B32" t="str">
        <f ca="1">TEXT(DATE(YEAR(Invoer!$A$5),1,1)+MOD(ROWS(B$2:B32)-1,DATE(YEAR(Invoer!$A$5),12,31)-DATE(YEAR(Invoer!$A$5),1,1)+1),"jjjjmmdd")</f>
        <v>19400131</v>
      </c>
      <c r="C32" s="18">
        <v>1</v>
      </c>
      <c r="D32" s="23">
        <f t="shared" ca="1" si="0"/>
        <v>0</v>
      </c>
      <c r="E32" s="24">
        <f t="shared" ca="1" si="1"/>
        <v>0</v>
      </c>
    </row>
    <row r="33" spans="1:5" x14ac:dyDescent="0.25">
      <c r="A33" s="17">
        <f ca="1">INDEX(Stations,INT((ROWS(A$2:A33)-1)/(DATE(YEAR(Invoer!$A$5),12,31)-DATE(YEAR(Invoer!$A$5),1,1)+1))+2,1)</f>
        <v>81</v>
      </c>
      <c r="B33" t="str">
        <f ca="1">TEXT(DATE(YEAR(Invoer!$A$5),1,1)+MOD(ROWS(B$2:B33)-1,DATE(YEAR(Invoer!$A$5),12,31)-DATE(YEAR(Invoer!$A$5),1,1)+1),"jjjjmmdd")</f>
        <v>19400201</v>
      </c>
      <c r="C33" s="18">
        <v>1</v>
      </c>
      <c r="D33" s="23">
        <f t="shared" ca="1" si="0"/>
        <v>0</v>
      </c>
      <c r="E33" s="24">
        <f t="shared" ca="1" si="1"/>
        <v>0</v>
      </c>
    </row>
    <row r="34" spans="1:5" x14ac:dyDescent="0.25">
      <c r="A34" s="17">
        <f ca="1">INDEX(Stations,INT((ROWS(A$2:A34)-1)/(DATE(YEAR(Invoer!$A$5),12,31)-DATE(YEAR(Invoer!$A$5),1,1)+1))+2,1)</f>
        <v>81</v>
      </c>
      <c r="B34" t="str">
        <f ca="1">TEXT(DATE(YEAR(Invoer!$A$5),1,1)+MOD(ROWS(B$2:B34)-1,DATE(YEAR(Invoer!$A$5),12,31)-DATE(YEAR(Invoer!$A$5),1,1)+1),"jjjjmmdd")</f>
        <v>19400202</v>
      </c>
      <c r="C34" s="18">
        <v>1</v>
      </c>
      <c r="D34" s="23">
        <f t="shared" ca="1" si="0"/>
        <v>4</v>
      </c>
      <c r="E34" s="24">
        <f t="shared" ca="1" si="1"/>
        <v>0</v>
      </c>
    </row>
    <row r="35" spans="1:5" x14ac:dyDescent="0.25">
      <c r="A35" s="17">
        <f ca="1">INDEX(Stations,INT((ROWS(A$2:A35)-1)/(DATE(YEAR(Invoer!$A$5),12,31)-DATE(YEAR(Invoer!$A$5),1,1)+1))+2,1)</f>
        <v>81</v>
      </c>
      <c r="B35" t="str">
        <f ca="1">TEXT(DATE(YEAR(Invoer!$A$5),1,1)+MOD(ROWS(B$2:B35)-1,DATE(YEAR(Invoer!$A$5),12,31)-DATE(YEAR(Invoer!$A$5),1,1)+1),"jjjjmmdd")</f>
        <v>19400203</v>
      </c>
      <c r="C35" s="18">
        <v>1</v>
      </c>
      <c r="D35" s="23">
        <f t="shared" ca="1" si="0"/>
        <v>0</v>
      </c>
      <c r="E35" s="24">
        <f t="shared" ca="1" si="1"/>
        <v>0</v>
      </c>
    </row>
    <row r="36" spans="1:5" x14ac:dyDescent="0.25">
      <c r="A36" s="17">
        <f ca="1">INDEX(Stations,INT((ROWS(A$2:A36)-1)/(DATE(YEAR(Invoer!$A$5),12,31)-DATE(YEAR(Invoer!$A$5),1,1)+1))+2,1)</f>
        <v>81</v>
      </c>
      <c r="B36" t="str">
        <f ca="1">TEXT(DATE(YEAR(Invoer!$A$5),1,1)+MOD(ROWS(B$2:B36)-1,DATE(YEAR(Invoer!$A$5),12,31)-DATE(YEAR(Invoer!$A$5),1,1)+1),"jjjjmmdd")</f>
        <v>19400204</v>
      </c>
      <c r="C36" s="18">
        <v>1</v>
      </c>
      <c r="D36" s="23">
        <f t="shared" ca="1" si="0"/>
        <v>90</v>
      </c>
      <c r="E36" s="24">
        <f t="shared" ca="1" si="1"/>
        <v>0</v>
      </c>
    </row>
    <row r="37" spans="1:5" x14ac:dyDescent="0.25">
      <c r="A37" s="17">
        <f ca="1">INDEX(Stations,INT((ROWS(A$2:A37)-1)/(DATE(YEAR(Invoer!$A$5),12,31)-DATE(YEAR(Invoer!$A$5),1,1)+1))+2,1)</f>
        <v>81</v>
      </c>
      <c r="B37" t="str">
        <f ca="1">TEXT(DATE(YEAR(Invoer!$A$5),1,1)+MOD(ROWS(B$2:B37)-1,DATE(YEAR(Invoer!$A$5),12,31)-DATE(YEAR(Invoer!$A$5),1,1)+1),"jjjjmmdd")</f>
        <v>19400205</v>
      </c>
      <c r="C37" s="18">
        <v>1</v>
      </c>
      <c r="D37" s="23">
        <f t="shared" ca="1" si="0"/>
        <v>0</v>
      </c>
      <c r="E37" s="24">
        <f t="shared" ca="1" si="1"/>
        <v>0</v>
      </c>
    </row>
    <row r="38" spans="1:5" x14ac:dyDescent="0.25">
      <c r="A38" s="17">
        <f ca="1">INDEX(Stations,INT((ROWS(A$2:A38)-1)/(DATE(YEAR(Invoer!$A$5),12,31)-DATE(YEAR(Invoer!$A$5),1,1)+1))+2,1)</f>
        <v>81</v>
      </c>
      <c r="B38" t="str">
        <f ca="1">TEXT(DATE(YEAR(Invoer!$A$5),1,1)+MOD(ROWS(B$2:B38)-1,DATE(YEAR(Invoer!$A$5),12,31)-DATE(YEAR(Invoer!$A$5),1,1)+1),"jjjjmmdd")</f>
        <v>19400206</v>
      </c>
      <c r="C38" s="18">
        <v>1</v>
      </c>
      <c r="D38" s="23">
        <f t="shared" ca="1" si="0"/>
        <v>0</v>
      </c>
      <c r="E38" s="24">
        <f t="shared" ca="1" si="1"/>
        <v>0</v>
      </c>
    </row>
    <row r="39" spans="1:5" x14ac:dyDescent="0.25">
      <c r="A39" s="17">
        <f ca="1">INDEX(Stations,INT((ROWS(A$2:A39)-1)/(DATE(YEAR(Invoer!$A$5),12,31)-DATE(YEAR(Invoer!$A$5),1,1)+1))+2,1)</f>
        <v>81</v>
      </c>
      <c r="B39" t="str">
        <f ca="1">TEXT(DATE(YEAR(Invoer!$A$5),1,1)+MOD(ROWS(B$2:B39)-1,DATE(YEAR(Invoer!$A$5),12,31)-DATE(YEAR(Invoer!$A$5),1,1)+1),"jjjjmmdd")</f>
        <v>19400207</v>
      </c>
      <c r="C39" s="18">
        <v>1</v>
      </c>
      <c r="D39" s="23">
        <f t="shared" ca="1" si="0"/>
        <v>28</v>
      </c>
      <c r="E39" s="24">
        <f t="shared" ca="1" si="1"/>
        <v>0</v>
      </c>
    </row>
    <row r="40" spans="1:5" x14ac:dyDescent="0.25">
      <c r="A40" s="17">
        <f ca="1">INDEX(Stations,INT((ROWS(A$2:A40)-1)/(DATE(YEAR(Invoer!$A$5),12,31)-DATE(YEAR(Invoer!$A$5),1,1)+1))+2,1)</f>
        <v>81</v>
      </c>
      <c r="B40" t="str">
        <f ca="1">TEXT(DATE(YEAR(Invoer!$A$5),1,1)+MOD(ROWS(B$2:B40)-1,DATE(YEAR(Invoer!$A$5),12,31)-DATE(YEAR(Invoer!$A$5),1,1)+1),"jjjjmmdd")</f>
        <v>19400208</v>
      </c>
      <c r="C40" s="18">
        <v>1</v>
      </c>
      <c r="D40" s="23">
        <f t="shared" ca="1" si="0"/>
        <v>0</v>
      </c>
      <c r="E40" s="24">
        <f t="shared" ca="1" si="1"/>
        <v>0</v>
      </c>
    </row>
    <row r="41" spans="1:5" x14ac:dyDescent="0.25">
      <c r="A41" s="17">
        <f ca="1">INDEX(Stations,INT((ROWS(A$2:A41)-1)/(DATE(YEAR(Invoer!$A$5),12,31)-DATE(YEAR(Invoer!$A$5),1,1)+1))+2,1)</f>
        <v>81</v>
      </c>
      <c r="B41" t="str">
        <f ca="1">TEXT(DATE(YEAR(Invoer!$A$5),1,1)+MOD(ROWS(B$2:B41)-1,DATE(YEAR(Invoer!$A$5),12,31)-DATE(YEAR(Invoer!$A$5),1,1)+1),"jjjjmmdd")</f>
        <v>19400209</v>
      </c>
      <c r="C41" s="18">
        <v>1</v>
      </c>
      <c r="D41" s="23">
        <f t="shared" ca="1" si="0"/>
        <v>0</v>
      </c>
      <c r="E41" s="24">
        <f t="shared" ca="1" si="1"/>
        <v>0</v>
      </c>
    </row>
    <row r="42" spans="1:5" x14ac:dyDescent="0.25">
      <c r="A42" s="17">
        <f ca="1">INDEX(Stations,INT((ROWS(A$2:A42)-1)/(DATE(YEAR(Invoer!$A$5),12,31)-DATE(YEAR(Invoer!$A$5),1,1)+1))+2,1)</f>
        <v>81</v>
      </c>
      <c r="B42" t="str">
        <f ca="1">TEXT(DATE(YEAR(Invoer!$A$5),1,1)+MOD(ROWS(B$2:B42)-1,DATE(YEAR(Invoer!$A$5),12,31)-DATE(YEAR(Invoer!$A$5),1,1)+1),"jjjjmmdd")</f>
        <v>19400210</v>
      </c>
      <c r="C42" s="18">
        <v>1</v>
      </c>
      <c r="D42" s="23">
        <f t="shared" ca="1" si="0"/>
        <v>62</v>
      </c>
      <c r="E42" s="24">
        <f t="shared" ca="1" si="1"/>
        <v>0</v>
      </c>
    </row>
    <row r="43" spans="1:5" x14ac:dyDescent="0.25">
      <c r="A43" s="17">
        <f ca="1">INDEX(Stations,INT((ROWS(A$2:A43)-1)/(DATE(YEAR(Invoer!$A$5),12,31)-DATE(YEAR(Invoer!$A$5),1,1)+1))+2,1)</f>
        <v>81</v>
      </c>
      <c r="B43" t="str">
        <f ca="1">TEXT(DATE(YEAR(Invoer!$A$5),1,1)+MOD(ROWS(B$2:B43)-1,DATE(YEAR(Invoer!$A$5),12,31)-DATE(YEAR(Invoer!$A$5),1,1)+1),"jjjjmmdd")</f>
        <v>19400211</v>
      </c>
      <c r="C43" s="18">
        <v>1</v>
      </c>
      <c r="D43" s="23">
        <f t="shared" ca="1" si="0"/>
        <v>0</v>
      </c>
      <c r="E43" s="24">
        <f t="shared" ca="1" si="1"/>
        <v>0</v>
      </c>
    </row>
    <row r="44" spans="1:5" x14ac:dyDescent="0.25">
      <c r="A44" s="17">
        <f ca="1">INDEX(Stations,INT((ROWS(A$2:A44)-1)/(DATE(YEAR(Invoer!$A$5),12,31)-DATE(YEAR(Invoer!$A$5),1,1)+1))+2,1)</f>
        <v>81</v>
      </c>
      <c r="B44" t="str">
        <f ca="1">TEXT(DATE(YEAR(Invoer!$A$5),1,1)+MOD(ROWS(B$2:B44)-1,DATE(YEAR(Invoer!$A$5),12,31)-DATE(YEAR(Invoer!$A$5),1,1)+1),"jjjjmmdd")</f>
        <v>19400212</v>
      </c>
      <c r="C44" s="18">
        <v>1</v>
      </c>
      <c r="D44" s="23">
        <f t="shared" ca="1" si="0"/>
        <v>145</v>
      </c>
      <c r="E44" s="24">
        <f t="shared" ca="1" si="1"/>
        <v>0</v>
      </c>
    </row>
    <row r="45" spans="1:5" x14ac:dyDescent="0.25">
      <c r="A45" s="17">
        <f ca="1">INDEX(Stations,INT((ROWS(A$2:A45)-1)/(DATE(YEAR(Invoer!$A$5),12,31)-DATE(YEAR(Invoer!$A$5),1,1)+1))+2,1)</f>
        <v>81</v>
      </c>
      <c r="B45" t="str">
        <f ca="1">TEXT(DATE(YEAR(Invoer!$A$5),1,1)+MOD(ROWS(B$2:B45)-1,DATE(YEAR(Invoer!$A$5),12,31)-DATE(YEAR(Invoer!$A$5),1,1)+1),"jjjjmmdd")</f>
        <v>19400213</v>
      </c>
      <c r="C45" s="18">
        <v>1</v>
      </c>
      <c r="D45" s="23">
        <f t="shared" ca="1" si="0"/>
        <v>43</v>
      </c>
      <c r="E45" s="24">
        <f t="shared" ca="1" si="1"/>
        <v>0</v>
      </c>
    </row>
    <row r="46" spans="1:5" x14ac:dyDescent="0.25">
      <c r="A46" s="17">
        <f ca="1">INDEX(Stations,INT((ROWS(A$2:A46)-1)/(DATE(YEAR(Invoer!$A$5),12,31)-DATE(YEAR(Invoer!$A$5),1,1)+1))+2,1)</f>
        <v>81</v>
      </c>
      <c r="B46" t="str">
        <f ca="1">TEXT(DATE(YEAR(Invoer!$A$5),1,1)+MOD(ROWS(B$2:B46)-1,DATE(YEAR(Invoer!$A$5),12,31)-DATE(YEAR(Invoer!$A$5),1,1)+1),"jjjjmmdd")</f>
        <v>19400214</v>
      </c>
      <c r="C46" s="18">
        <v>1</v>
      </c>
      <c r="D46" s="23">
        <f t="shared" ca="1" si="0"/>
        <v>0</v>
      </c>
      <c r="E46" s="24">
        <f t="shared" ca="1" si="1"/>
        <v>0</v>
      </c>
    </row>
    <row r="47" spans="1:5" x14ac:dyDescent="0.25">
      <c r="A47" s="17">
        <f ca="1">INDEX(Stations,INT((ROWS(A$2:A47)-1)/(DATE(YEAR(Invoer!$A$5),12,31)-DATE(YEAR(Invoer!$A$5),1,1)+1))+2,1)</f>
        <v>81</v>
      </c>
      <c r="B47" t="str">
        <f ca="1">TEXT(DATE(YEAR(Invoer!$A$5),1,1)+MOD(ROWS(B$2:B47)-1,DATE(YEAR(Invoer!$A$5),12,31)-DATE(YEAR(Invoer!$A$5),1,1)+1),"jjjjmmdd")</f>
        <v>19400215</v>
      </c>
      <c r="C47" s="18">
        <v>1</v>
      </c>
      <c r="D47" s="23">
        <f t="shared" ca="1" si="0"/>
        <v>0</v>
      </c>
      <c r="E47" s="24">
        <f t="shared" ca="1" si="1"/>
        <v>0</v>
      </c>
    </row>
    <row r="48" spans="1:5" x14ac:dyDescent="0.25">
      <c r="A48" s="17">
        <f ca="1">INDEX(Stations,INT((ROWS(A$2:A48)-1)/(DATE(YEAR(Invoer!$A$5),12,31)-DATE(YEAR(Invoer!$A$5),1,1)+1))+2,1)</f>
        <v>81</v>
      </c>
      <c r="B48" t="str">
        <f ca="1">TEXT(DATE(YEAR(Invoer!$A$5),1,1)+MOD(ROWS(B$2:B48)-1,DATE(YEAR(Invoer!$A$5),12,31)-DATE(YEAR(Invoer!$A$5),1,1)+1),"jjjjmmdd")</f>
        <v>19400216</v>
      </c>
      <c r="C48" s="18">
        <v>1</v>
      </c>
      <c r="D48" s="23">
        <f t="shared" ca="1" si="0"/>
        <v>0</v>
      </c>
      <c r="E48" s="24">
        <f t="shared" ca="1" si="1"/>
        <v>0</v>
      </c>
    </row>
    <row r="49" spans="1:5" x14ac:dyDescent="0.25">
      <c r="A49" s="17">
        <f ca="1">INDEX(Stations,INT((ROWS(A$2:A49)-1)/(DATE(YEAR(Invoer!$A$5),12,31)-DATE(YEAR(Invoer!$A$5),1,1)+1))+2,1)</f>
        <v>81</v>
      </c>
      <c r="B49" t="str">
        <f ca="1">TEXT(DATE(YEAR(Invoer!$A$5),1,1)+MOD(ROWS(B$2:B49)-1,DATE(YEAR(Invoer!$A$5),12,31)-DATE(YEAR(Invoer!$A$5),1,1)+1),"jjjjmmdd")</f>
        <v>19400217</v>
      </c>
      <c r="C49" s="18">
        <v>1</v>
      </c>
      <c r="D49" s="23">
        <f t="shared" ca="1" si="0"/>
        <v>0</v>
      </c>
      <c r="E49" s="24">
        <f t="shared" ca="1" si="1"/>
        <v>0</v>
      </c>
    </row>
    <row r="50" spans="1:5" x14ac:dyDescent="0.25">
      <c r="A50" s="17">
        <f ca="1">INDEX(Stations,INT((ROWS(A$2:A50)-1)/(DATE(YEAR(Invoer!$A$5),12,31)-DATE(YEAR(Invoer!$A$5),1,1)+1))+2,1)</f>
        <v>81</v>
      </c>
      <c r="B50" t="str">
        <f ca="1">TEXT(DATE(YEAR(Invoer!$A$5),1,1)+MOD(ROWS(B$2:B50)-1,DATE(YEAR(Invoer!$A$5),12,31)-DATE(YEAR(Invoer!$A$5),1,1)+1),"jjjjmmdd")</f>
        <v>19400218</v>
      </c>
      <c r="C50" s="18">
        <v>1</v>
      </c>
      <c r="D50" s="23">
        <f t="shared" ca="1" si="0"/>
        <v>125</v>
      </c>
      <c r="E50" s="24">
        <f t="shared" ca="1" si="1"/>
        <v>0</v>
      </c>
    </row>
    <row r="51" spans="1:5" x14ac:dyDescent="0.25">
      <c r="A51" s="17">
        <f ca="1">INDEX(Stations,INT((ROWS(A$2:A51)-1)/(DATE(YEAR(Invoer!$A$5),12,31)-DATE(YEAR(Invoer!$A$5),1,1)+1))+2,1)</f>
        <v>81</v>
      </c>
      <c r="B51" t="str">
        <f ca="1">TEXT(DATE(YEAR(Invoer!$A$5),1,1)+MOD(ROWS(B$2:B51)-1,DATE(YEAR(Invoer!$A$5),12,31)-DATE(YEAR(Invoer!$A$5),1,1)+1),"jjjjmmdd")</f>
        <v>19400219</v>
      </c>
      <c r="C51" s="18">
        <v>1</v>
      </c>
      <c r="D51" s="23">
        <f t="shared" ca="1" si="0"/>
        <v>0</v>
      </c>
      <c r="E51" s="24">
        <f t="shared" ca="1" si="1"/>
        <v>0</v>
      </c>
    </row>
    <row r="52" spans="1:5" x14ac:dyDescent="0.25">
      <c r="A52" s="17">
        <f ca="1">INDEX(Stations,INT((ROWS(A$2:A52)-1)/(DATE(YEAR(Invoer!$A$5),12,31)-DATE(YEAR(Invoer!$A$5),1,1)+1))+2,1)</f>
        <v>81</v>
      </c>
      <c r="B52" t="str">
        <f ca="1">TEXT(DATE(YEAR(Invoer!$A$5),1,1)+MOD(ROWS(B$2:B52)-1,DATE(YEAR(Invoer!$A$5),12,31)-DATE(YEAR(Invoer!$A$5),1,1)+1),"jjjjmmdd")</f>
        <v>19400220</v>
      </c>
      <c r="C52" s="18">
        <v>1</v>
      </c>
      <c r="D52" s="23">
        <f t="shared" ca="1" si="0"/>
        <v>0</v>
      </c>
      <c r="E52" s="24">
        <f t="shared" ca="1" si="1"/>
        <v>0</v>
      </c>
    </row>
    <row r="53" spans="1:5" x14ac:dyDescent="0.25">
      <c r="A53" s="17">
        <f ca="1">INDEX(Stations,INT((ROWS(A$2:A53)-1)/(DATE(YEAR(Invoer!$A$5),12,31)-DATE(YEAR(Invoer!$A$5),1,1)+1))+2,1)</f>
        <v>81</v>
      </c>
      <c r="B53" t="str">
        <f ca="1">TEXT(DATE(YEAR(Invoer!$A$5),1,1)+MOD(ROWS(B$2:B53)-1,DATE(YEAR(Invoer!$A$5),12,31)-DATE(YEAR(Invoer!$A$5),1,1)+1),"jjjjmmdd")</f>
        <v>19400221</v>
      </c>
      <c r="C53" s="18">
        <v>1</v>
      </c>
      <c r="D53" s="23">
        <f t="shared" ca="1" si="0"/>
        <v>0</v>
      </c>
      <c r="E53" s="24">
        <f t="shared" ca="1" si="1"/>
        <v>0</v>
      </c>
    </row>
    <row r="54" spans="1:5" x14ac:dyDescent="0.25">
      <c r="A54" s="17">
        <f ca="1">INDEX(Stations,INT((ROWS(A$2:A54)-1)/(DATE(YEAR(Invoer!$A$5),12,31)-DATE(YEAR(Invoer!$A$5),1,1)+1))+2,1)</f>
        <v>81</v>
      </c>
      <c r="B54" t="str">
        <f ca="1">TEXT(DATE(YEAR(Invoer!$A$5),1,1)+MOD(ROWS(B$2:B54)-1,DATE(YEAR(Invoer!$A$5),12,31)-DATE(YEAR(Invoer!$A$5),1,1)+1),"jjjjmmdd")</f>
        <v>19400222</v>
      </c>
      <c r="C54" s="18">
        <v>1</v>
      </c>
      <c r="D54" s="23">
        <f t="shared" ca="1" si="0"/>
        <v>0</v>
      </c>
      <c r="E54" s="24">
        <f t="shared" ca="1" si="1"/>
        <v>0</v>
      </c>
    </row>
    <row r="55" spans="1:5" x14ac:dyDescent="0.25">
      <c r="A55" s="17">
        <f ca="1">INDEX(Stations,INT((ROWS(A$2:A55)-1)/(DATE(YEAR(Invoer!$A$5),12,31)-DATE(YEAR(Invoer!$A$5),1,1)+1))+2,1)</f>
        <v>81</v>
      </c>
      <c r="B55" t="str">
        <f ca="1">TEXT(DATE(YEAR(Invoer!$A$5),1,1)+MOD(ROWS(B$2:B55)-1,DATE(YEAR(Invoer!$A$5),12,31)-DATE(YEAR(Invoer!$A$5),1,1)+1),"jjjjmmdd")</f>
        <v>19400223</v>
      </c>
      <c r="C55" s="18">
        <v>1</v>
      </c>
      <c r="D55" s="23">
        <f t="shared" ca="1" si="0"/>
        <v>0</v>
      </c>
      <c r="E55" s="24">
        <f t="shared" ca="1" si="1"/>
        <v>0</v>
      </c>
    </row>
    <row r="56" spans="1:5" x14ac:dyDescent="0.25">
      <c r="A56" s="17">
        <f ca="1">INDEX(Stations,INT((ROWS(A$2:A56)-1)/(DATE(YEAR(Invoer!$A$5),12,31)-DATE(YEAR(Invoer!$A$5),1,1)+1))+2,1)</f>
        <v>81</v>
      </c>
      <c r="B56" t="str">
        <f ca="1">TEXT(DATE(YEAR(Invoer!$A$5),1,1)+MOD(ROWS(B$2:B56)-1,DATE(YEAR(Invoer!$A$5),12,31)-DATE(YEAR(Invoer!$A$5),1,1)+1),"jjjjmmdd")</f>
        <v>19400224</v>
      </c>
      <c r="C56" s="18">
        <v>1</v>
      </c>
      <c r="D56" s="23">
        <f t="shared" ca="1" si="0"/>
        <v>0</v>
      </c>
      <c r="E56" s="24">
        <f t="shared" ca="1" si="1"/>
        <v>0</v>
      </c>
    </row>
    <row r="57" spans="1:5" x14ac:dyDescent="0.25">
      <c r="A57" s="17">
        <f ca="1">INDEX(Stations,INT((ROWS(A$2:A57)-1)/(DATE(YEAR(Invoer!$A$5),12,31)-DATE(YEAR(Invoer!$A$5),1,1)+1))+2,1)</f>
        <v>81</v>
      </c>
      <c r="B57" t="str">
        <f ca="1">TEXT(DATE(YEAR(Invoer!$A$5),1,1)+MOD(ROWS(B$2:B57)-1,DATE(YEAR(Invoer!$A$5),12,31)-DATE(YEAR(Invoer!$A$5),1,1)+1),"jjjjmmdd")</f>
        <v>19400225</v>
      </c>
      <c r="C57" s="18">
        <v>1</v>
      </c>
      <c r="D57" s="23">
        <f t="shared" ca="1" si="0"/>
        <v>0</v>
      </c>
      <c r="E57" s="24">
        <f t="shared" ca="1" si="1"/>
        <v>0</v>
      </c>
    </row>
    <row r="58" spans="1:5" x14ac:dyDescent="0.25">
      <c r="A58" s="17">
        <f ca="1">INDEX(Stations,INT((ROWS(A$2:A58)-1)/(DATE(YEAR(Invoer!$A$5),12,31)-DATE(YEAR(Invoer!$A$5),1,1)+1))+2,1)</f>
        <v>81</v>
      </c>
      <c r="B58" t="str">
        <f ca="1">TEXT(DATE(YEAR(Invoer!$A$5),1,1)+MOD(ROWS(B$2:B58)-1,DATE(YEAR(Invoer!$A$5),12,31)-DATE(YEAR(Invoer!$A$5),1,1)+1),"jjjjmmdd")</f>
        <v>19400226</v>
      </c>
      <c r="C58" s="18">
        <v>1</v>
      </c>
      <c r="D58" s="23">
        <f t="shared" ca="1" si="0"/>
        <v>0</v>
      </c>
      <c r="E58" s="24">
        <f t="shared" ca="1" si="1"/>
        <v>0</v>
      </c>
    </row>
    <row r="59" spans="1:5" x14ac:dyDescent="0.25">
      <c r="A59" s="17">
        <f ca="1">INDEX(Stations,INT((ROWS(A$2:A59)-1)/(DATE(YEAR(Invoer!$A$5),12,31)-DATE(YEAR(Invoer!$A$5),1,1)+1))+2,1)</f>
        <v>81</v>
      </c>
      <c r="B59" t="str">
        <f ca="1">TEXT(DATE(YEAR(Invoer!$A$5),1,1)+MOD(ROWS(B$2:B59)-1,DATE(YEAR(Invoer!$A$5),12,31)-DATE(YEAR(Invoer!$A$5),1,1)+1),"jjjjmmdd")</f>
        <v>19400227</v>
      </c>
      <c r="C59" s="18">
        <v>1</v>
      </c>
      <c r="D59" s="23">
        <f t="shared" ca="1" si="0"/>
        <v>21</v>
      </c>
      <c r="E59" s="24">
        <f t="shared" ca="1" si="1"/>
        <v>0</v>
      </c>
    </row>
    <row r="60" spans="1:5" x14ac:dyDescent="0.25">
      <c r="A60" s="17">
        <f ca="1">INDEX(Stations,INT((ROWS(A$2:A60)-1)/(DATE(YEAR(Invoer!$A$5),12,31)-DATE(YEAR(Invoer!$A$5),1,1)+1))+2,1)</f>
        <v>81</v>
      </c>
      <c r="B60" t="str">
        <f ca="1">TEXT(DATE(YEAR(Invoer!$A$5),1,1)+MOD(ROWS(B$2:B60)-1,DATE(YEAR(Invoer!$A$5),12,31)-DATE(YEAR(Invoer!$A$5),1,1)+1),"jjjjmmdd")</f>
        <v>19400228</v>
      </c>
      <c r="C60" s="18">
        <v>1</v>
      </c>
      <c r="D60" s="23">
        <f t="shared" ca="1" si="0"/>
        <v>35</v>
      </c>
      <c r="E60" s="24">
        <f t="shared" ca="1" si="1"/>
        <v>0</v>
      </c>
    </row>
    <row r="61" spans="1:5" x14ac:dyDescent="0.25">
      <c r="A61" s="17">
        <f ca="1">INDEX(Stations,INT((ROWS(A$2:A61)-1)/(DATE(YEAR(Invoer!$A$5),12,31)-DATE(YEAR(Invoer!$A$5),1,1)+1))+2,1)</f>
        <v>81</v>
      </c>
      <c r="B61" t="str">
        <f ca="1">TEXT(DATE(YEAR(Invoer!$A$5),1,1)+MOD(ROWS(B$2:B61)-1,DATE(YEAR(Invoer!$A$5),12,31)-DATE(YEAR(Invoer!$A$5),1,1)+1),"jjjjmmdd")</f>
        <v>19400229</v>
      </c>
      <c r="C61" s="18">
        <v>1</v>
      </c>
      <c r="D61" s="23">
        <f t="shared" ca="1" si="0"/>
        <v>142</v>
      </c>
      <c r="E61" s="24">
        <f t="shared" ca="1" si="1"/>
        <v>0</v>
      </c>
    </row>
    <row r="62" spans="1:5" x14ac:dyDescent="0.25">
      <c r="A62" s="17">
        <f ca="1">INDEX(Stations,INT((ROWS(A$2:A62)-1)/(DATE(YEAR(Invoer!$A$5),12,31)-DATE(YEAR(Invoer!$A$5),1,1)+1))+2,1)</f>
        <v>81</v>
      </c>
      <c r="B62" t="str">
        <f ca="1">TEXT(DATE(YEAR(Invoer!$A$5),1,1)+MOD(ROWS(B$2:B62)-1,DATE(YEAR(Invoer!$A$5),12,31)-DATE(YEAR(Invoer!$A$5),1,1)+1),"jjjjmmdd")</f>
        <v>19400301</v>
      </c>
      <c r="C62" s="18">
        <v>1</v>
      </c>
      <c r="D62" s="23">
        <f t="shared" ca="1" si="0"/>
        <v>32</v>
      </c>
      <c r="E62" s="24">
        <f t="shared" ca="1" si="1"/>
        <v>0</v>
      </c>
    </row>
    <row r="63" spans="1:5" x14ac:dyDescent="0.25">
      <c r="A63" s="17">
        <f ca="1">INDEX(Stations,INT((ROWS(A$2:A63)-1)/(DATE(YEAR(Invoer!$A$5),12,31)-DATE(YEAR(Invoer!$A$5),1,1)+1))+2,1)</f>
        <v>81</v>
      </c>
      <c r="B63" t="str">
        <f ca="1">TEXT(DATE(YEAR(Invoer!$A$5),1,1)+MOD(ROWS(B$2:B63)-1,DATE(YEAR(Invoer!$A$5),12,31)-DATE(YEAR(Invoer!$A$5),1,1)+1),"jjjjmmdd")</f>
        <v>19400302</v>
      </c>
      <c r="C63" s="18">
        <v>1</v>
      </c>
      <c r="D63" s="23">
        <f t="shared" ca="1" si="0"/>
        <v>0</v>
      </c>
      <c r="E63" s="24">
        <f t="shared" ca="1" si="1"/>
        <v>0</v>
      </c>
    </row>
    <row r="64" spans="1:5" x14ac:dyDescent="0.25">
      <c r="A64" s="17">
        <f ca="1">INDEX(Stations,INT((ROWS(A$2:A64)-1)/(DATE(YEAR(Invoer!$A$5),12,31)-DATE(YEAR(Invoer!$A$5),1,1)+1))+2,1)</f>
        <v>81</v>
      </c>
      <c r="B64" t="str">
        <f ca="1">TEXT(DATE(YEAR(Invoer!$A$5),1,1)+MOD(ROWS(B$2:B64)-1,DATE(YEAR(Invoer!$A$5),12,31)-DATE(YEAR(Invoer!$A$5),1,1)+1),"jjjjmmdd")</f>
        <v>19400303</v>
      </c>
      <c r="C64" s="18">
        <v>1</v>
      </c>
      <c r="D64" s="23">
        <f t="shared" ca="1" si="0"/>
        <v>0</v>
      </c>
      <c r="E64" s="24">
        <f t="shared" ca="1" si="1"/>
        <v>0</v>
      </c>
    </row>
    <row r="65" spans="1:5" x14ac:dyDescent="0.25">
      <c r="A65" s="17">
        <f ca="1">INDEX(Stations,INT((ROWS(A$2:A65)-1)/(DATE(YEAR(Invoer!$A$5),12,31)-DATE(YEAR(Invoer!$A$5),1,1)+1))+2,1)</f>
        <v>81</v>
      </c>
      <c r="B65" t="str">
        <f ca="1">TEXT(DATE(YEAR(Invoer!$A$5),1,1)+MOD(ROWS(B$2:B65)-1,DATE(YEAR(Invoer!$A$5),12,31)-DATE(YEAR(Invoer!$A$5),1,1)+1),"jjjjmmdd")</f>
        <v>19400304</v>
      </c>
      <c r="C65" s="18">
        <v>1</v>
      </c>
      <c r="D65" s="23">
        <f t="shared" ca="1" si="0"/>
        <v>8</v>
      </c>
      <c r="E65" s="24">
        <f t="shared" ca="1" si="1"/>
        <v>0</v>
      </c>
    </row>
    <row r="66" spans="1:5" x14ac:dyDescent="0.25">
      <c r="A66" s="17">
        <f ca="1">INDEX(Stations,INT((ROWS(A$2:A66)-1)/(DATE(YEAR(Invoer!$A$5),12,31)-DATE(YEAR(Invoer!$A$5),1,1)+1))+2,1)</f>
        <v>81</v>
      </c>
      <c r="B66" t="str">
        <f ca="1">TEXT(DATE(YEAR(Invoer!$A$5),1,1)+MOD(ROWS(B$2:B66)-1,DATE(YEAR(Invoer!$A$5),12,31)-DATE(YEAR(Invoer!$A$5),1,1)+1),"jjjjmmdd")</f>
        <v>19400305</v>
      </c>
      <c r="C66" s="18">
        <v>1</v>
      </c>
      <c r="D66" s="23">
        <f t="shared" ref="D66:D129" ca="1" si="2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"—",VLOOKUP(DATEVALUE(LEFT(B66,4)&amp;"-"&amp;MID(B66,5,2)&amp;"-"&amp;RIGHT(B66,2)),Data,MATCH(VLOOKUP(A66,Stations,2,FALSE()),OFFSET(Data,1,0,1),0),FALSE()))</f>
        <v>0</v>
      </c>
      <c r="E66" s="24">
        <f t="shared" ref="E66:E129" ca="1" si="3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Lacking,IF(ISNA(MATCH(DATEVALUE(LEFT(B66,4)&amp;"-"&amp;MID(B66,5,2)&amp;"-"&amp;RIGHT(B66,2)),OFFSET(Catalogus,0,0,,1),0)),Ok,VLOOKUP(DATEVALUE(LEFT(B66,4)&amp;"-"&amp;MID(B66,5,2)&amp;"-"&amp;RIGHT(B66,2)),Catalogus,MATCH(VLOOKUP(A66,Stations,2,FALSE()),OFFSET(Catalogus,1,0,1),0),FALSE())))</f>
        <v>0</v>
      </c>
    </row>
    <row r="67" spans="1:5" x14ac:dyDescent="0.25">
      <c r="A67" s="17">
        <f ca="1">INDEX(Stations,INT((ROWS(A$2:A67)-1)/(DATE(YEAR(Invoer!$A$5),12,31)-DATE(YEAR(Invoer!$A$5),1,1)+1))+2,1)</f>
        <v>81</v>
      </c>
      <c r="B67" t="str">
        <f ca="1">TEXT(DATE(YEAR(Invoer!$A$5),1,1)+MOD(ROWS(B$2:B67)-1,DATE(YEAR(Invoer!$A$5),12,31)-DATE(YEAR(Invoer!$A$5),1,1)+1),"jjjjmmdd")</f>
        <v>19400306</v>
      </c>
      <c r="C67" s="18">
        <v>1</v>
      </c>
      <c r="D67" s="23">
        <f t="shared" ca="1" si="2"/>
        <v>0</v>
      </c>
      <c r="E67" s="24">
        <f t="shared" ca="1" si="3"/>
        <v>0</v>
      </c>
    </row>
    <row r="68" spans="1:5" x14ac:dyDescent="0.25">
      <c r="A68" s="17">
        <f ca="1">INDEX(Stations,INT((ROWS(A$2:A68)-1)/(DATE(YEAR(Invoer!$A$5),12,31)-DATE(YEAR(Invoer!$A$5),1,1)+1))+2,1)</f>
        <v>81</v>
      </c>
      <c r="B68" t="str">
        <f ca="1">TEXT(DATE(YEAR(Invoer!$A$5),1,1)+MOD(ROWS(B$2:B68)-1,DATE(YEAR(Invoer!$A$5),12,31)-DATE(YEAR(Invoer!$A$5),1,1)+1),"jjjjmmdd")</f>
        <v>19400307</v>
      </c>
      <c r="C68" s="18">
        <v>1</v>
      </c>
      <c r="D68" s="23">
        <f t="shared" ca="1" si="2"/>
        <v>0</v>
      </c>
      <c r="E68" s="24">
        <f t="shared" ca="1" si="3"/>
        <v>0</v>
      </c>
    </row>
    <row r="69" spans="1:5" x14ac:dyDescent="0.25">
      <c r="A69" s="17">
        <f ca="1">INDEX(Stations,INT((ROWS(A$2:A69)-1)/(DATE(YEAR(Invoer!$A$5),12,31)-DATE(YEAR(Invoer!$A$5),1,1)+1))+2,1)</f>
        <v>81</v>
      </c>
      <c r="B69" t="str">
        <f ca="1">TEXT(DATE(YEAR(Invoer!$A$5),1,1)+MOD(ROWS(B$2:B69)-1,DATE(YEAR(Invoer!$A$5),12,31)-DATE(YEAR(Invoer!$A$5),1,1)+1),"jjjjmmdd")</f>
        <v>19400308</v>
      </c>
      <c r="C69" s="18">
        <v>1</v>
      </c>
      <c r="D69" s="23">
        <f t="shared" ca="1" si="2"/>
        <v>0</v>
      </c>
      <c r="E69" s="24">
        <f t="shared" ca="1" si="3"/>
        <v>0</v>
      </c>
    </row>
    <row r="70" spans="1:5" x14ac:dyDescent="0.25">
      <c r="A70" s="17">
        <f ca="1">INDEX(Stations,INT((ROWS(A$2:A70)-1)/(DATE(YEAR(Invoer!$A$5),12,31)-DATE(YEAR(Invoer!$A$5),1,1)+1))+2,1)</f>
        <v>81</v>
      </c>
      <c r="B70" t="str">
        <f ca="1">TEXT(DATE(YEAR(Invoer!$A$5),1,1)+MOD(ROWS(B$2:B70)-1,DATE(YEAR(Invoer!$A$5),12,31)-DATE(YEAR(Invoer!$A$5),1,1)+1),"jjjjmmdd")</f>
        <v>19400309</v>
      </c>
      <c r="C70" s="18">
        <v>1</v>
      </c>
      <c r="D70" s="23">
        <f t="shared" ca="1" si="2"/>
        <v>0</v>
      </c>
      <c r="E70" s="24">
        <f t="shared" ca="1" si="3"/>
        <v>0</v>
      </c>
    </row>
    <row r="71" spans="1:5" x14ac:dyDescent="0.25">
      <c r="A71" s="17">
        <f ca="1">INDEX(Stations,INT((ROWS(A$2:A71)-1)/(DATE(YEAR(Invoer!$A$5),12,31)-DATE(YEAR(Invoer!$A$5),1,1)+1))+2,1)</f>
        <v>81</v>
      </c>
      <c r="B71" t="str">
        <f ca="1">TEXT(DATE(YEAR(Invoer!$A$5),1,1)+MOD(ROWS(B$2:B71)-1,DATE(YEAR(Invoer!$A$5),12,31)-DATE(YEAR(Invoer!$A$5),1,1)+1),"jjjjmmdd")</f>
        <v>19400310</v>
      </c>
      <c r="C71" s="18">
        <v>1</v>
      </c>
      <c r="D71" s="23">
        <f t="shared" ca="1" si="2"/>
        <v>23</v>
      </c>
      <c r="E71" s="24">
        <f t="shared" ca="1" si="3"/>
        <v>0</v>
      </c>
    </row>
    <row r="72" spans="1:5" x14ac:dyDescent="0.25">
      <c r="A72" s="17">
        <f ca="1">INDEX(Stations,INT((ROWS(A$2:A72)-1)/(DATE(YEAR(Invoer!$A$5),12,31)-DATE(YEAR(Invoer!$A$5),1,1)+1))+2,1)</f>
        <v>81</v>
      </c>
      <c r="B72" t="str">
        <f ca="1">TEXT(DATE(YEAR(Invoer!$A$5),1,1)+MOD(ROWS(B$2:B72)-1,DATE(YEAR(Invoer!$A$5),12,31)-DATE(YEAR(Invoer!$A$5),1,1)+1),"jjjjmmdd")</f>
        <v>19400311</v>
      </c>
      <c r="C72" s="18">
        <v>1</v>
      </c>
      <c r="D72" s="23">
        <f t="shared" ca="1" si="2"/>
        <v>288</v>
      </c>
      <c r="E72" s="24">
        <f t="shared" ca="1" si="3"/>
        <v>0</v>
      </c>
    </row>
    <row r="73" spans="1:5" x14ac:dyDescent="0.25">
      <c r="A73" s="17">
        <f ca="1">INDEX(Stations,INT((ROWS(A$2:A73)-1)/(DATE(YEAR(Invoer!$A$5),12,31)-DATE(YEAR(Invoer!$A$5),1,1)+1))+2,1)</f>
        <v>81</v>
      </c>
      <c r="B73" t="str">
        <f ca="1">TEXT(DATE(YEAR(Invoer!$A$5),1,1)+MOD(ROWS(B$2:B73)-1,DATE(YEAR(Invoer!$A$5),12,31)-DATE(YEAR(Invoer!$A$5),1,1)+1),"jjjjmmdd")</f>
        <v>19400312</v>
      </c>
      <c r="C73" s="18">
        <v>1</v>
      </c>
      <c r="D73" s="23">
        <f t="shared" ca="1" si="2"/>
        <v>68</v>
      </c>
      <c r="E73" s="24">
        <f t="shared" ca="1" si="3"/>
        <v>0</v>
      </c>
    </row>
    <row r="74" spans="1:5" x14ac:dyDescent="0.25">
      <c r="A74" s="17">
        <f ca="1">INDEX(Stations,INT((ROWS(A$2:A74)-1)/(DATE(YEAR(Invoer!$A$5),12,31)-DATE(YEAR(Invoer!$A$5),1,1)+1))+2,1)</f>
        <v>81</v>
      </c>
      <c r="B74" t="str">
        <f ca="1">TEXT(DATE(YEAR(Invoer!$A$5),1,1)+MOD(ROWS(B$2:B74)-1,DATE(YEAR(Invoer!$A$5),12,31)-DATE(YEAR(Invoer!$A$5),1,1)+1),"jjjjmmdd")</f>
        <v>19400313</v>
      </c>
      <c r="C74" s="18">
        <v>1</v>
      </c>
      <c r="D74" s="23">
        <f t="shared" ca="1" si="2"/>
        <v>0</v>
      </c>
      <c r="E74" s="24">
        <f t="shared" ca="1" si="3"/>
        <v>0</v>
      </c>
    </row>
    <row r="75" spans="1:5" x14ac:dyDescent="0.25">
      <c r="A75" s="17">
        <f ca="1">INDEX(Stations,INT((ROWS(A$2:A75)-1)/(DATE(YEAR(Invoer!$A$5),12,31)-DATE(YEAR(Invoer!$A$5),1,1)+1))+2,1)</f>
        <v>81</v>
      </c>
      <c r="B75" t="str">
        <f ca="1">TEXT(DATE(YEAR(Invoer!$A$5),1,1)+MOD(ROWS(B$2:B75)-1,DATE(YEAR(Invoer!$A$5),12,31)-DATE(YEAR(Invoer!$A$5),1,1)+1),"jjjjmmdd")</f>
        <v>19400314</v>
      </c>
      <c r="C75" s="18">
        <v>1</v>
      </c>
      <c r="D75" s="23">
        <f t="shared" ca="1" si="2"/>
        <v>0</v>
      </c>
      <c r="E75" s="24">
        <f t="shared" ca="1" si="3"/>
        <v>0</v>
      </c>
    </row>
    <row r="76" spans="1:5" x14ac:dyDescent="0.25">
      <c r="A76" s="17">
        <f ca="1">INDEX(Stations,INT((ROWS(A$2:A76)-1)/(DATE(YEAR(Invoer!$A$5),12,31)-DATE(YEAR(Invoer!$A$5),1,1)+1))+2,1)</f>
        <v>81</v>
      </c>
      <c r="B76" t="str">
        <f ca="1">TEXT(DATE(YEAR(Invoer!$A$5),1,1)+MOD(ROWS(B$2:B76)-1,DATE(YEAR(Invoer!$A$5),12,31)-DATE(YEAR(Invoer!$A$5),1,1)+1),"jjjjmmdd")</f>
        <v>19400315</v>
      </c>
      <c r="C76" s="18">
        <v>1</v>
      </c>
      <c r="D76" s="23">
        <f t="shared" ca="1" si="2"/>
        <v>0</v>
      </c>
      <c r="E76" s="24">
        <f t="shared" ca="1" si="3"/>
        <v>0</v>
      </c>
    </row>
    <row r="77" spans="1:5" x14ac:dyDescent="0.25">
      <c r="A77" s="17">
        <f ca="1">INDEX(Stations,INT((ROWS(A$2:A77)-1)/(DATE(YEAR(Invoer!$A$5),12,31)-DATE(YEAR(Invoer!$A$5),1,1)+1))+2,1)</f>
        <v>81</v>
      </c>
      <c r="B77" t="str">
        <f ca="1">TEXT(DATE(YEAR(Invoer!$A$5),1,1)+MOD(ROWS(B$2:B77)-1,DATE(YEAR(Invoer!$A$5),12,31)-DATE(YEAR(Invoer!$A$5),1,1)+1),"jjjjmmdd")</f>
        <v>19400316</v>
      </c>
      <c r="C77" s="18">
        <v>1</v>
      </c>
      <c r="D77" s="23">
        <f t="shared" ca="1" si="2"/>
        <v>0</v>
      </c>
      <c r="E77" s="24">
        <f t="shared" ca="1" si="3"/>
        <v>0</v>
      </c>
    </row>
    <row r="78" spans="1:5" x14ac:dyDescent="0.25">
      <c r="A78" s="17">
        <f ca="1">INDEX(Stations,INT((ROWS(A$2:A78)-1)/(DATE(YEAR(Invoer!$A$5),12,31)-DATE(YEAR(Invoer!$A$5),1,1)+1))+2,1)</f>
        <v>81</v>
      </c>
      <c r="B78" t="str">
        <f ca="1">TEXT(DATE(YEAR(Invoer!$A$5),1,1)+MOD(ROWS(B$2:B78)-1,DATE(YEAR(Invoer!$A$5),12,31)-DATE(YEAR(Invoer!$A$5),1,1)+1),"jjjjmmdd")</f>
        <v>19400317</v>
      </c>
      <c r="C78" s="18">
        <v>1</v>
      </c>
      <c r="D78" s="23">
        <f t="shared" ca="1" si="2"/>
        <v>0</v>
      </c>
      <c r="E78" s="24">
        <f t="shared" ca="1" si="3"/>
        <v>0</v>
      </c>
    </row>
    <row r="79" spans="1:5" x14ac:dyDescent="0.25">
      <c r="A79" s="17">
        <f ca="1">INDEX(Stations,INT((ROWS(A$2:A79)-1)/(DATE(YEAR(Invoer!$A$5),12,31)-DATE(YEAR(Invoer!$A$5),1,1)+1))+2,1)</f>
        <v>81</v>
      </c>
      <c r="B79" t="str">
        <f ca="1">TEXT(DATE(YEAR(Invoer!$A$5),1,1)+MOD(ROWS(B$2:B79)-1,DATE(YEAR(Invoer!$A$5),12,31)-DATE(YEAR(Invoer!$A$5),1,1)+1),"jjjjmmdd")</f>
        <v>19400318</v>
      </c>
      <c r="C79" s="18">
        <v>1</v>
      </c>
      <c r="D79" s="23">
        <f t="shared" ca="1" si="2"/>
        <v>0</v>
      </c>
      <c r="E79" s="24">
        <f t="shared" ca="1" si="3"/>
        <v>0</v>
      </c>
    </row>
    <row r="80" spans="1:5" x14ac:dyDescent="0.25">
      <c r="A80" s="17">
        <f ca="1">INDEX(Stations,INT((ROWS(A$2:A80)-1)/(DATE(YEAR(Invoer!$A$5),12,31)-DATE(YEAR(Invoer!$A$5),1,1)+1))+2,1)</f>
        <v>81</v>
      </c>
      <c r="B80" t="str">
        <f ca="1">TEXT(DATE(YEAR(Invoer!$A$5),1,1)+MOD(ROWS(B$2:B80)-1,DATE(YEAR(Invoer!$A$5),12,31)-DATE(YEAR(Invoer!$A$5),1,1)+1),"jjjjmmdd")</f>
        <v>19400319</v>
      </c>
      <c r="C80" s="18">
        <v>1</v>
      </c>
      <c r="D80" s="23">
        <f t="shared" ca="1" si="2"/>
        <v>0</v>
      </c>
      <c r="E80" s="24">
        <f t="shared" ca="1" si="3"/>
        <v>0</v>
      </c>
    </row>
    <row r="81" spans="1:5" x14ac:dyDescent="0.25">
      <c r="A81" s="17">
        <f ca="1">INDEX(Stations,INT((ROWS(A$2:A81)-1)/(DATE(YEAR(Invoer!$A$5),12,31)-DATE(YEAR(Invoer!$A$5),1,1)+1))+2,1)</f>
        <v>81</v>
      </c>
      <c r="B81" t="str">
        <f ca="1">TEXT(DATE(YEAR(Invoer!$A$5),1,1)+MOD(ROWS(B$2:B81)-1,DATE(YEAR(Invoer!$A$5),12,31)-DATE(YEAR(Invoer!$A$5),1,1)+1),"jjjjmmdd")</f>
        <v>19400320</v>
      </c>
      <c r="C81" s="18">
        <v>1</v>
      </c>
      <c r="D81" s="23">
        <f t="shared" ca="1" si="2"/>
        <v>0</v>
      </c>
      <c r="E81" s="24">
        <f t="shared" ca="1" si="3"/>
        <v>0</v>
      </c>
    </row>
    <row r="82" spans="1:5" x14ac:dyDescent="0.25">
      <c r="A82" s="17">
        <f ca="1">INDEX(Stations,INT((ROWS(A$2:A82)-1)/(DATE(YEAR(Invoer!$A$5),12,31)-DATE(YEAR(Invoer!$A$5),1,1)+1))+2,1)</f>
        <v>81</v>
      </c>
      <c r="B82" t="str">
        <f ca="1">TEXT(DATE(YEAR(Invoer!$A$5),1,1)+MOD(ROWS(B$2:B82)-1,DATE(YEAR(Invoer!$A$5),12,31)-DATE(YEAR(Invoer!$A$5),1,1)+1),"jjjjmmdd")</f>
        <v>19400321</v>
      </c>
      <c r="C82" s="18">
        <v>1</v>
      </c>
      <c r="D82" s="23">
        <f t="shared" ca="1" si="2"/>
        <v>0</v>
      </c>
      <c r="E82" s="24">
        <f t="shared" ca="1" si="3"/>
        <v>0</v>
      </c>
    </row>
    <row r="83" spans="1:5" x14ac:dyDescent="0.25">
      <c r="A83" s="17">
        <f ca="1">INDEX(Stations,INT((ROWS(A$2:A83)-1)/(DATE(YEAR(Invoer!$A$5),12,31)-DATE(YEAR(Invoer!$A$5),1,1)+1))+2,1)</f>
        <v>81</v>
      </c>
      <c r="B83" t="str">
        <f ca="1">TEXT(DATE(YEAR(Invoer!$A$5),1,1)+MOD(ROWS(B$2:B83)-1,DATE(YEAR(Invoer!$A$5),12,31)-DATE(YEAR(Invoer!$A$5),1,1)+1),"jjjjmmdd")</f>
        <v>19400322</v>
      </c>
      <c r="C83" s="18">
        <v>1</v>
      </c>
      <c r="D83" s="23">
        <f t="shared" ca="1" si="2"/>
        <v>0</v>
      </c>
      <c r="E83" s="24">
        <f t="shared" ca="1" si="3"/>
        <v>0</v>
      </c>
    </row>
    <row r="84" spans="1:5" x14ac:dyDescent="0.25">
      <c r="A84" s="17">
        <f ca="1">INDEX(Stations,INT((ROWS(A$2:A84)-1)/(DATE(YEAR(Invoer!$A$5),12,31)-DATE(YEAR(Invoer!$A$5),1,1)+1))+2,1)</f>
        <v>81</v>
      </c>
      <c r="B84" t="str">
        <f ca="1">TEXT(DATE(YEAR(Invoer!$A$5),1,1)+MOD(ROWS(B$2:B84)-1,DATE(YEAR(Invoer!$A$5),12,31)-DATE(YEAR(Invoer!$A$5),1,1)+1),"jjjjmmdd")</f>
        <v>19400323</v>
      </c>
      <c r="C84" s="18">
        <v>1</v>
      </c>
      <c r="D84" s="23">
        <f t="shared" ca="1" si="2"/>
        <v>0</v>
      </c>
      <c r="E84" s="24">
        <f t="shared" ca="1" si="3"/>
        <v>0</v>
      </c>
    </row>
    <row r="85" spans="1:5" x14ac:dyDescent="0.25">
      <c r="A85" s="17">
        <f ca="1">INDEX(Stations,INT((ROWS(A$2:A85)-1)/(DATE(YEAR(Invoer!$A$5),12,31)-DATE(YEAR(Invoer!$A$5),1,1)+1))+2,1)</f>
        <v>81</v>
      </c>
      <c r="B85" t="str">
        <f ca="1">TEXT(DATE(YEAR(Invoer!$A$5),1,1)+MOD(ROWS(B$2:B85)-1,DATE(YEAR(Invoer!$A$5),12,31)-DATE(YEAR(Invoer!$A$5),1,1)+1),"jjjjmmdd")</f>
        <v>19400324</v>
      </c>
      <c r="C85" s="18">
        <v>1</v>
      </c>
      <c r="D85" s="23">
        <f t="shared" ca="1" si="2"/>
        <v>32</v>
      </c>
      <c r="E85" s="24">
        <f t="shared" ca="1" si="3"/>
        <v>0</v>
      </c>
    </row>
    <row r="86" spans="1:5" x14ac:dyDescent="0.25">
      <c r="A86" s="17">
        <f ca="1">INDEX(Stations,INT((ROWS(A$2:A86)-1)/(DATE(YEAR(Invoer!$A$5),12,31)-DATE(YEAR(Invoer!$A$5),1,1)+1))+2,1)</f>
        <v>81</v>
      </c>
      <c r="B86" t="str">
        <f ca="1">TEXT(DATE(YEAR(Invoer!$A$5),1,1)+MOD(ROWS(B$2:B86)-1,DATE(YEAR(Invoer!$A$5),12,31)-DATE(YEAR(Invoer!$A$5),1,1)+1),"jjjjmmdd")</f>
        <v>19400325</v>
      </c>
      <c r="C86" s="18">
        <v>1</v>
      </c>
      <c r="D86" s="23">
        <f t="shared" ca="1" si="2"/>
        <v>0</v>
      </c>
      <c r="E86" s="24">
        <f t="shared" ca="1" si="3"/>
        <v>0</v>
      </c>
    </row>
    <row r="87" spans="1:5" x14ac:dyDescent="0.25">
      <c r="A87" s="17">
        <f ca="1">INDEX(Stations,INT((ROWS(A$2:A87)-1)/(DATE(YEAR(Invoer!$A$5),12,31)-DATE(YEAR(Invoer!$A$5),1,1)+1))+2,1)</f>
        <v>81</v>
      </c>
      <c r="B87" t="str">
        <f ca="1">TEXT(DATE(YEAR(Invoer!$A$5),1,1)+MOD(ROWS(B$2:B87)-1,DATE(YEAR(Invoer!$A$5),12,31)-DATE(YEAR(Invoer!$A$5),1,1)+1),"jjjjmmdd")</f>
        <v>19400326</v>
      </c>
      <c r="C87" s="18">
        <v>1</v>
      </c>
      <c r="D87" s="23">
        <f t="shared" ca="1" si="2"/>
        <v>70</v>
      </c>
      <c r="E87" s="24">
        <f t="shared" ca="1" si="3"/>
        <v>0</v>
      </c>
    </row>
    <row r="88" spans="1:5" x14ac:dyDescent="0.25">
      <c r="A88" s="17">
        <f ca="1">INDEX(Stations,INT((ROWS(A$2:A88)-1)/(DATE(YEAR(Invoer!$A$5),12,31)-DATE(YEAR(Invoer!$A$5),1,1)+1))+2,1)</f>
        <v>81</v>
      </c>
      <c r="B88" t="str">
        <f ca="1">TEXT(DATE(YEAR(Invoer!$A$5),1,1)+MOD(ROWS(B$2:B88)-1,DATE(YEAR(Invoer!$A$5),12,31)-DATE(YEAR(Invoer!$A$5),1,1)+1),"jjjjmmdd")</f>
        <v>19400327</v>
      </c>
      <c r="C88" s="18">
        <v>1</v>
      </c>
      <c r="D88" s="23">
        <f t="shared" ca="1" si="2"/>
        <v>9</v>
      </c>
      <c r="E88" s="24">
        <f t="shared" ca="1" si="3"/>
        <v>0</v>
      </c>
    </row>
    <row r="89" spans="1:5" x14ac:dyDescent="0.25">
      <c r="A89" s="17">
        <f ca="1">INDEX(Stations,INT((ROWS(A$2:A89)-1)/(DATE(YEAR(Invoer!$A$5),12,31)-DATE(YEAR(Invoer!$A$5),1,1)+1))+2,1)</f>
        <v>81</v>
      </c>
      <c r="B89" t="str">
        <f ca="1">TEXT(DATE(YEAR(Invoer!$A$5),1,1)+MOD(ROWS(B$2:B89)-1,DATE(YEAR(Invoer!$A$5),12,31)-DATE(YEAR(Invoer!$A$5),1,1)+1),"jjjjmmdd")</f>
        <v>19400328</v>
      </c>
      <c r="C89" s="18">
        <v>1</v>
      </c>
      <c r="D89" s="23">
        <f t="shared" ca="1" si="2"/>
        <v>0</v>
      </c>
      <c r="E89" s="24">
        <f t="shared" ca="1" si="3"/>
        <v>0</v>
      </c>
    </row>
    <row r="90" spans="1:5" x14ac:dyDescent="0.25">
      <c r="A90" s="17">
        <f ca="1">INDEX(Stations,INT((ROWS(A$2:A90)-1)/(DATE(YEAR(Invoer!$A$5),12,31)-DATE(YEAR(Invoer!$A$5),1,1)+1))+2,1)</f>
        <v>81</v>
      </c>
      <c r="B90" t="str">
        <f ca="1">TEXT(DATE(YEAR(Invoer!$A$5),1,1)+MOD(ROWS(B$2:B90)-1,DATE(YEAR(Invoer!$A$5),12,31)-DATE(YEAR(Invoer!$A$5),1,1)+1),"jjjjmmdd")</f>
        <v>19400329</v>
      </c>
      <c r="C90" s="18">
        <v>1</v>
      </c>
      <c r="D90" s="23">
        <f t="shared" ca="1" si="2"/>
        <v>0</v>
      </c>
      <c r="E90" s="24">
        <f t="shared" ca="1" si="3"/>
        <v>0</v>
      </c>
    </row>
    <row r="91" spans="1:5" x14ac:dyDescent="0.25">
      <c r="A91" s="17">
        <f ca="1">INDEX(Stations,INT((ROWS(A$2:A91)-1)/(DATE(YEAR(Invoer!$A$5),12,31)-DATE(YEAR(Invoer!$A$5),1,1)+1))+2,1)</f>
        <v>81</v>
      </c>
      <c r="B91" t="str">
        <f ca="1">TEXT(DATE(YEAR(Invoer!$A$5),1,1)+MOD(ROWS(B$2:B91)-1,DATE(YEAR(Invoer!$A$5),12,31)-DATE(YEAR(Invoer!$A$5),1,1)+1),"jjjjmmdd")</f>
        <v>19400330</v>
      </c>
      <c r="C91" s="18">
        <v>1</v>
      </c>
      <c r="D91" s="23">
        <f t="shared" ca="1" si="2"/>
        <v>26</v>
      </c>
      <c r="E91" s="24">
        <f t="shared" ca="1" si="3"/>
        <v>0</v>
      </c>
    </row>
    <row r="92" spans="1:5" x14ac:dyDescent="0.25">
      <c r="A92" s="17">
        <f ca="1">INDEX(Stations,INT((ROWS(A$2:A92)-1)/(DATE(YEAR(Invoer!$A$5),12,31)-DATE(YEAR(Invoer!$A$5),1,1)+1))+2,1)</f>
        <v>81</v>
      </c>
      <c r="B92" t="str">
        <f ca="1">TEXT(DATE(YEAR(Invoer!$A$5),1,1)+MOD(ROWS(B$2:B92)-1,DATE(YEAR(Invoer!$A$5),12,31)-DATE(YEAR(Invoer!$A$5),1,1)+1),"jjjjmmdd")</f>
        <v>19400331</v>
      </c>
      <c r="C92" s="18">
        <v>1</v>
      </c>
      <c r="D92" s="23">
        <f t="shared" ca="1" si="2"/>
        <v>0</v>
      </c>
      <c r="E92" s="24">
        <f t="shared" ca="1" si="3"/>
        <v>0</v>
      </c>
    </row>
    <row r="93" spans="1:5" x14ac:dyDescent="0.25">
      <c r="A93" s="17">
        <f ca="1">INDEX(Stations,INT((ROWS(A$2:A93)-1)/(DATE(YEAR(Invoer!$A$5),12,31)-DATE(YEAR(Invoer!$A$5),1,1)+1))+2,1)</f>
        <v>81</v>
      </c>
      <c r="B93" t="str">
        <f ca="1">TEXT(DATE(YEAR(Invoer!$A$5),1,1)+MOD(ROWS(B$2:B93)-1,DATE(YEAR(Invoer!$A$5),12,31)-DATE(YEAR(Invoer!$A$5),1,1)+1),"jjjjmmdd")</f>
        <v>19400401</v>
      </c>
      <c r="C93" s="18">
        <v>1</v>
      </c>
      <c r="D93" s="23">
        <f t="shared" ca="1" si="2"/>
        <v>0</v>
      </c>
      <c r="E93" s="24">
        <f t="shared" ca="1" si="3"/>
        <v>0</v>
      </c>
    </row>
    <row r="94" spans="1:5" x14ac:dyDescent="0.25">
      <c r="A94" s="17">
        <f ca="1">INDEX(Stations,INT((ROWS(A$2:A94)-1)/(DATE(YEAR(Invoer!$A$5),12,31)-DATE(YEAR(Invoer!$A$5),1,1)+1))+2,1)</f>
        <v>81</v>
      </c>
      <c r="B94" t="str">
        <f ca="1">TEXT(DATE(YEAR(Invoer!$A$5),1,1)+MOD(ROWS(B$2:B94)-1,DATE(YEAR(Invoer!$A$5),12,31)-DATE(YEAR(Invoer!$A$5),1,1)+1),"jjjjmmdd")</f>
        <v>19400402</v>
      </c>
      <c r="C94" s="18">
        <v>1</v>
      </c>
      <c r="D94" s="23">
        <f t="shared" ca="1" si="2"/>
        <v>0</v>
      </c>
      <c r="E94" s="24">
        <f t="shared" ca="1" si="3"/>
        <v>0</v>
      </c>
    </row>
    <row r="95" spans="1:5" x14ac:dyDescent="0.25">
      <c r="A95" s="17">
        <f ca="1">INDEX(Stations,INT((ROWS(A$2:A95)-1)/(DATE(YEAR(Invoer!$A$5),12,31)-DATE(YEAR(Invoer!$A$5),1,1)+1))+2,1)</f>
        <v>81</v>
      </c>
      <c r="B95" t="str">
        <f ca="1">TEXT(DATE(YEAR(Invoer!$A$5),1,1)+MOD(ROWS(B$2:B95)-1,DATE(YEAR(Invoer!$A$5),12,31)-DATE(YEAR(Invoer!$A$5),1,1)+1),"jjjjmmdd")</f>
        <v>19400403</v>
      </c>
      <c r="C95" s="18">
        <v>1</v>
      </c>
      <c r="D95" s="23">
        <f t="shared" ca="1" si="2"/>
        <v>0</v>
      </c>
      <c r="E95" s="24">
        <f t="shared" ca="1" si="3"/>
        <v>0</v>
      </c>
    </row>
    <row r="96" spans="1:5" x14ac:dyDescent="0.25">
      <c r="A96" s="17">
        <f ca="1">INDEX(Stations,INT((ROWS(A$2:A96)-1)/(DATE(YEAR(Invoer!$A$5),12,31)-DATE(YEAR(Invoer!$A$5),1,1)+1))+2,1)</f>
        <v>81</v>
      </c>
      <c r="B96" t="str">
        <f ca="1">TEXT(DATE(YEAR(Invoer!$A$5),1,1)+MOD(ROWS(B$2:B96)-1,DATE(YEAR(Invoer!$A$5),12,31)-DATE(YEAR(Invoer!$A$5),1,1)+1),"jjjjmmdd")</f>
        <v>19400404</v>
      </c>
      <c r="C96" s="18">
        <v>1</v>
      </c>
      <c r="D96" s="23">
        <f t="shared" ca="1" si="2"/>
        <v>0</v>
      </c>
      <c r="E96" s="24">
        <f t="shared" ca="1" si="3"/>
        <v>0</v>
      </c>
    </row>
    <row r="97" spans="1:5" x14ac:dyDescent="0.25">
      <c r="A97" s="17">
        <f ca="1">INDEX(Stations,INT((ROWS(A$2:A97)-1)/(DATE(YEAR(Invoer!$A$5),12,31)-DATE(YEAR(Invoer!$A$5),1,1)+1))+2,1)</f>
        <v>81</v>
      </c>
      <c r="B97" t="str">
        <f ca="1">TEXT(DATE(YEAR(Invoer!$A$5),1,1)+MOD(ROWS(B$2:B97)-1,DATE(YEAR(Invoer!$A$5),12,31)-DATE(YEAR(Invoer!$A$5),1,1)+1),"jjjjmmdd")</f>
        <v>19400405</v>
      </c>
      <c r="C97" s="18">
        <v>1</v>
      </c>
      <c r="D97" s="23">
        <f t="shared" ca="1" si="2"/>
        <v>0</v>
      </c>
      <c r="E97" s="24">
        <f t="shared" ca="1" si="3"/>
        <v>0</v>
      </c>
    </row>
    <row r="98" spans="1:5" x14ac:dyDescent="0.25">
      <c r="A98" s="17">
        <f ca="1">INDEX(Stations,INT((ROWS(A$2:A98)-1)/(DATE(YEAR(Invoer!$A$5),12,31)-DATE(YEAR(Invoer!$A$5),1,1)+1))+2,1)</f>
        <v>81</v>
      </c>
      <c r="B98" t="str">
        <f ca="1">TEXT(DATE(YEAR(Invoer!$A$5),1,1)+MOD(ROWS(B$2:B98)-1,DATE(YEAR(Invoer!$A$5),12,31)-DATE(YEAR(Invoer!$A$5),1,1)+1),"jjjjmmdd")</f>
        <v>19400406</v>
      </c>
      <c r="C98" s="18">
        <v>1</v>
      </c>
      <c r="D98" s="23">
        <f t="shared" ca="1" si="2"/>
        <v>0</v>
      </c>
      <c r="E98" s="24">
        <f t="shared" ca="1" si="3"/>
        <v>0</v>
      </c>
    </row>
    <row r="99" spans="1:5" x14ac:dyDescent="0.25">
      <c r="A99" s="17">
        <f ca="1">INDEX(Stations,INT((ROWS(A$2:A99)-1)/(DATE(YEAR(Invoer!$A$5),12,31)-DATE(YEAR(Invoer!$A$5),1,1)+1))+2,1)</f>
        <v>81</v>
      </c>
      <c r="B99" t="str">
        <f ca="1">TEXT(DATE(YEAR(Invoer!$A$5),1,1)+MOD(ROWS(B$2:B99)-1,DATE(YEAR(Invoer!$A$5),12,31)-DATE(YEAR(Invoer!$A$5),1,1)+1),"jjjjmmdd")</f>
        <v>19400407</v>
      </c>
      <c r="C99" s="18">
        <v>1</v>
      </c>
      <c r="D99" s="23">
        <f t="shared" ca="1" si="2"/>
        <v>15</v>
      </c>
      <c r="E99" s="24">
        <f t="shared" ca="1" si="3"/>
        <v>0</v>
      </c>
    </row>
    <row r="100" spans="1:5" x14ac:dyDescent="0.25">
      <c r="A100" s="17">
        <f ca="1">INDEX(Stations,INT((ROWS(A$2:A100)-1)/(DATE(YEAR(Invoer!$A$5),12,31)-DATE(YEAR(Invoer!$A$5),1,1)+1))+2,1)</f>
        <v>81</v>
      </c>
      <c r="B100" t="str">
        <f ca="1">TEXT(DATE(YEAR(Invoer!$A$5),1,1)+MOD(ROWS(B$2:B100)-1,DATE(YEAR(Invoer!$A$5),12,31)-DATE(YEAR(Invoer!$A$5),1,1)+1),"jjjjmmdd")</f>
        <v>19400408</v>
      </c>
      <c r="C100" s="18">
        <v>1</v>
      </c>
      <c r="D100" s="23">
        <f t="shared" ca="1" si="2"/>
        <v>14</v>
      </c>
      <c r="E100" s="24">
        <f t="shared" ca="1" si="3"/>
        <v>0</v>
      </c>
    </row>
    <row r="101" spans="1:5" x14ac:dyDescent="0.25">
      <c r="A101" s="17">
        <f ca="1">INDEX(Stations,INT((ROWS(A$2:A101)-1)/(DATE(YEAR(Invoer!$A$5),12,31)-DATE(YEAR(Invoer!$A$5),1,1)+1))+2,1)</f>
        <v>81</v>
      </c>
      <c r="B101" t="str">
        <f ca="1">TEXT(DATE(YEAR(Invoer!$A$5),1,1)+MOD(ROWS(B$2:B101)-1,DATE(YEAR(Invoer!$A$5),12,31)-DATE(YEAR(Invoer!$A$5),1,1)+1),"jjjjmmdd")</f>
        <v>19400409</v>
      </c>
      <c r="C101" s="18">
        <v>1</v>
      </c>
      <c r="D101" s="23">
        <f t="shared" ca="1" si="2"/>
        <v>0</v>
      </c>
      <c r="E101" s="24">
        <f t="shared" ca="1" si="3"/>
        <v>0</v>
      </c>
    </row>
    <row r="102" spans="1:5" x14ac:dyDescent="0.25">
      <c r="A102" s="17">
        <f ca="1">INDEX(Stations,INT((ROWS(A$2:A102)-1)/(DATE(YEAR(Invoer!$A$5),12,31)-DATE(YEAR(Invoer!$A$5),1,1)+1))+2,1)</f>
        <v>81</v>
      </c>
      <c r="B102" t="str">
        <f ca="1">TEXT(DATE(YEAR(Invoer!$A$5),1,1)+MOD(ROWS(B$2:B102)-1,DATE(YEAR(Invoer!$A$5),12,31)-DATE(YEAR(Invoer!$A$5),1,1)+1),"jjjjmmdd")</f>
        <v>19400410</v>
      </c>
      <c r="C102" s="18">
        <v>1</v>
      </c>
      <c r="D102" s="23">
        <f t="shared" ca="1" si="2"/>
        <v>20</v>
      </c>
      <c r="E102" s="24">
        <f t="shared" ca="1" si="3"/>
        <v>0</v>
      </c>
    </row>
    <row r="103" spans="1:5" x14ac:dyDescent="0.25">
      <c r="A103" s="17">
        <f ca="1">INDEX(Stations,INT((ROWS(A$2:A103)-1)/(DATE(YEAR(Invoer!$A$5),12,31)-DATE(YEAR(Invoer!$A$5),1,1)+1))+2,1)</f>
        <v>81</v>
      </c>
      <c r="B103" t="str">
        <f ca="1">TEXT(DATE(YEAR(Invoer!$A$5),1,1)+MOD(ROWS(B$2:B103)-1,DATE(YEAR(Invoer!$A$5),12,31)-DATE(YEAR(Invoer!$A$5),1,1)+1),"jjjjmmdd")</f>
        <v>19400411</v>
      </c>
      <c r="C103" s="18">
        <v>1</v>
      </c>
      <c r="D103" s="23">
        <f t="shared" ca="1" si="2"/>
        <v>8</v>
      </c>
      <c r="E103" s="24">
        <f t="shared" ca="1" si="3"/>
        <v>0</v>
      </c>
    </row>
    <row r="104" spans="1:5" x14ac:dyDescent="0.25">
      <c r="A104" s="17">
        <f ca="1">INDEX(Stations,INT((ROWS(A$2:A104)-1)/(DATE(YEAR(Invoer!$A$5),12,31)-DATE(YEAR(Invoer!$A$5),1,1)+1))+2,1)</f>
        <v>81</v>
      </c>
      <c r="B104" t="str">
        <f ca="1">TEXT(DATE(YEAR(Invoer!$A$5),1,1)+MOD(ROWS(B$2:B104)-1,DATE(YEAR(Invoer!$A$5),12,31)-DATE(YEAR(Invoer!$A$5),1,1)+1),"jjjjmmdd")</f>
        <v>19400412</v>
      </c>
      <c r="C104" s="18">
        <v>1</v>
      </c>
      <c r="D104" s="23">
        <f t="shared" ca="1" si="2"/>
        <v>0</v>
      </c>
      <c r="E104" s="24">
        <f t="shared" ca="1" si="3"/>
        <v>0</v>
      </c>
    </row>
    <row r="105" spans="1:5" x14ac:dyDescent="0.25">
      <c r="A105" s="17">
        <f ca="1">INDEX(Stations,INT((ROWS(A$2:A105)-1)/(DATE(YEAR(Invoer!$A$5),12,31)-DATE(YEAR(Invoer!$A$5),1,1)+1))+2,1)</f>
        <v>81</v>
      </c>
      <c r="B105" t="str">
        <f ca="1">TEXT(DATE(YEAR(Invoer!$A$5),1,1)+MOD(ROWS(B$2:B105)-1,DATE(YEAR(Invoer!$A$5),12,31)-DATE(YEAR(Invoer!$A$5),1,1)+1),"jjjjmmdd")</f>
        <v>19400413</v>
      </c>
      <c r="C105" s="18">
        <v>1</v>
      </c>
      <c r="D105" s="23">
        <f t="shared" ca="1" si="2"/>
        <v>0</v>
      </c>
      <c r="E105" s="24">
        <f t="shared" ca="1" si="3"/>
        <v>0</v>
      </c>
    </row>
    <row r="106" spans="1:5" x14ac:dyDescent="0.25">
      <c r="A106" s="17">
        <f ca="1">INDEX(Stations,INT((ROWS(A$2:A106)-1)/(DATE(YEAR(Invoer!$A$5),12,31)-DATE(YEAR(Invoer!$A$5),1,1)+1))+2,1)</f>
        <v>81</v>
      </c>
      <c r="B106" t="str">
        <f ca="1">TEXT(DATE(YEAR(Invoer!$A$5),1,1)+MOD(ROWS(B$2:B106)-1,DATE(YEAR(Invoer!$A$5),12,31)-DATE(YEAR(Invoer!$A$5),1,1)+1),"jjjjmmdd")</f>
        <v>19400414</v>
      </c>
      <c r="C106" s="18">
        <v>1</v>
      </c>
      <c r="D106" s="23">
        <f t="shared" ca="1" si="2"/>
        <v>0</v>
      </c>
      <c r="E106" s="24">
        <f t="shared" ca="1" si="3"/>
        <v>0</v>
      </c>
    </row>
    <row r="107" spans="1:5" x14ac:dyDescent="0.25">
      <c r="A107" s="17">
        <f ca="1">INDEX(Stations,INT((ROWS(A$2:A107)-1)/(DATE(YEAR(Invoer!$A$5),12,31)-DATE(YEAR(Invoer!$A$5),1,1)+1))+2,1)</f>
        <v>81</v>
      </c>
      <c r="B107" t="str">
        <f ca="1">TEXT(DATE(YEAR(Invoer!$A$5),1,1)+MOD(ROWS(B$2:B107)-1,DATE(YEAR(Invoer!$A$5),12,31)-DATE(YEAR(Invoer!$A$5),1,1)+1),"jjjjmmdd")</f>
        <v>19400415</v>
      </c>
      <c r="C107" s="18">
        <v>1</v>
      </c>
      <c r="D107" s="23">
        <f t="shared" ca="1" si="2"/>
        <v>0</v>
      </c>
      <c r="E107" s="24">
        <f t="shared" ca="1" si="3"/>
        <v>0</v>
      </c>
    </row>
    <row r="108" spans="1:5" x14ac:dyDescent="0.25">
      <c r="A108" s="17">
        <f ca="1">INDEX(Stations,INT((ROWS(A$2:A108)-1)/(DATE(YEAR(Invoer!$A$5),12,31)-DATE(YEAR(Invoer!$A$5),1,1)+1))+2,1)</f>
        <v>81</v>
      </c>
      <c r="B108" t="str">
        <f ca="1">TEXT(DATE(YEAR(Invoer!$A$5),1,1)+MOD(ROWS(B$2:B108)-1,DATE(YEAR(Invoer!$A$5),12,31)-DATE(YEAR(Invoer!$A$5),1,1)+1),"jjjjmmdd")</f>
        <v>19400416</v>
      </c>
      <c r="C108" s="18">
        <v>1</v>
      </c>
      <c r="D108" s="23">
        <f t="shared" ca="1" si="2"/>
        <v>88</v>
      </c>
      <c r="E108" s="24">
        <f t="shared" ca="1" si="3"/>
        <v>0</v>
      </c>
    </row>
    <row r="109" spans="1:5" x14ac:dyDescent="0.25">
      <c r="A109" s="17">
        <f ca="1">INDEX(Stations,INT((ROWS(A$2:A109)-1)/(DATE(YEAR(Invoer!$A$5),12,31)-DATE(YEAR(Invoer!$A$5),1,1)+1))+2,1)</f>
        <v>81</v>
      </c>
      <c r="B109" t="str">
        <f ca="1">TEXT(DATE(YEAR(Invoer!$A$5),1,1)+MOD(ROWS(B$2:B109)-1,DATE(YEAR(Invoer!$A$5),12,31)-DATE(YEAR(Invoer!$A$5),1,1)+1),"jjjjmmdd")</f>
        <v>19400417</v>
      </c>
      <c r="C109" s="18">
        <v>1</v>
      </c>
      <c r="D109" s="23">
        <f t="shared" ca="1" si="2"/>
        <v>3</v>
      </c>
      <c r="E109" s="24">
        <f t="shared" ca="1" si="3"/>
        <v>0</v>
      </c>
    </row>
    <row r="110" spans="1:5" x14ac:dyDescent="0.25">
      <c r="A110" s="17">
        <f ca="1">INDEX(Stations,INT((ROWS(A$2:A110)-1)/(DATE(YEAR(Invoer!$A$5),12,31)-DATE(YEAR(Invoer!$A$5),1,1)+1))+2,1)</f>
        <v>81</v>
      </c>
      <c r="B110" t="str">
        <f ca="1">TEXT(DATE(YEAR(Invoer!$A$5),1,1)+MOD(ROWS(B$2:B110)-1,DATE(YEAR(Invoer!$A$5),12,31)-DATE(YEAR(Invoer!$A$5),1,1)+1),"jjjjmmdd")</f>
        <v>19400418</v>
      </c>
      <c r="C110" s="18">
        <v>1</v>
      </c>
      <c r="D110" s="23">
        <f t="shared" ca="1" si="2"/>
        <v>71</v>
      </c>
      <c r="E110" s="24">
        <f t="shared" ca="1" si="3"/>
        <v>0</v>
      </c>
    </row>
    <row r="111" spans="1:5" x14ac:dyDescent="0.25">
      <c r="A111" s="17">
        <f ca="1">INDEX(Stations,INT((ROWS(A$2:A111)-1)/(DATE(YEAR(Invoer!$A$5),12,31)-DATE(YEAR(Invoer!$A$5),1,1)+1))+2,1)</f>
        <v>81</v>
      </c>
      <c r="B111" t="str">
        <f ca="1">TEXT(DATE(YEAR(Invoer!$A$5),1,1)+MOD(ROWS(B$2:B111)-1,DATE(YEAR(Invoer!$A$5),12,31)-DATE(YEAR(Invoer!$A$5),1,1)+1),"jjjjmmdd")</f>
        <v>19400419</v>
      </c>
      <c r="C111" s="18">
        <v>1</v>
      </c>
      <c r="D111" s="23">
        <f t="shared" ca="1" si="2"/>
        <v>0</v>
      </c>
      <c r="E111" s="24">
        <f t="shared" ca="1" si="3"/>
        <v>0</v>
      </c>
    </row>
    <row r="112" spans="1:5" x14ac:dyDescent="0.25">
      <c r="A112" s="17">
        <f ca="1">INDEX(Stations,INT((ROWS(A$2:A112)-1)/(DATE(YEAR(Invoer!$A$5),12,31)-DATE(YEAR(Invoer!$A$5),1,1)+1))+2,1)</f>
        <v>81</v>
      </c>
      <c r="B112" t="str">
        <f ca="1">TEXT(DATE(YEAR(Invoer!$A$5),1,1)+MOD(ROWS(B$2:B112)-1,DATE(YEAR(Invoer!$A$5),12,31)-DATE(YEAR(Invoer!$A$5),1,1)+1),"jjjjmmdd")</f>
        <v>19400420</v>
      </c>
      <c r="C112" s="18">
        <v>1</v>
      </c>
      <c r="D112" s="23">
        <f t="shared" ca="1" si="2"/>
        <v>0</v>
      </c>
      <c r="E112" s="24">
        <f t="shared" ca="1" si="3"/>
        <v>0</v>
      </c>
    </row>
    <row r="113" spans="1:5" x14ac:dyDescent="0.25">
      <c r="A113" s="17">
        <f ca="1">INDEX(Stations,INT((ROWS(A$2:A113)-1)/(DATE(YEAR(Invoer!$A$5),12,31)-DATE(YEAR(Invoer!$A$5),1,1)+1))+2,1)</f>
        <v>81</v>
      </c>
      <c r="B113" t="str">
        <f ca="1">TEXT(DATE(YEAR(Invoer!$A$5),1,1)+MOD(ROWS(B$2:B113)-1,DATE(YEAR(Invoer!$A$5),12,31)-DATE(YEAR(Invoer!$A$5),1,1)+1),"jjjjmmdd")</f>
        <v>19400421</v>
      </c>
      <c r="C113" s="18">
        <v>1</v>
      </c>
      <c r="D113" s="23">
        <f t="shared" ca="1" si="2"/>
        <v>0</v>
      </c>
      <c r="E113" s="24">
        <f t="shared" ca="1" si="3"/>
        <v>0</v>
      </c>
    </row>
    <row r="114" spans="1:5" x14ac:dyDescent="0.25">
      <c r="A114" s="17">
        <f ca="1">INDEX(Stations,INT((ROWS(A$2:A114)-1)/(DATE(YEAR(Invoer!$A$5),12,31)-DATE(YEAR(Invoer!$A$5),1,1)+1))+2,1)</f>
        <v>81</v>
      </c>
      <c r="B114" t="str">
        <f ca="1">TEXT(DATE(YEAR(Invoer!$A$5),1,1)+MOD(ROWS(B$2:B114)-1,DATE(YEAR(Invoer!$A$5),12,31)-DATE(YEAR(Invoer!$A$5),1,1)+1),"jjjjmmdd")</f>
        <v>19400422</v>
      </c>
      <c r="C114" s="18">
        <v>1</v>
      </c>
      <c r="D114" s="23">
        <f t="shared" ca="1" si="2"/>
        <v>55</v>
      </c>
      <c r="E114" s="24">
        <f t="shared" ca="1" si="3"/>
        <v>0</v>
      </c>
    </row>
    <row r="115" spans="1:5" x14ac:dyDescent="0.25">
      <c r="A115" s="17">
        <f ca="1">INDEX(Stations,INT((ROWS(A$2:A115)-1)/(DATE(YEAR(Invoer!$A$5),12,31)-DATE(YEAR(Invoer!$A$5),1,1)+1))+2,1)</f>
        <v>81</v>
      </c>
      <c r="B115" t="str">
        <f ca="1">TEXT(DATE(YEAR(Invoer!$A$5),1,1)+MOD(ROWS(B$2:B115)-1,DATE(YEAR(Invoer!$A$5),12,31)-DATE(YEAR(Invoer!$A$5),1,1)+1),"jjjjmmdd")</f>
        <v>19400423</v>
      </c>
      <c r="C115" s="18">
        <v>1</v>
      </c>
      <c r="D115" s="23">
        <f t="shared" ca="1" si="2"/>
        <v>0</v>
      </c>
      <c r="E115" s="24">
        <f t="shared" ca="1" si="3"/>
        <v>0</v>
      </c>
    </row>
    <row r="116" spans="1:5" x14ac:dyDescent="0.25">
      <c r="A116" s="17">
        <f ca="1">INDEX(Stations,INT((ROWS(A$2:A116)-1)/(DATE(YEAR(Invoer!$A$5),12,31)-DATE(YEAR(Invoer!$A$5),1,1)+1))+2,1)</f>
        <v>81</v>
      </c>
      <c r="B116" t="str">
        <f ca="1">TEXT(DATE(YEAR(Invoer!$A$5),1,1)+MOD(ROWS(B$2:B116)-1,DATE(YEAR(Invoer!$A$5),12,31)-DATE(YEAR(Invoer!$A$5),1,1)+1),"jjjjmmdd")</f>
        <v>19400424</v>
      </c>
      <c r="C116" s="18">
        <v>1</v>
      </c>
      <c r="D116" s="23">
        <f t="shared" ca="1" si="2"/>
        <v>0</v>
      </c>
      <c r="E116" s="24">
        <f t="shared" ca="1" si="3"/>
        <v>0</v>
      </c>
    </row>
    <row r="117" spans="1:5" x14ac:dyDescent="0.25">
      <c r="A117" s="17">
        <f ca="1">INDEX(Stations,INT((ROWS(A$2:A117)-1)/(DATE(YEAR(Invoer!$A$5),12,31)-DATE(YEAR(Invoer!$A$5),1,1)+1))+2,1)</f>
        <v>81</v>
      </c>
      <c r="B117" t="str">
        <f ca="1">TEXT(DATE(YEAR(Invoer!$A$5),1,1)+MOD(ROWS(B$2:B117)-1,DATE(YEAR(Invoer!$A$5),12,31)-DATE(YEAR(Invoer!$A$5),1,1)+1),"jjjjmmdd")</f>
        <v>19400425</v>
      </c>
      <c r="C117" s="18">
        <v>1</v>
      </c>
      <c r="D117" s="23">
        <f t="shared" ca="1" si="2"/>
        <v>0</v>
      </c>
      <c r="E117" s="24">
        <f t="shared" ca="1" si="3"/>
        <v>0</v>
      </c>
    </row>
    <row r="118" spans="1:5" x14ac:dyDescent="0.25">
      <c r="A118" s="17">
        <f ca="1">INDEX(Stations,INT((ROWS(A$2:A118)-1)/(DATE(YEAR(Invoer!$A$5),12,31)-DATE(YEAR(Invoer!$A$5),1,1)+1))+2,1)</f>
        <v>81</v>
      </c>
      <c r="B118" t="str">
        <f ca="1">TEXT(DATE(YEAR(Invoer!$A$5),1,1)+MOD(ROWS(B$2:B118)-1,DATE(YEAR(Invoer!$A$5),12,31)-DATE(YEAR(Invoer!$A$5),1,1)+1),"jjjjmmdd")</f>
        <v>19400426</v>
      </c>
      <c r="C118" s="18">
        <v>1</v>
      </c>
      <c r="D118" s="23">
        <f t="shared" ca="1" si="2"/>
        <v>0</v>
      </c>
      <c r="E118" s="24">
        <f t="shared" ca="1" si="3"/>
        <v>0</v>
      </c>
    </row>
    <row r="119" spans="1:5" x14ac:dyDescent="0.25">
      <c r="A119" s="17">
        <f ca="1">INDEX(Stations,INT((ROWS(A$2:A119)-1)/(DATE(YEAR(Invoer!$A$5),12,31)-DATE(YEAR(Invoer!$A$5),1,1)+1))+2,1)</f>
        <v>81</v>
      </c>
      <c r="B119" t="str">
        <f ca="1">TEXT(DATE(YEAR(Invoer!$A$5),1,1)+MOD(ROWS(B$2:B119)-1,DATE(YEAR(Invoer!$A$5),12,31)-DATE(YEAR(Invoer!$A$5),1,1)+1),"jjjjmmdd")</f>
        <v>19400427</v>
      </c>
      <c r="C119" s="18">
        <v>1</v>
      </c>
      <c r="D119" s="23">
        <f t="shared" ca="1" si="2"/>
        <v>0</v>
      </c>
      <c r="E119" s="24">
        <f t="shared" ca="1" si="3"/>
        <v>0</v>
      </c>
    </row>
    <row r="120" spans="1:5" x14ac:dyDescent="0.25">
      <c r="A120" s="17">
        <f ca="1">INDEX(Stations,INT((ROWS(A$2:A120)-1)/(DATE(YEAR(Invoer!$A$5),12,31)-DATE(YEAR(Invoer!$A$5),1,1)+1))+2,1)</f>
        <v>81</v>
      </c>
      <c r="B120" t="str">
        <f ca="1">TEXT(DATE(YEAR(Invoer!$A$5),1,1)+MOD(ROWS(B$2:B120)-1,DATE(YEAR(Invoer!$A$5),12,31)-DATE(YEAR(Invoer!$A$5),1,1)+1),"jjjjmmdd")</f>
        <v>19400428</v>
      </c>
      <c r="C120" s="18">
        <v>1</v>
      </c>
      <c r="D120" s="23">
        <f t="shared" ca="1" si="2"/>
        <v>0</v>
      </c>
      <c r="E120" s="24">
        <f t="shared" ca="1" si="3"/>
        <v>0</v>
      </c>
    </row>
    <row r="121" spans="1:5" x14ac:dyDescent="0.25">
      <c r="A121" s="17">
        <f ca="1">INDEX(Stations,INT((ROWS(A$2:A121)-1)/(DATE(YEAR(Invoer!$A$5),12,31)-DATE(YEAR(Invoer!$A$5),1,1)+1))+2,1)</f>
        <v>81</v>
      </c>
      <c r="B121" t="str">
        <f ca="1">TEXT(DATE(YEAR(Invoer!$A$5),1,1)+MOD(ROWS(B$2:B121)-1,DATE(YEAR(Invoer!$A$5),12,31)-DATE(YEAR(Invoer!$A$5),1,1)+1),"jjjjmmdd")</f>
        <v>19400429</v>
      </c>
      <c r="C121" s="18">
        <v>1</v>
      </c>
      <c r="D121" s="23">
        <f t="shared" ca="1" si="2"/>
        <v>0</v>
      </c>
      <c r="E121" s="24">
        <f t="shared" ca="1" si="3"/>
        <v>0</v>
      </c>
    </row>
    <row r="122" spans="1:5" x14ac:dyDescent="0.25">
      <c r="A122" s="17">
        <f ca="1">INDEX(Stations,INT((ROWS(A$2:A122)-1)/(DATE(YEAR(Invoer!$A$5),12,31)-DATE(YEAR(Invoer!$A$5),1,1)+1))+2,1)</f>
        <v>81</v>
      </c>
      <c r="B122" t="str">
        <f ca="1">TEXT(DATE(YEAR(Invoer!$A$5),1,1)+MOD(ROWS(B$2:B122)-1,DATE(YEAR(Invoer!$A$5),12,31)-DATE(YEAR(Invoer!$A$5),1,1)+1),"jjjjmmdd")</f>
        <v>19400430</v>
      </c>
      <c r="C122" s="18">
        <v>1</v>
      </c>
      <c r="D122" s="23">
        <f t="shared" ca="1" si="2"/>
        <v>0</v>
      </c>
      <c r="E122" s="24">
        <f t="shared" ca="1" si="3"/>
        <v>0</v>
      </c>
    </row>
    <row r="123" spans="1:5" x14ac:dyDescent="0.25">
      <c r="A123" s="17">
        <f ca="1">INDEX(Stations,INT((ROWS(A$2:A123)-1)/(DATE(YEAR(Invoer!$A$5),12,31)-DATE(YEAR(Invoer!$A$5),1,1)+1))+2,1)</f>
        <v>81</v>
      </c>
      <c r="B123" t="str">
        <f ca="1">TEXT(DATE(YEAR(Invoer!$A$5),1,1)+MOD(ROWS(B$2:B123)-1,DATE(YEAR(Invoer!$A$5),12,31)-DATE(YEAR(Invoer!$A$5),1,1)+1),"jjjjmmdd")</f>
        <v>19400501</v>
      </c>
      <c r="C123" s="18">
        <v>1</v>
      </c>
      <c r="D123" s="23">
        <f t="shared" ca="1" si="2"/>
        <v>45</v>
      </c>
      <c r="E123" s="24">
        <f t="shared" ca="1" si="3"/>
        <v>0</v>
      </c>
    </row>
    <row r="124" spans="1:5" x14ac:dyDescent="0.25">
      <c r="A124" s="17">
        <f ca="1">INDEX(Stations,INT((ROWS(A$2:A124)-1)/(DATE(YEAR(Invoer!$A$5),12,31)-DATE(YEAR(Invoer!$A$5),1,1)+1))+2,1)</f>
        <v>81</v>
      </c>
      <c r="B124" t="str">
        <f ca="1">TEXT(DATE(YEAR(Invoer!$A$5),1,1)+MOD(ROWS(B$2:B124)-1,DATE(YEAR(Invoer!$A$5),12,31)-DATE(YEAR(Invoer!$A$5),1,1)+1),"jjjjmmdd")</f>
        <v>19400502</v>
      </c>
      <c r="C124" s="18">
        <v>1</v>
      </c>
      <c r="D124" s="23">
        <f t="shared" ca="1" si="2"/>
        <v>23</v>
      </c>
      <c r="E124" s="24">
        <f t="shared" ca="1" si="3"/>
        <v>0</v>
      </c>
    </row>
    <row r="125" spans="1:5" x14ac:dyDescent="0.25">
      <c r="A125" s="17">
        <f ca="1">INDEX(Stations,INT((ROWS(A$2:A125)-1)/(DATE(YEAR(Invoer!$A$5),12,31)-DATE(YEAR(Invoer!$A$5),1,1)+1))+2,1)</f>
        <v>81</v>
      </c>
      <c r="B125" t="str">
        <f ca="1">TEXT(DATE(YEAR(Invoer!$A$5),1,1)+MOD(ROWS(B$2:B125)-1,DATE(YEAR(Invoer!$A$5),12,31)-DATE(YEAR(Invoer!$A$5),1,1)+1),"jjjjmmdd")</f>
        <v>19400503</v>
      </c>
      <c r="C125" s="18">
        <v>1</v>
      </c>
      <c r="D125" s="23">
        <f t="shared" ca="1" si="2"/>
        <v>80</v>
      </c>
      <c r="E125" s="24">
        <f t="shared" ca="1" si="3"/>
        <v>0</v>
      </c>
    </row>
    <row r="126" spans="1:5" x14ac:dyDescent="0.25">
      <c r="A126" s="17">
        <f ca="1">INDEX(Stations,INT((ROWS(A$2:A126)-1)/(DATE(YEAR(Invoer!$A$5),12,31)-DATE(YEAR(Invoer!$A$5),1,1)+1))+2,1)</f>
        <v>81</v>
      </c>
      <c r="B126" t="str">
        <f ca="1">TEXT(DATE(YEAR(Invoer!$A$5),1,1)+MOD(ROWS(B$2:B126)-1,DATE(YEAR(Invoer!$A$5),12,31)-DATE(YEAR(Invoer!$A$5),1,1)+1),"jjjjmmdd")</f>
        <v>19400504</v>
      </c>
      <c r="C126" s="18">
        <v>1</v>
      </c>
      <c r="D126" s="23">
        <f t="shared" ca="1" si="2"/>
        <v>0</v>
      </c>
      <c r="E126" s="24">
        <f t="shared" ca="1" si="3"/>
        <v>0</v>
      </c>
    </row>
    <row r="127" spans="1:5" x14ac:dyDescent="0.25">
      <c r="A127" s="17">
        <f ca="1">INDEX(Stations,INT((ROWS(A$2:A127)-1)/(DATE(YEAR(Invoer!$A$5),12,31)-DATE(YEAR(Invoer!$A$5),1,1)+1))+2,1)</f>
        <v>81</v>
      </c>
      <c r="B127" t="str">
        <f ca="1">TEXT(DATE(YEAR(Invoer!$A$5),1,1)+MOD(ROWS(B$2:B127)-1,DATE(YEAR(Invoer!$A$5),12,31)-DATE(YEAR(Invoer!$A$5),1,1)+1),"jjjjmmdd")</f>
        <v>19400505</v>
      </c>
      <c r="C127" s="18">
        <v>1</v>
      </c>
      <c r="D127" s="23">
        <f t="shared" ca="1" si="2"/>
        <v>0</v>
      </c>
      <c r="E127" s="24">
        <f t="shared" ca="1" si="3"/>
        <v>0</v>
      </c>
    </row>
    <row r="128" spans="1:5" x14ac:dyDescent="0.25">
      <c r="A128" s="17">
        <f ca="1">INDEX(Stations,INT((ROWS(A$2:A128)-1)/(DATE(YEAR(Invoer!$A$5),12,31)-DATE(YEAR(Invoer!$A$5),1,1)+1))+2,1)</f>
        <v>81</v>
      </c>
      <c r="B128" t="str">
        <f ca="1">TEXT(DATE(YEAR(Invoer!$A$5),1,1)+MOD(ROWS(B$2:B128)-1,DATE(YEAR(Invoer!$A$5),12,31)-DATE(YEAR(Invoer!$A$5),1,1)+1),"jjjjmmdd")</f>
        <v>19400506</v>
      </c>
      <c r="C128" s="18">
        <v>1</v>
      </c>
      <c r="D128" s="23">
        <f t="shared" ca="1" si="2"/>
        <v>0</v>
      </c>
      <c r="E128" s="24">
        <f t="shared" ca="1" si="3"/>
        <v>0</v>
      </c>
    </row>
    <row r="129" spans="1:5" x14ac:dyDescent="0.25">
      <c r="A129" s="17">
        <f ca="1">INDEX(Stations,INT((ROWS(A$2:A129)-1)/(DATE(YEAR(Invoer!$A$5),12,31)-DATE(YEAR(Invoer!$A$5),1,1)+1))+2,1)</f>
        <v>81</v>
      </c>
      <c r="B129" t="str">
        <f ca="1">TEXT(DATE(YEAR(Invoer!$A$5),1,1)+MOD(ROWS(B$2:B129)-1,DATE(YEAR(Invoer!$A$5),12,31)-DATE(YEAR(Invoer!$A$5),1,1)+1),"jjjjmmdd")</f>
        <v>19400507</v>
      </c>
      <c r="C129" s="18">
        <v>1</v>
      </c>
      <c r="D129" s="23">
        <f t="shared" ca="1" si="2"/>
        <v>33</v>
      </c>
      <c r="E129" s="24">
        <f t="shared" ca="1" si="3"/>
        <v>0</v>
      </c>
    </row>
    <row r="130" spans="1:5" x14ac:dyDescent="0.25">
      <c r="A130" s="17">
        <f ca="1">INDEX(Stations,INT((ROWS(A$2:A130)-1)/(DATE(YEAR(Invoer!$A$5),12,31)-DATE(YEAR(Invoer!$A$5),1,1)+1))+2,1)</f>
        <v>81</v>
      </c>
      <c r="B130" t="str">
        <f ca="1">TEXT(DATE(YEAR(Invoer!$A$5),1,1)+MOD(ROWS(B$2:B130)-1,DATE(YEAR(Invoer!$A$5),12,31)-DATE(YEAR(Invoer!$A$5),1,1)+1),"jjjjmmdd")</f>
        <v>19400508</v>
      </c>
      <c r="C130" s="18">
        <v>1</v>
      </c>
      <c r="D130" s="23">
        <f t="shared" ref="D130:D193" ca="1" si="4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"—",VLOOKUP(DATEVALUE(LEFT(B130,4)&amp;"-"&amp;MID(B130,5,2)&amp;"-"&amp;RIGHT(B130,2)),Data,MATCH(VLOOKUP(A130,Stations,2,FALSE()),OFFSET(Data,1,0,1),0),FALSE()))</f>
        <v>113</v>
      </c>
      <c r="E130" s="24">
        <f t="shared" ref="E130:E193" ca="1" si="5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Lacking,IF(ISNA(MATCH(DATEVALUE(LEFT(B130,4)&amp;"-"&amp;MID(B130,5,2)&amp;"-"&amp;RIGHT(B130,2)),OFFSET(Catalogus,0,0,,1),0)),Ok,VLOOKUP(DATEVALUE(LEFT(B130,4)&amp;"-"&amp;MID(B130,5,2)&amp;"-"&amp;RIGHT(B130,2)),Catalogus,MATCH(VLOOKUP(A130,Stations,2,FALSE()),OFFSET(Catalogus,1,0,1),0),FALSE())))</f>
        <v>0</v>
      </c>
    </row>
    <row r="131" spans="1:5" x14ac:dyDescent="0.25">
      <c r="A131" s="17">
        <f ca="1">INDEX(Stations,INT((ROWS(A$2:A131)-1)/(DATE(YEAR(Invoer!$A$5),12,31)-DATE(YEAR(Invoer!$A$5),1,1)+1))+2,1)</f>
        <v>81</v>
      </c>
      <c r="B131" t="str">
        <f ca="1">TEXT(DATE(YEAR(Invoer!$A$5),1,1)+MOD(ROWS(B$2:B131)-1,DATE(YEAR(Invoer!$A$5),12,31)-DATE(YEAR(Invoer!$A$5),1,1)+1),"jjjjmmdd")</f>
        <v>19400509</v>
      </c>
      <c r="C131" s="18">
        <v>1</v>
      </c>
      <c r="D131" s="23">
        <f t="shared" ca="1" si="4"/>
        <v>226</v>
      </c>
      <c r="E131" s="24">
        <f t="shared" ca="1" si="5"/>
        <v>0</v>
      </c>
    </row>
    <row r="132" spans="1:5" x14ac:dyDescent="0.25">
      <c r="A132" s="17">
        <f ca="1">INDEX(Stations,INT((ROWS(A$2:A132)-1)/(DATE(YEAR(Invoer!$A$5),12,31)-DATE(YEAR(Invoer!$A$5),1,1)+1))+2,1)</f>
        <v>81</v>
      </c>
      <c r="B132" t="str">
        <f ca="1">TEXT(DATE(YEAR(Invoer!$A$5),1,1)+MOD(ROWS(B$2:B132)-1,DATE(YEAR(Invoer!$A$5),12,31)-DATE(YEAR(Invoer!$A$5),1,1)+1),"jjjjmmdd")</f>
        <v>19400510</v>
      </c>
      <c r="C132" s="18">
        <v>1</v>
      </c>
      <c r="D132" s="23">
        <f t="shared" ca="1" si="4"/>
        <v>40</v>
      </c>
      <c r="E132" s="24">
        <f t="shared" ca="1" si="5"/>
        <v>0</v>
      </c>
    </row>
    <row r="133" spans="1:5" x14ac:dyDescent="0.25">
      <c r="A133" s="17">
        <f ca="1">INDEX(Stations,INT((ROWS(A$2:A133)-1)/(DATE(YEAR(Invoer!$A$5),12,31)-DATE(YEAR(Invoer!$A$5),1,1)+1))+2,1)</f>
        <v>81</v>
      </c>
      <c r="B133" t="str">
        <f ca="1">TEXT(DATE(YEAR(Invoer!$A$5),1,1)+MOD(ROWS(B$2:B133)-1,DATE(YEAR(Invoer!$A$5),12,31)-DATE(YEAR(Invoer!$A$5),1,1)+1),"jjjjmmdd")</f>
        <v>19400511</v>
      </c>
      <c r="C133" s="18">
        <v>1</v>
      </c>
      <c r="D133" s="23">
        <f t="shared" ca="1" si="4"/>
        <v>0</v>
      </c>
      <c r="E133" s="24">
        <f t="shared" ca="1" si="5"/>
        <v>0</v>
      </c>
    </row>
    <row r="134" spans="1:5" x14ac:dyDescent="0.25">
      <c r="A134" s="17">
        <f ca="1">INDEX(Stations,INT((ROWS(A$2:A134)-1)/(DATE(YEAR(Invoer!$A$5),12,31)-DATE(YEAR(Invoer!$A$5),1,1)+1))+2,1)</f>
        <v>81</v>
      </c>
      <c r="B134" t="str">
        <f ca="1">TEXT(DATE(YEAR(Invoer!$A$5),1,1)+MOD(ROWS(B$2:B134)-1,DATE(YEAR(Invoer!$A$5),12,31)-DATE(YEAR(Invoer!$A$5),1,1)+1),"jjjjmmdd")</f>
        <v>19400512</v>
      </c>
      <c r="C134" s="18">
        <v>1</v>
      </c>
      <c r="D134" s="23">
        <f t="shared" ca="1" si="4"/>
        <v>0</v>
      </c>
      <c r="E134" s="24">
        <f t="shared" ca="1" si="5"/>
        <v>0</v>
      </c>
    </row>
    <row r="135" spans="1:5" x14ac:dyDescent="0.25">
      <c r="A135" s="17">
        <f ca="1">INDEX(Stations,INT((ROWS(A$2:A135)-1)/(DATE(YEAR(Invoer!$A$5),12,31)-DATE(YEAR(Invoer!$A$5),1,1)+1))+2,1)</f>
        <v>81</v>
      </c>
      <c r="B135" t="str">
        <f ca="1">TEXT(DATE(YEAR(Invoer!$A$5),1,1)+MOD(ROWS(B$2:B135)-1,DATE(YEAR(Invoer!$A$5),12,31)-DATE(YEAR(Invoer!$A$5),1,1)+1),"jjjjmmdd")</f>
        <v>19400513</v>
      </c>
      <c r="C135" s="18">
        <v>1</v>
      </c>
      <c r="D135" s="23">
        <f t="shared" ca="1" si="4"/>
        <v>0</v>
      </c>
      <c r="E135" s="24">
        <f t="shared" ca="1" si="5"/>
        <v>0</v>
      </c>
    </row>
    <row r="136" spans="1:5" x14ac:dyDescent="0.25">
      <c r="A136" s="17">
        <f ca="1">INDEX(Stations,INT((ROWS(A$2:A136)-1)/(DATE(YEAR(Invoer!$A$5),12,31)-DATE(YEAR(Invoer!$A$5),1,1)+1))+2,1)</f>
        <v>81</v>
      </c>
      <c r="B136" t="str">
        <f ca="1">TEXT(DATE(YEAR(Invoer!$A$5),1,1)+MOD(ROWS(B$2:B136)-1,DATE(YEAR(Invoer!$A$5),12,31)-DATE(YEAR(Invoer!$A$5),1,1)+1),"jjjjmmdd")</f>
        <v>19400514</v>
      </c>
      <c r="C136" s="18">
        <v>1</v>
      </c>
      <c r="D136" s="23">
        <f t="shared" ca="1" si="4"/>
        <v>0</v>
      </c>
      <c r="E136" s="24">
        <f t="shared" ca="1" si="5"/>
        <v>0</v>
      </c>
    </row>
    <row r="137" spans="1:5" x14ac:dyDescent="0.25">
      <c r="A137" s="17">
        <f ca="1">INDEX(Stations,INT((ROWS(A$2:A137)-1)/(DATE(YEAR(Invoer!$A$5),12,31)-DATE(YEAR(Invoer!$A$5),1,1)+1))+2,1)</f>
        <v>81</v>
      </c>
      <c r="B137" t="str">
        <f ca="1">TEXT(DATE(YEAR(Invoer!$A$5),1,1)+MOD(ROWS(B$2:B137)-1,DATE(YEAR(Invoer!$A$5),12,31)-DATE(YEAR(Invoer!$A$5),1,1)+1),"jjjjmmdd")</f>
        <v>19400515</v>
      </c>
      <c r="C137" s="18">
        <v>1</v>
      </c>
      <c r="D137" s="23">
        <f t="shared" ca="1" si="4"/>
        <v>0</v>
      </c>
      <c r="E137" s="24">
        <f t="shared" ca="1" si="5"/>
        <v>0</v>
      </c>
    </row>
    <row r="138" spans="1:5" x14ac:dyDescent="0.25">
      <c r="A138" s="17">
        <f ca="1">INDEX(Stations,INT((ROWS(A$2:A138)-1)/(DATE(YEAR(Invoer!$A$5),12,31)-DATE(YEAR(Invoer!$A$5),1,1)+1))+2,1)</f>
        <v>81</v>
      </c>
      <c r="B138" t="str">
        <f ca="1">TEXT(DATE(YEAR(Invoer!$A$5),1,1)+MOD(ROWS(B$2:B138)-1,DATE(YEAR(Invoer!$A$5),12,31)-DATE(YEAR(Invoer!$A$5),1,1)+1),"jjjjmmdd")</f>
        <v>19400516</v>
      </c>
      <c r="C138" s="18">
        <v>1</v>
      </c>
      <c r="D138" s="23">
        <f t="shared" ca="1" si="4"/>
        <v>210</v>
      </c>
      <c r="E138" s="24">
        <f t="shared" ca="1" si="5"/>
        <v>0</v>
      </c>
    </row>
    <row r="139" spans="1:5" x14ac:dyDescent="0.25">
      <c r="A139" s="17">
        <f ca="1">INDEX(Stations,INT((ROWS(A$2:A139)-1)/(DATE(YEAR(Invoer!$A$5),12,31)-DATE(YEAR(Invoer!$A$5),1,1)+1))+2,1)</f>
        <v>81</v>
      </c>
      <c r="B139" t="str">
        <f ca="1">TEXT(DATE(YEAR(Invoer!$A$5),1,1)+MOD(ROWS(B$2:B139)-1,DATE(YEAR(Invoer!$A$5),12,31)-DATE(YEAR(Invoer!$A$5),1,1)+1),"jjjjmmdd")</f>
        <v>19400517</v>
      </c>
      <c r="C139" s="18">
        <v>1</v>
      </c>
      <c r="D139" s="23">
        <f t="shared" ca="1" si="4"/>
        <v>23</v>
      </c>
      <c r="E139" s="24">
        <f t="shared" ca="1" si="5"/>
        <v>0</v>
      </c>
    </row>
    <row r="140" spans="1:5" x14ac:dyDescent="0.25">
      <c r="A140" s="17">
        <f ca="1">INDEX(Stations,INT((ROWS(A$2:A140)-1)/(DATE(YEAR(Invoer!$A$5),12,31)-DATE(YEAR(Invoer!$A$5),1,1)+1))+2,1)</f>
        <v>81</v>
      </c>
      <c r="B140" t="str">
        <f ca="1">TEXT(DATE(YEAR(Invoer!$A$5),1,1)+MOD(ROWS(B$2:B140)-1,DATE(YEAR(Invoer!$A$5),12,31)-DATE(YEAR(Invoer!$A$5),1,1)+1),"jjjjmmdd")</f>
        <v>19400518</v>
      </c>
      <c r="C140" s="18">
        <v>1</v>
      </c>
      <c r="D140" s="23">
        <f t="shared" ca="1" si="4"/>
        <v>15</v>
      </c>
      <c r="E140" s="24">
        <f t="shared" ca="1" si="5"/>
        <v>0</v>
      </c>
    </row>
    <row r="141" spans="1:5" x14ac:dyDescent="0.25">
      <c r="A141" s="17">
        <f ca="1">INDEX(Stations,INT((ROWS(A$2:A141)-1)/(DATE(YEAR(Invoer!$A$5),12,31)-DATE(YEAR(Invoer!$A$5),1,1)+1))+2,1)</f>
        <v>81</v>
      </c>
      <c r="B141" t="str">
        <f ca="1">TEXT(DATE(YEAR(Invoer!$A$5),1,1)+MOD(ROWS(B$2:B141)-1,DATE(YEAR(Invoer!$A$5),12,31)-DATE(YEAR(Invoer!$A$5),1,1)+1),"jjjjmmdd")</f>
        <v>19400519</v>
      </c>
      <c r="C141" s="18">
        <v>1</v>
      </c>
      <c r="D141" s="23">
        <f t="shared" ca="1" si="4"/>
        <v>5</v>
      </c>
      <c r="E141" s="24">
        <f t="shared" ca="1" si="5"/>
        <v>0</v>
      </c>
    </row>
    <row r="142" spans="1:5" x14ac:dyDescent="0.25">
      <c r="A142" s="17">
        <f ca="1">INDEX(Stations,INT((ROWS(A$2:A142)-1)/(DATE(YEAR(Invoer!$A$5),12,31)-DATE(YEAR(Invoer!$A$5),1,1)+1))+2,1)</f>
        <v>81</v>
      </c>
      <c r="B142" t="str">
        <f ca="1">TEXT(DATE(YEAR(Invoer!$A$5),1,1)+MOD(ROWS(B$2:B142)-1,DATE(YEAR(Invoer!$A$5),12,31)-DATE(YEAR(Invoer!$A$5),1,1)+1),"jjjjmmdd")</f>
        <v>19400520</v>
      </c>
      <c r="C142" s="18">
        <v>1</v>
      </c>
      <c r="D142" s="23">
        <f t="shared" ca="1" si="4"/>
        <v>13</v>
      </c>
      <c r="E142" s="24">
        <f t="shared" ca="1" si="5"/>
        <v>0</v>
      </c>
    </row>
    <row r="143" spans="1:5" x14ac:dyDescent="0.25">
      <c r="A143" s="17">
        <f ca="1">INDEX(Stations,INT((ROWS(A$2:A143)-1)/(DATE(YEAR(Invoer!$A$5),12,31)-DATE(YEAR(Invoer!$A$5),1,1)+1))+2,1)</f>
        <v>81</v>
      </c>
      <c r="B143" t="str">
        <f ca="1">TEXT(DATE(YEAR(Invoer!$A$5),1,1)+MOD(ROWS(B$2:B143)-1,DATE(YEAR(Invoer!$A$5),12,31)-DATE(YEAR(Invoer!$A$5),1,1)+1),"jjjjmmdd")</f>
        <v>19400521</v>
      </c>
      <c r="C143" s="18">
        <v>1</v>
      </c>
      <c r="D143" s="23">
        <f t="shared" ca="1" si="4"/>
        <v>5</v>
      </c>
      <c r="E143" s="24">
        <f t="shared" ca="1" si="5"/>
        <v>0</v>
      </c>
    </row>
    <row r="144" spans="1:5" x14ac:dyDescent="0.25">
      <c r="A144" s="17">
        <f ca="1">INDEX(Stations,INT((ROWS(A$2:A144)-1)/(DATE(YEAR(Invoer!$A$5),12,31)-DATE(YEAR(Invoer!$A$5),1,1)+1))+2,1)</f>
        <v>81</v>
      </c>
      <c r="B144" t="str">
        <f ca="1">TEXT(DATE(YEAR(Invoer!$A$5),1,1)+MOD(ROWS(B$2:B144)-1,DATE(YEAR(Invoer!$A$5),12,31)-DATE(YEAR(Invoer!$A$5),1,1)+1),"jjjjmmdd")</f>
        <v>19400522</v>
      </c>
      <c r="C144" s="18">
        <v>1</v>
      </c>
      <c r="D144" s="23">
        <f t="shared" ca="1" si="4"/>
        <v>110</v>
      </c>
      <c r="E144" s="24">
        <f t="shared" ca="1" si="5"/>
        <v>0</v>
      </c>
    </row>
    <row r="145" spans="1:5" x14ac:dyDescent="0.25">
      <c r="A145" s="17">
        <f ca="1">INDEX(Stations,INT((ROWS(A$2:A145)-1)/(DATE(YEAR(Invoer!$A$5),12,31)-DATE(YEAR(Invoer!$A$5),1,1)+1))+2,1)</f>
        <v>81</v>
      </c>
      <c r="B145" t="str">
        <f ca="1">TEXT(DATE(YEAR(Invoer!$A$5),1,1)+MOD(ROWS(B$2:B145)-1,DATE(YEAR(Invoer!$A$5),12,31)-DATE(YEAR(Invoer!$A$5),1,1)+1),"jjjjmmdd")</f>
        <v>19400523</v>
      </c>
      <c r="C145" s="18">
        <v>1</v>
      </c>
      <c r="D145" s="23">
        <f t="shared" ca="1" si="4"/>
        <v>12</v>
      </c>
      <c r="E145" s="24">
        <f t="shared" ca="1" si="5"/>
        <v>0</v>
      </c>
    </row>
    <row r="146" spans="1:5" x14ac:dyDescent="0.25">
      <c r="A146" s="17">
        <f ca="1">INDEX(Stations,INT((ROWS(A$2:A146)-1)/(DATE(YEAR(Invoer!$A$5),12,31)-DATE(YEAR(Invoer!$A$5),1,1)+1))+2,1)</f>
        <v>81</v>
      </c>
      <c r="B146" t="str">
        <f ca="1">TEXT(DATE(YEAR(Invoer!$A$5),1,1)+MOD(ROWS(B$2:B146)-1,DATE(YEAR(Invoer!$A$5),12,31)-DATE(YEAR(Invoer!$A$5),1,1)+1),"jjjjmmdd")</f>
        <v>19400524</v>
      </c>
      <c r="C146" s="18">
        <v>1</v>
      </c>
      <c r="D146" s="23">
        <f t="shared" ca="1" si="4"/>
        <v>0</v>
      </c>
      <c r="E146" s="24">
        <f t="shared" ca="1" si="5"/>
        <v>0</v>
      </c>
    </row>
    <row r="147" spans="1:5" x14ac:dyDescent="0.25">
      <c r="A147" s="17">
        <f ca="1">INDEX(Stations,INT((ROWS(A$2:A147)-1)/(DATE(YEAR(Invoer!$A$5),12,31)-DATE(YEAR(Invoer!$A$5),1,1)+1))+2,1)</f>
        <v>81</v>
      </c>
      <c r="B147" t="str">
        <f ca="1">TEXT(DATE(YEAR(Invoer!$A$5),1,1)+MOD(ROWS(B$2:B147)-1,DATE(YEAR(Invoer!$A$5),12,31)-DATE(YEAR(Invoer!$A$5),1,1)+1),"jjjjmmdd")</f>
        <v>19400525</v>
      </c>
      <c r="C147" s="18">
        <v>1</v>
      </c>
      <c r="D147" s="23">
        <f t="shared" ca="1" si="4"/>
        <v>0</v>
      </c>
      <c r="E147" s="24">
        <f t="shared" ca="1" si="5"/>
        <v>0</v>
      </c>
    </row>
    <row r="148" spans="1:5" x14ac:dyDescent="0.25">
      <c r="A148" s="17">
        <f ca="1">INDEX(Stations,INT((ROWS(A$2:A148)-1)/(DATE(YEAR(Invoer!$A$5),12,31)-DATE(YEAR(Invoer!$A$5),1,1)+1))+2,1)</f>
        <v>81</v>
      </c>
      <c r="B148" t="str">
        <f ca="1">TEXT(DATE(YEAR(Invoer!$A$5),1,1)+MOD(ROWS(B$2:B148)-1,DATE(YEAR(Invoer!$A$5),12,31)-DATE(YEAR(Invoer!$A$5),1,1)+1),"jjjjmmdd")</f>
        <v>19400526</v>
      </c>
      <c r="C148" s="18">
        <v>1</v>
      </c>
      <c r="D148" s="23">
        <f t="shared" ca="1" si="4"/>
        <v>25</v>
      </c>
      <c r="E148" s="24">
        <f t="shared" ca="1" si="5"/>
        <v>0</v>
      </c>
    </row>
    <row r="149" spans="1:5" x14ac:dyDescent="0.25">
      <c r="A149" s="17">
        <f ca="1">INDEX(Stations,INT((ROWS(A$2:A149)-1)/(DATE(YEAR(Invoer!$A$5),12,31)-DATE(YEAR(Invoer!$A$5),1,1)+1))+2,1)</f>
        <v>81</v>
      </c>
      <c r="B149" t="str">
        <f ca="1">TEXT(DATE(YEAR(Invoer!$A$5),1,1)+MOD(ROWS(B$2:B149)-1,DATE(YEAR(Invoer!$A$5),12,31)-DATE(YEAR(Invoer!$A$5),1,1)+1),"jjjjmmdd")</f>
        <v>19400527</v>
      </c>
      <c r="C149" s="18">
        <v>1</v>
      </c>
      <c r="D149" s="23">
        <f t="shared" ca="1" si="4"/>
        <v>5</v>
      </c>
      <c r="E149" s="24">
        <f t="shared" ca="1" si="5"/>
        <v>0</v>
      </c>
    </row>
    <row r="150" spans="1:5" x14ac:dyDescent="0.25">
      <c r="A150" s="17">
        <f ca="1">INDEX(Stations,INT((ROWS(A$2:A150)-1)/(DATE(YEAR(Invoer!$A$5),12,31)-DATE(YEAR(Invoer!$A$5),1,1)+1))+2,1)</f>
        <v>81</v>
      </c>
      <c r="B150" t="str">
        <f ca="1">TEXT(DATE(YEAR(Invoer!$A$5),1,1)+MOD(ROWS(B$2:B150)-1,DATE(YEAR(Invoer!$A$5),12,31)-DATE(YEAR(Invoer!$A$5),1,1)+1),"jjjjmmdd")</f>
        <v>19400528</v>
      </c>
      <c r="C150" s="18">
        <v>1</v>
      </c>
      <c r="D150" s="23">
        <f t="shared" ca="1" si="4"/>
        <v>0</v>
      </c>
      <c r="E150" s="24">
        <f t="shared" ca="1" si="5"/>
        <v>0</v>
      </c>
    </row>
    <row r="151" spans="1:5" x14ac:dyDescent="0.25">
      <c r="A151" s="17">
        <f ca="1">INDEX(Stations,INT((ROWS(A$2:A151)-1)/(DATE(YEAR(Invoer!$A$5),12,31)-DATE(YEAR(Invoer!$A$5),1,1)+1))+2,1)</f>
        <v>81</v>
      </c>
      <c r="B151" t="str">
        <f ca="1">TEXT(DATE(YEAR(Invoer!$A$5),1,1)+MOD(ROWS(B$2:B151)-1,DATE(YEAR(Invoer!$A$5),12,31)-DATE(YEAR(Invoer!$A$5),1,1)+1),"jjjjmmdd")</f>
        <v>19400529</v>
      </c>
      <c r="C151" s="18">
        <v>1</v>
      </c>
      <c r="D151" s="23">
        <f t="shared" ca="1" si="4"/>
        <v>0</v>
      </c>
      <c r="E151" s="24">
        <f t="shared" ca="1" si="5"/>
        <v>0</v>
      </c>
    </row>
    <row r="152" spans="1:5" x14ac:dyDescent="0.25">
      <c r="A152" s="17">
        <f ca="1">INDEX(Stations,INT((ROWS(A$2:A152)-1)/(DATE(YEAR(Invoer!$A$5),12,31)-DATE(YEAR(Invoer!$A$5),1,1)+1))+2,1)</f>
        <v>81</v>
      </c>
      <c r="B152" t="str">
        <f ca="1">TEXT(DATE(YEAR(Invoer!$A$5),1,1)+MOD(ROWS(B$2:B152)-1,DATE(YEAR(Invoer!$A$5),12,31)-DATE(YEAR(Invoer!$A$5),1,1)+1),"jjjjmmdd")</f>
        <v>19400530</v>
      </c>
      <c r="C152" s="18">
        <v>1</v>
      </c>
      <c r="D152" s="23">
        <f t="shared" ca="1" si="4"/>
        <v>0</v>
      </c>
      <c r="E152" s="24">
        <f t="shared" ca="1" si="5"/>
        <v>0</v>
      </c>
    </row>
    <row r="153" spans="1:5" x14ac:dyDescent="0.25">
      <c r="A153" s="17">
        <f ca="1">INDEX(Stations,INT((ROWS(A$2:A153)-1)/(DATE(YEAR(Invoer!$A$5),12,31)-DATE(YEAR(Invoer!$A$5),1,1)+1))+2,1)</f>
        <v>81</v>
      </c>
      <c r="B153" t="str">
        <f ca="1">TEXT(DATE(YEAR(Invoer!$A$5),1,1)+MOD(ROWS(B$2:B153)-1,DATE(YEAR(Invoer!$A$5),12,31)-DATE(YEAR(Invoer!$A$5),1,1)+1),"jjjjmmdd")</f>
        <v>19400531</v>
      </c>
      <c r="C153" s="18">
        <v>1</v>
      </c>
      <c r="D153" s="23">
        <f t="shared" ca="1" si="4"/>
        <v>0</v>
      </c>
      <c r="E153" s="24">
        <f t="shared" ca="1" si="5"/>
        <v>0</v>
      </c>
    </row>
    <row r="154" spans="1:5" x14ac:dyDescent="0.25">
      <c r="A154" s="17">
        <f ca="1">INDEX(Stations,INT((ROWS(A$2:A154)-1)/(DATE(YEAR(Invoer!$A$5),12,31)-DATE(YEAR(Invoer!$A$5),1,1)+1))+2,1)</f>
        <v>81</v>
      </c>
      <c r="B154" t="str">
        <f ca="1">TEXT(DATE(YEAR(Invoer!$A$5),1,1)+MOD(ROWS(B$2:B154)-1,DATE(YEAR(Invoer!$A$5),12,31)-DATE(YEAR(Invoer!$A$5),1,1)+1),"jjjjmmdd")</f>
        <v>19400601</v>
      </c>
      <c r="C154" s="18">
        <v>1</v>
      </c>
      <c r="D154" s="23" t="str">
        <f t="shared" ca="1" si="4"/>
        <v>—</v>
      </c>
      <c r="E154" s="24">
        <f t="shared" ca="1" si="5"/>
        <v>7</v>
      </c>
    </row>
    <row r="155" spans="1:5" x14ac:dyDescent="0.25">
      <c r="A155" s="17">
        <f ca="1">INDEX(Stations,INT((ROWS(A$2:A155)-1)/(DATE(YEAR(Invoer!$A$5),12,31)-DATE(YEAR(Invoer!$A$5),1,1)+1))+2,1)</f>
        <v>81</v>
      </c>
      <c r="B155" t="str">
        <f ca="1">TEXT(DATE(YEAR(Invoer!$A$5),1,1)+MOD(ROWS(B$2:B155)-1,DATE(YEAR(Invoer!$A$5),12,31)-DATE(YEAR(Invoer!$A$5),1,1)+1),"jjjjmmdd")</f>
        <v>19400602</v>
      </c>
      <c r="C155" s="18">
        <v>1</v>
      </c>
      <c r="D155" s="23" t="str">
        <f t="shared" ca="1" si="4"/>
        <v>—</v>
      </c>
      <c r="E155" s="24">
        <f t="shared" ca="1" si="5"/>
        <v>7</v>
      </c>
    </row>
    <row r="156" spans="1:5" x14ac:dyDescent="0.25">
      <c r="A156" s="17">
        <f ca="1">INDEX(Stations,INT((ROWS(A$2:A156)-1)/(DATE(YEAR(Invoer!$A$5),12,31)-DATE(YEAR(Invoer!$A$5),1,1)+1))+2,1)</f>
        <v>81</v>
      </c>
      <c r="B156" t="str">
        <f ca="1">TEXT(DATE(YEAR(Invoer!$A$5),1,1)+MOD(ROWS(B$2:B156)-1,DATE(YEAR(Invoer!$A$5),12,31)-DATE(YEAR(Invoer!$A$5),1,1)+1),"jjjjmmdd")</f>
        <v>19400603</v>
      </c>
      <c r="C156" s="18">
        <v>1</v>
      </c>
      <c r="D156" s="23" t="str">
        <f t="shared" ca="1" si="4"/>
        <v>—</v>
      </c>
      <c r="E156" s="24">
        <f t="shared" ca="1" si="5"/>
        <v>7</v>
      </c>
    </row>
    <row r="157" spans="1:5" x14ac:dyDescent="0.25">
      <c r="A157" s="17">
        <f ca="1">INDEX(Stations,INT((ROWS(A$2:A157)-1)/(DATE(YEAR(Invoer!$A$5),12,31)-DATE(YEAR(Invoer!$A$5),1,1)+1))+2,1)</f>
        <v>81</v>
      </c>
      <c r="B157" t="str">
        <f ca="1">TEXT(DATE(YEAR(Invoer!$A$5),1,1)+MOD(ROWS(B$2:B157)-1,DATE(YEAR(Invoer!$A$5),12,31)-DATE(YEAR(Invoer!$A$5),1,1)+1),"jjjjmmdd")</f>
        <v>19400604</v>
      </c>
      <c r="C157" s="18">
        <v>1</v>
      </c>
      <c r="D157" s="23" t="str">
        <f t="shared" ca="1" si="4"/>
        <v>—</v>
      </c>
      <c r="E157" s="24">
        <f t="shared" ca="1" si="5"/>
        <v>7</v>
      </c>
    </row>
    <row r="158" spans="1:5" x14ac:dyDescent="0.25">
      <c r="A158" s="17">
        <f ca="1">INDEX(Stations,INT((ROWS(A$2:A158)-1)/(DATE(YEAR(Invoer!$A$5),12,31)-DATE(YEAR(Invoer!$A$5),1,1)+1))+2,1)</f>
        <v>81</v>
      </c>
      <c r="B158" t="str">
        <f ca="1">TEXT(DATE(YEAR(Invoer!$A$5),1,1)+MOD(ROWS(B$2:B158)-1,DATE(YEAR(Invoer!$A$5),12,31)-DATE(YEAR(Invoer!$A$5),1,1)+1),"jjjjmmdd")</f>
        <v>19400605</v>
      </c>
      <c r="C158" s="18">
        <v>1</v>
      </c>
      <c r="D158" s="23" t="str">
        <f t="shared" ca="1" si="4"/>
        <v>—</v>
      </c>
      <c r="E158" s="24">
        <f t="shared" ca="1" si="5"/>
        <v>7</v>
      </c>
    </row>
    <row r="159" spans="1:5" x14ac:dyDescent="0.25">
      <c r="A159" s="17">
        <f ca="1">INDEX(Stations,INT((ROWS(A$2:A159)-1)/(DATE(YEAR(Invoer!$A$5),12,31)-DATE(YEAR(Invoer!$A$5),1,1)+1))+2,1)</f>
        <v>81</v>
      </c>
      <c r="B159" t="str">
        <f ca="1">TEXT(DATE(YEAR(Invoer!$A$5),1,1)+MOD(ROWS(B$2:B159)-1,DATE(YEAR(Invoer!$A$5),12,31)-DATE(YEAR(Invoer!$A$5),1,1)+1),"jjjjmmdd")</f>
        <v>19400606</v>
      </c>
      <c r="C159" s="18">
        <v>1</v>
      </c>
      <c r="D159" s="23" t="str">
        <f t="shared" ca="1" si="4"/>
        <v>—</v>
      </c>
      <c r="E159" s="24">
        <f t="shared" ca="1" si="5"/>
        <v>7</v>
      </c>
    </row>
    <row r="160" spans="1:5" x14ac:dyDescent="0.25">
      <c r="A160" s="17">
        <f ca="1">INDEX(Stations,INT((ROWS(A$2:A160)-1)/(DATE(YEAR(Invoer!$A$5),12,31)-DATE(YEAR(Invoer!$A$5),1,1)+1))+2,1)</f>
        <v>81</v>
      </c>
      <c r="B160" t="str">
        <f ca="1">TEXT(DATE(YEAR(Invoer!$A$5),1,1)+MOD(ROWS(B$2:B160)-1,DATE(YEAR(Invoer!$A$5),12,31)-DATE(YEAR(Invoer!$A$5),1,1)+1),"jjjjmmdd")</f>
        <v>19400607</v>
      </c>
      <c r="C160" s="18">
        <v>1</v>
      </c>
      <c r="D160" s="23" t="str">
        <f t="shared" ca="1" si="4"/>
        <v>—</v>
      </c>
      <c r="E160" s="24">
        <f t="shared" ca="1" si="5"/>
        <v>7</v>
      </c>
    </row>
    <row r="161" spans="1:5" x14ac:dyDescent="0.25">
      <c r="A161" s="17">
        <f ca="1">INDEX(Stations,INT((ROWS(A$2:A161)-1)/(DATE(YEAR(Invoer!$A$5),12,31)-DATE(YEAR(Invoer!$A$5),1,1)+1))+2,1)</f>
        <v>81</v>
      </c>
      <c r="B161" t="str">
        <f ca="1">TEXT(DATE(YEAR(Invoer!$A$5),1,1)+MOD(ROWS(B$2:B161)-1,DATE(YEAR(Invoer!$A$5),12,31)-DATE(YEAR(Invoer!$A$5),1,1)+1),"jjjjmmdd")</f>
        <v>19400608</v>
      </c>
      <c r="C161" s="18">
        <v>1</v>
      </c>
      <c r="D161" s="23" t="str">
        <f t="shared" ca="1" si="4"/>
        <v>—</v>
      </c>
      <c r="E161" s="24">
        <f t="shared" ca="1" si="5"/>
        <v>7</v>
      </c>
    </row>
    <row r="162" spans="1:5" x14ac:dyDescent="0.25">
      <c r="A162" s="17">
        <f ca="1">INDEX(Stations,INT((ROWS(A$2:A162)-1)/(DATE(YEAR(Invoer!$A$5),12,31)-DATE(YEAR(Invoer!$A$5),1,1)+1))+2,1)</f>
        <v>81</v>
      </c>
      <c r="B162" t="str">
        <f ca="1">TEXT(DATE(YEAR(Invoer!$A$5),1,1)+MOD(ROWS(B$2:B162)-1,DATE(YEAR(Invoer!$A$5),12,31)-DATE(YEAR(Invoer!$A$5),1,1)+1),"jjjjmmdd")</f>
        <v>19400609</v>
      </c>
      <c r="C162" s="18">
        <v>1</v>
      </c>
      <c r="D162" s="23" t="str">
        <f t="shared" ca="1" si="4"/>
        <v>—</v>
      </c>
      <c r="E162" s="24">
        <f t="shared" ca="1" si="5"/>
        <v>7</v>
      </c>
    </row>
    <row r="163" spans="1:5" x14ac:dyDescent="0.25">
      <c r="A163" s="17">
        <f ca="1">INDEX(Stations,INT((ROWS(A$2:A163)-1)/(DATE(YEAR(Invoer!$A$5),12,31)-DATE(YEAR(Invoer!$A$5),1,1)+1))+2,1)</f>
        <v>81</v>
      </c>
      <c r="B163" t="str">
        <f ca="1">TEXT(DATE(YEAR(Invoer!$A$5),1,1)+MOD(ROWS(B$2:B163)-1,DATE(YEAR(Invoer!$A$5),12,31)-DATE(YEAR(Invoer!$A$5),1,1)+1),"jjjjmmdd")</f>
        <v>19400610</v>
      </c>
      <c r="C163" s="18">
        <v>1</v>
      </c>
      <c r="D163" s="23" t="str">
        <f t="shared" ca="1" si="4"/>
        <v>—</v>
      </c>
      <c r="E163" s="24">
        <f t="shared" ca="1" si="5"/>
        <v>7</v>
      </c>
    </row>
    <row r="164" spans="1:5" x14ac:dyDescent="0.25">
      <c r="A164" s="17">
        <f ca="1">INDEX(Stations,INT((ROWS(A$2:A164)-1)/(DATE(YEAR(Invoer!$A$5),12,31)-DATE(YEAR(Invoer!$A$5),1,1)+1))+2,1)</f>
        <v>81</v>
      </c>
      <c r="B164" t="str">
        <f ca="1">TEXT(DATE(YEAR(Invoer!$A$5),1,1)+MOD(ROWS(B$2:B164)-1,DATE(YEAR(Invoer!$A$5),12,31)-DATE(YEAR(Invoer!$A$5),1,1)+1),"jjjjmmdd")</f>
        <v>19400611</v>
      </c>
      <c r="C164" s="18">
        <v>1</v>
      </c>
      <c r="D164" s="23" t="str">
        <f t="shared" ca="1" si="4"/>
        <v>—</v>
      </c>
      <c r="E164" s="24">
        <f t="shared" ca="1" si="5"/>
        <v>7</v>
      </c>
    </row>
    <row r="165" spans="1:5" x14ac:dyDescent="0.25">
      <c r="A165" s="17">
        <f ca="1">INDEX(Stations,INT((ROWS(A$2:A165)-1)/(DATE(YEAR(Invoer!$A$5),12,31)-DATE(YEAR(Invoer!$A$5),1,1)+1))+2,1)</f>
        <v>81</v>
      </c>
      <c r="B165" t="str">
        <f ca="1">TEXT(DATE(YEAR(Invoer!$A$5),1,1)+MOD(ROWS(B$2:B165)-1,DATE(YEAR(Invoer!$A$5),12,31)-DATE(YEAR(Invoer!$A$5),1,1)+1),"jjjjmmdd")</f>
        <v>19400612</v>
      </c>
      <c r="C165" s="18">
        <v>1</v>
      </c>
      <c r="D165" s="23" t="str">
        <f t="shared" ca="1" si="4"/>
        <v>—</v>
      </c>
      <c r="E165" s="24">
        <f t="shared" ca="1" si="5"/>
        <v>7</v>
      </c>
    </row>
    <row r="166" spans="1:5" x14ac:dyDescent="0.25">
      <c r="A166" s="17">
        <f ca="1">INDEX(Stations,INT((ROWS(A$2:A166)-1)/(DATE(YEAR(Invoer!$A$5),12,31)-DATE(YEAR(Invoer!$A$5),1,1)+1))+2,1)</f>
        <v>81</v>
      </c>
      <c r="B166" t="str">
        <f ca="1">TEXT(DATE(YEAR(Invoer!$A$5),1,1)+MOD(ROWS(B$2:B166)-1,DATE(YEAR(Invoer!$A$5),12,31)-DATE(YEAR(Invoer!$A$5),1,1)+1),"jjjjmmdd")</f>
        <v>19400613</v>
      </c>
      <c r="C166" s="18">
        <v>1</v>
      </c>
      <c r="D166" s="23" t="str">
        <f t="shared" ca="1" si="4"/>
        <v>—</v>
      </c>
      <c r="E166" s="24">
        <f t="shared" ca="1" si="5"/>
        <v>7</v>
      </c>
    </row>
    <row r="167" spans="1:5" x14ac:dyDescent="0.25">
      <c r="A167" s="17">
        <f ca="1">INDEX(Stations,INT((ROWS(A$2:A167)-1)/(DATE(YEAR(Invoer!$A$5),12,31)-DATE(YEAR(Invoer!$A$5),1,1)+1))+2,1)</f>
        <v>81</v>
      </c>
      <c r="B167" t="str">
        <f ca="1">TEXT(DATE(YEAR(Invoer!$A$5),1,1)+MOD(ROWS(B$2:B167)-1,DATE(YEAR(Invoer!$A$5),12,31)-DATE(YEAR(Invoer!$A$5),1,1)+1),"jjjjmmdd")</f>
        <v>19400614</v>
      </c>
      <c r="C167" s="18">
        <v>1</v>
      </c>
      <c r="D167" s="23" t="str">
        <f t="shared" ca="1" si="4"/>
        <v>—</v>
      </c>
      <c r="E167" s="24">
        <f t="shared" ca="1" si="5"/>
        <v>7</v>
      </c>
    </row>
    <row r="168" spans="1:5" x14ac:dyDescent="0.25">
      <c r="A168" s="17">
        <f ca="1">INDEX(Stations,INT((ROWS(A$2:A168)-1)/(DATE(YEAR(Invoer!$A$5),12,31)-DATE(YEAR(Invoer!$A$5),1,1)+1))+2,1)</f>
        <v>81</v>
      </c>
      <c r="B168" t="str">
        <f ca="1">TEXT(DATE(YEAR(Invoer!$A$5),1,1)+MOD(ROWS(B$2:B168)-1,DATE(YEAR(Invoer!$A$5),12,31)-DATE(YEAR(Invoer!$A$5),1,1)+1),"jjjjmmdd")</f>
        <v>19400615</v>
      </c>
      <c r="C168" s="18">
        <v>1</v>
      </c>
      <c r="D168" s="23" t="str">
        <f t="shared" ca="1" si="4"/>
        <v>—</v>
      </c>
      <c r="E168" s="24">
        <f t="shared" ca="1" si="5"/>
        <v>7</v>
      </c>
    </row>
    <row r="169" spans="1:5" x14ac:dyDescent="0.25">
      <c r="A169" s="17">
        <f ca="1">INDEX(Stations,INT((ROWS(A$2:A169)-1)/(DATE(YEAR(Invoer!$A$5),12,31)-DATE(YEAR(Invoer!$A$5),1,1)+1))+2,1)</f>
        <v>81</v>
      </c>
      <c r="B169" t="str">
        <f ca="1">TEXT(DATE(YEAR(Invoer!$A$5),1,1)+MOD(ROWS(B$2:B169)-1,DATE(YEAR(Invoer!$A$5),12,31)-DATE(YEAR(Invoer!$A$5),1,1)+1),"jjjjmmdd")</f>
        <v>19400616</v>
      </c>
      <c r="C169" s="18">
        <v>1</v>
      </c>
      <c r="D169" s="23" t="str">
        <f t="shared" ca="1" si="4"/>
        <v>—</v>
      </c>
      <c r="E169" s="24">
        <f t="shared" ca="1" si="5"/>
        <v>7</v>
      </c>
    </row>
    <row r="170" spans="1:5" x14ac:dyDescent="0.25">
      <c r="A170" s="17">
        <f ca="1">INDEX(Stations,INT((ROWS(A$2:A170)-1)/(DATE(YEAR(Invoer!$A$5),12,31)-DATE(YEAR(Invoer!$A$5),1,1)+1))+2,1)</f>
        <v>81</v>
      </c>
      <c r="B170" t="str">
        <f ca="1">TEXT(DATE(YEAR(Invoer!$A$5),1,1)+MOD(ROWS(B$2:B170)-1,DATE(YEAR(Invoer!$A$5),12,31)-DATE(YEAR(Invoer!$A$5),1,1)+1),"jjjjmmdd")</f>
        <v>19400617</v>
      </c>
      <c r="C170" s="18">
        <v>1</v>
      </c>
      <c r="D170" s="23" t="str">
        <f t="shared" ca="1" si="4"/>
        <v>—</v>
      </c>
      <c r="E170" s="24">
        <f t="shared" ca="1" si="5"/>
        <v>7</v>
      </c>
    </row>
    <row r="171" spans="1:5" x14ac:dyDescent="0.25">
      <c r="A171" s="17">
        <f ca="1">INDEX(Stations,INT((ROWS(A$2:A171)-1)/(DATE(YEAR(Invoer!$A$5),12,31)-DATE(YEAR(Invoer!$A$5),1,1)+1))+2,1)</f>
        <v>81</v>
      </c>
      <c r="B171" t="str">
        <f ca="1">TEXT(DATE(YEAR(Invoer!$A$5),1,1)+MOD(ROWS(B$2:B171)-1,DATE(YEAR(Invoer!$A$5),12,31)-DATE(YEAR(Invoer!$A$5),1,1)+1),"jjjjmmdd")</f>
        <v>19400618</v>
      </c>
      <c r="C171" s="18">
        <v>1</v>
      </c>
      <c r="D171" s="23" t="str">
        <f t="shared" ca="1" si="4"/>
        <v>—</v>
      </c>
      <c r="E171" s="24">
        <f t="shared" ca="1" si="5"/>
        <v>7</v>
      </c>
    </row>
    <row r="172" spans="1:5" x14ac:dyDescent="0.25">
      <c r="A172" s="17">
        <f ca="1">INDEX(Stations,INT((ROWS(A$2:A172)-1)/(DATE(YEAR(Invoer!$A$5),12,31)-DATE(YEAR(Invoer!$A$5),1,1)+1))+2,1)</f>
        <v>81</v>
      </c>
      <c r="B172" t="str">
        <f ca="1">TEXT(DATE(YEAR(Invoer!$A$5),1,1)+MOD(ROWS(B$2:B172)-1,DATE(YEAR(Invoer!$A$5),12,31)-DATE(YEAR(Invoer!$A$5),1,1)+1),"jjjjmmdd")</f>
        <v>19400619</v>
      </c>
      <c r="C172" s="18">
        <v>1</v>
      </c>
      <c r="D172" s="23" t="str">
        <f t="shared" ca="1" si="4"/>
        <v>—</v>
      </c>
      <c r="E172" s="24">
        <f t="shared" ca="1" si="5"/>
        <v>7</v>
      </c>
    </row>
    <row r="173" spans="1:5" x14ac:dyDescent="0.25">
      <c r="A173" s="17">
        <f ca="1">INDEX(Stations,INT((ROWS(A$2:A173)-1)/(DATE(YEAR(Invoer!$A$5),12,31)-DATE(YEAR(Invoer!$A$5),1,1)+1))+2,1)</f>
        <v>81</v>
      </c>
      <c r="B173" t="str">
        <f ca="1">TEXT(DATE(YEAR(Invoer!$A$5),1,1)+MOD(ROWS(B$2:B173)-1,DATE(YEAR(Invoer!$A$5),12,31)-DATE(YEAR(Invoer!$A$5),1,1)+1),"jjjjmmdd")</f>
        <v>19400620</v>
      </c>
      <c r="C173" s="18">
        <v>1</v>
      </c>
      <c r="D173" s="23" t="str">
        <f t="shared" ca="1" si="4"/>
        <v>—</v>
      </c>
      <c r="E173" s="24">
        <f t="shared" ca="1" si="5"/>
        <v>7</v>
      </c>
    </row>
    <row r="174" spans="1:5" x14ac:dyDescent="0.25">
      <c r="A174" s="17">
        <f ca="1">INDEX(Stations,INT((ROWS(A$2:A174)-1)/(DATE(YEAR(Invoer!$A$5),12,31)-DATE(YEAR(Invoer!$A$5),1,1)+1))+2,1)</f>
        <v>81</v>
      </c>
      <c r="B174" t="str">
        <f ca="1">TEXT(DATE(YEAR(Invoer!$A$5),1,1)+MOD(ROWS(B$2:B174)-1,DATE(YEAR(Invoer!$A$5),12,31)-DATE(YEAR(Invoer!$A$5),1,1)+1),"jjjjmmdd")</f>
        <v>19400621</v>
      </c>
      <c r="C174" s="18">
        <v>1</v>
      </c>
      <c r="D174" s="23" t="str">
        <f t="shared" ca="1" si="4"/>
        <v>—</v>
      </c>
      <c r="E174" s="24">
        <f t="shared" ca="1" si="5"/>
        <v>7</v>
      </c>
    </row>
    <row r="175" spans="1:5" x14ac:dyDescent="0.25">
      <c r="A175" s="17">
        <f ca="1">INDEX(Stations,INT((ROWS(A$2:A175)-1)/(DATE(YEAR(Invoer!$A$5),12,31)-DATE(YEAR(Invoer!$A$5),1,1)+1))+2,1)</f>
        <v>81</v>
      </c>
      <c r="B175" t="str">
        <f ca="1">TEXT(DATE(YEAR(Invoer!$A$5),1,1)+MOD(ROWS(B$2:B175)-1,DATE(YEAR(Invoer!$A$5),12,31)-DATE(YEAR(Invoer!$A$5),1,1)+1),"jjjjmmdd")</f>
        <v>19400622</v>
      </c>
      <c r="C175" s="18">
        <v>1</v>
      </c>
      <c r="D175" s="23" t="str">
        <f t="shared" ca="1" si="4"/>
        <v>—</v>
      </c>
      <c r="E175" s="24">
        <f t="shared" ca="1" si="5"/>
        <v>7</v>
      </c>
    </row>
    <row r="176" spans="1:5" x14ac:dyDescent="0.25">
      <c r="A176" s="17">
        <f ca="1">INDEX(Stations,INT((ROWS(A$2:A176)-1)/(DATE(YEAR(Invoer!$A$5),12,31)-DATE(YEAR(Invoer!$A$5),1,1)+1))+2,1)</f>
        <v>81</v>
      </c>
      <c r="B176" t="str">
        <f ca="1">TEXT(DATE(YEAR(Invoer!$A$5),1,1)+MOD(ROWS(B$2:B176)-1,DATE(YEAR(Invoer!$A$5),12,31)-DATE(YEAR(Invoer!$A$5),1,1)+1),"jjjjmmdd")</f>
        <v>19400623</v>
      </c>
      <c r="C176" s="18">
        <v>1</v>
      </c>
      <c r="D176" s="23" t="str">
        <f t="shared" ca="1" si="4"/>
        <v>—</v>
      </c>
      <c r="E176" s="24">
        <f t="shared" ca="1" si="5"/>
        <v>7</v>
      </c>
    </row>
    <row r="177" spans="1:5" x14ac:dyDescent="0.25">
      <c r="A177" s="17">
        <f ca="1">INDEX(Stations,INT((ROWS(A$2:A177)-1)/(DATE(YEAR(Invoer!$A$5),12,31)-DATE(YEAR(Invoer!$A$5),1,1)+1))+2,1)</f>
        <v>81</v>
      </c>
      <c r="B177" t="str">
        <f ca="1">TEXT(DATE(YEAR(Invoer!$A$5),1,1)+MOD(ROWS(B$2:B177)-1,DATE(YEAR(Invoer!$A$5),12,31)-DATE(YEAR(Invoer!$A$5),1,1)+1),"jjjjmmdd")</f>
        <v>19400624</v>
      </c>
      <c r="C177" s="18">
        <v>1</v>
      </c>
      <c r="D177" s="23" t="str">
        <f t="shared" ca="1" si="4"/>
        <v>—</v>
      </c>
      <c r="E177" s="24">
        <f t="shared" ca="1" si="5"/>
        <v>7</v>
      </c>
    </row>
    <row r="178" spans="1:5" x14ac:dyDescent="0.25">
      <c r="A178" s="17">
        <f ca="1">INDEX(Stations,INT((ROWS(A$2:A178)-1)/(DATE(YEAR(Invoer!$A$5),12,31)-DATE(YEAR(Invoer!$A$5),1,1)+1))+2,1)</f>
        <v>81</v>
      </c>
      <c r="B178" t="str">
        <f ca="1">TEXT(DATE(YEAR(Invoer!$A$5),1,1)+MOD(ROWS(B$2:B178)-1,DATE(YEAR(Invoer!$A$5),12,31)-DATE(YEAR(Invoer!$A$5),1,1)+1),"jjjjmmdd")</f>
        <v>19400625</v>
      </c>
      <c r="C178" s="18">
        <v>1</v>
      </c>
      <c r="D178" s="23" t="str">
        <f t="shared" ca="1" si="4"/>
        <v>—</v>
      </c>
      <c r="E178" s="24">
        <f t="shared" ca="1" si="5"/>
        <v>7</v>
      </c>
    </row>
    <row r="179" spans="1:5" x14ac:dyDescent="0.25">
      <c r="A179" s="17">
        <f ca="1">INDEX(Stations,INT((ROWS(A$2:A179)-1)/(DATE(YEAR(Invoer!$A$5),12,31)-DATE(YEAR(Invoer!$A$5),1,1)+1))+2,1)</f>
        <v>81</v>
      </c>
      <c r="B179" t="str">
        <f ca="1">TEXT(DATE(YEAR(Invoer!$A$5),1,1)+MOD(ROWS(B$2:B179)-1,DATE(YEAR(Invoer!$A$5),12,31)-DATE(YEAR(Invoer!$A$5),1,1)+1),"jjjjmmdd")</f>
        <v>19400626</v>
      </c>
      <c r="C179" s="18">
        <v>1</v>
      </c>
      <c r="D179" s="23" t="str">
        <f t="shared" ca="1" si="4"/>
        <v>—</v>
      </c>
      <c r="E179" s="24">
        <f t="shared" ca="1" si="5"/>
        <v>7</v>
      </c>
    </row>
    <row r="180" spans="1:5" x14ac:dyDescent="0.25">
      <c r="A180" s="17">
        <f ca="1">INDEX(Stations,INT((ROWS(A$2:A180)-1)/(DATE(YEAR(Invoer!$A$5),12,31)-DATE(YEAR(Invoer!$A$5),1,1)+1))+2,1)</f>
        <v>81</v>
      </c>
      <c r="B180" t="str">
        <f ca="1">TEXT(DATE(YEAR(Invoer!$A$5),1,1)+MOD(ROWS(B$2:B180)-1,DATE(YEAR(Invoer!$A$5),12,31)-DATE(YEAR(Invoer!$A$5),1,1)+1),"jjjjmmdd")</f>
        <v>19400627</v>
      </c>
      <c r="C180" s="18">
        <v>1</v>
      </c>
      <c r="D180" s="23" t="str">
        <f t="shared" ca="1" si="4"/>
        <v>—</v>
      </c>
      <c r="E180" s="24">
        <f t="shared" ca="1" si="5"/>
        <v>7</v>
      </c>
    </row>
    <row r="181" spans="1:5" x14ac:dyDescent="0.25">
      <c r="A181" s="17">
        <f ca="1">INDEX(Stations,INT((ROWS(A$2:A181)-1)/(DATE(YEAR(Invoer!$A$5),12,31)-DATE(YEAR(Invoer!$A$5),1,1)+1))+2,1)</f>
        <v>81</v>
      </c>
      <c r="B181" t="str">
        <f ca="1">TEXT(DATE(YEAR(Invoer!$A$5),1,1)+MOD(ROWS(B$2:B181)-1,DATE(YEAR(Invoer!$A$5),12,31)-DATE(YEAR(Invoer!$A$5),1,1)+1),"jjjjmmdd")</f>
        <v>19400628</v>
      </c>
      <c r="C181" s="18">
        <v>1</v>
      </c>
      <c r="D181" s="23" t="str">
        <f t="shared" ca="1" si="4"/>
        <v>—</v>
      </c>
      <c r="E181" s="24">
        <f t="shared" ca="1" si="5"/>
        <v>7</v>
      </c>
    </row>
    <row r="182" spans="1:5" x14ac:dyDescent="0.25">
      <c r="A182" s="17">
        <f ca="1">INDEX(Stations,INT((ROWS(A$2:A182)-1)/(DATE(YEAR(Invoer!$A$5),12,31)-DATE(YEAR(Invoer!$A$5),1,1)+1))+2,1)</f>
        <v>81</v>
      </c>
      <c r="B182" t="str">
        <f ca="1">TEXT(DATE(YEAR(Invoer!$A$5),1,1)+MOD(ROWS(B$2:B182)-1,DATE(YEAR(Invoer!$A$5),12,31)-DATE(YEAR(Invoer!$A$5),1,1)+1),"jjjjmmdd")</f>
        <v>19400629</v>
      </c>
      <c r="C182" s="18">
        <v>1</v>
      </c>
      <c r="D182" s="23" t="str">
        <f t="shared" ca="1" si="4"/>
        <v>—</v>
      </c>
      <c r="E182" s="24">
        <f t="shared" ca="1" si="5"/>
        <v>7</v>
      </c>
    </row>
    <row r="183" spans="1:5" x14ac:dyDescent="0.25">
      <c r="A183" s="17">
        <f ca="1">INDEX(Stations,INT((ROWS(A$2:A183)-1)/(DATE(YEAR(Invoer!$A$5),12,31)-DATE(YEAR(Invoer!$A$5),1,1)+1))+2,1)</f>
        <v>81</v>
      </c>
      <c r="B183" t="str">
        <f ca="1">TEXT(DATE(YEAR(Invoer!$A$5),1,1)+MOD(ROWS(B$2:B183)-1,DATE(YEAR(Invoer!$A$5),12,31)-DATE(YEAR(Invoer!$A$5),1,1)+1),"jjjjmmdd")</f>
        <v>19400630</v>
      </c>
      <c r="C183" s="18">
        <v>1</v>
      </c>
      <c r="D183" s="23" t="str">
        <f t="shared" ca="1" si="4"/>
        <v>—</v>
      </c>
      <c r="E183" s="24">
        <f t="shared" ca="1" si="5"/>
        <v>7</v>
      </c>
    </row>
    <row r="184" spans="1:5" x14ac:dyDescent="0.25">
      <c r="A184" s="17">
        <f ca="1">INDEX(Stations,INT((ROWS(A$2:A184)-1)/(DATE(YEAR(Invoer!$A$5),12,31)-DATE(YEAR(Invoer!$A$5),1,1)+1))+2,1)</f>
        <v>81</v>
      </c>
      <c r="B184" t="str">
        <f ca="1">TEXT(DATE(YEAR(Invoer!$A$5),1,1)+MOD(ROWS(B$2:B184)-1,DATE(YEAR(Invoer!$A$5),12,31)-DATE(YEAR(Invoer!$A$5),1,1)+1),"jjjjmmdd")</f>
        <v>19400701</v>
      </c>
      <c r="C184" s="18">
        <v>1</v>
      </c>
      <c r="D184" s="23">
        <f t="shared" ca="1" si="4"/>
        <v>300</v>
      </c>
      <c r="E184" s="24">
        <f t="shared" ca="1" si="5"/>
        <v>0</v>
      </c>
    </row>
    <row r="185" spans="1:5" x14ac:dyDescent="0.25">
      <c r="A185" s="17">
        <f ca="1">INDEX(Stations,INT((ROWS(A$2:A185)-1)/(DATE(YEAR(Invoer!$A$5),12,31)-DATE(YEAR(Invoer!$A$5),1,1)+1))+2,1)</f>
        <v>81</v>
      </c>
      <c r="B185" t="str">
        <f ca="1">TEXT(DATE(YEAR(Invoer!$A$5),1,1)+MOD(ROWS(B$2:B185)-1,DATE(YEAR(Invoer!$A$5),12,31)-DATE(YEAR(Invoer!$A$5),1,1)+1),"jjjjmmdd")</f>
        <v>19400702</v>
      </c>
      <c r="C185" s="18">
        <v>1</v>
      </c>
      <c r="D185" s="23">
        <f t="shared" ca="1" si="4"/>
        <v>0</v>
      </c>
      <c r="E185" s="24">
        <f t="shared" ca="1" si="5"/>
        <v>0</v>
      </c>
    </row>
    <row r="186" spans="1:5" x14ac:dyDescent="0.25">
      <c r="A186" s="17">
        <f ca="1">INDEX(Stations,INT((ROWS(A$2:A186)-1)/(DATE(YEAR(Invoer!$A$5),12,31)-DATE(YEAR(Invoer!$A$5),1,1)+1))+2,1)</f>
        <v>81</v>
      </c>
      <c r="B186" t="str">
        <f ca="1">TEXT(DATE(YEAR(Invoer!$A$5),1,1)+MOD(ROWS(B$2:B186)-1,DATE(YEAR(Invoer!$A$5),12,31)-DATE(YEAR(Invoer!$A$5),1,1)+1),"jjjjmmdd")</f>
        <v>19400703</v>
      </c>
      <c r="C186" s="18">
        <v>1</v>
      </c>
      <c r="D186" s="23">
        <f t="shared" ca="1" si="4"/>
        <v>4</v>
      </c>
      <c r="E186" s="24">
        <f t="shared" ca="1" si="5"/>
        <v>0</v>
      </c>
    </row>
    <row r="187" spans="1:5" x14ac:dyDescent="0.25">
      <c r="A187" s="17">
        <f ca="1">INDEX(Stations,INT((ROWS(A$2:A187)-1)/(DATE(YEAR(Invoer!$A$5),12,31)-DATE(YEAR(Invoer!$A$5),1,1)+1))+2,1)</f>
        <v>81</v>
      </c>
      <c r="B187" t="str">
        <f ca="1">TEXT(DATE(YEAR(Invoer!$A$5),1,1)+MOD(ROWS(B$2:B187)-1,DATE(YEAR(Invoer!$A$5),12,31)-DATE(YEAR(Invoer!$A$5),1,1)+1),"jjjjmmdd")</f>
        <v>19400704</v>
      </c>
      <c r="C187" s="18">
        <v>1</v>
      </c>
      <c r="D187" s="23">
        <f t="shared" ca="1" si="4"/>
        <v>0</v>
      </c>
      <c r="E187" s="24">
        <f t="shared" ca="1" si="5"/>
        <v>0</v>
      </c>
    </row>
    <row r="188" spans="1:5" x14ac:dyDescent="0.25">
      <c r="A188" s="17">
        <f ca="1">INDEX(Stations,INT((ROWS(A$2:A188)-1)/(DATE(YEAR(Invoer!$A$5),12,31)-DATE(YEAR(Invoer!$A$5),1,1)+1))+2,1)</f>
        <v>81</v>
      </c>
      <c r="B188" t="str">
        <f ca="1">TEXT(DATE(YEAR(Invoer!$A$5),1,1)+MOD(ROWS(B$2:B188)-1,DATE(YEAR(Invoer!$A$5),12,31)-DATE(YEAR(Invoer!$A$5),1,1)+1),"jjjjmmdd")</f>
        <v>19400705</v>
      </c>
      <c r="C188" s="18">
        <v>1</v>
      </c>
      <c r="D188" s="23">
        <f t="shared" ca="1" si="4"/>
        <v>0</v>
      </c>
      <c r="E188" s="24">
        <f t="shared" ca="1" si="5"/>
        <v>0</v>
      </c>
    </row>
    <row r="189" spans="1:5" x14ac:dyDescent="0.25">
      <c r="A189" s="17">
        <f ca="1">INDEX(Stations,INT((ROWS(A$2:A189)-1)/(DATE(YEAR(Invoer!$A$5),12,31)-DATE(YEAR(Invoer!$A$5),1,1)+1))+2,1)</f>
        <v>81</v>
      </c>
      <c r="B189" t="str">
        <f ca="1">TEXT(DATE(YEAR(Invoer!$A$5),1,1)+MOD(ROWS(B$2:B189)-1,DATE(YEAR(Invoer!$A$5),12,31)-DATE(YEAR(Invoer!$A$5),1,1)+1),"jjjjmmdd")</f>
        <v>19400706</v>
      </c>
      <c r="C189" s="18">
        <v>1</v>
      </c>
      <c r="D189" s="23">
        <f t="shared" ca="1" si="4"/>
        <v>100</v>
      </c>
      <c r="E189" s="24">
        <f t="shared" ca="1" si="5"/>
        <v>0</v>
      </c>
    </row>
    <row r="190" spans="1:5" x14ac:dyDescent="0.25">
      <c r="A190" s="17">
        <f ca="1">INDEX(Stations,INT((ROWS(A$2:A190)-1)/(DATE(YEAR(Invoer!$A$5),12,31)-DATE(YEAR(Invoer!$A$5),1,1)+1))+2,1)</f>
        <v>81</v>
      </c>
      <c r="B190" t="str">
        <f ca="1">TEXT(DATE(YEAR(Invoer!$A$5),1,1)+MOD(ROWS(B$2:B190)-1,DATE(YEAR(Invoer!$A$5),12,31)-DATE(YEAR(Invoer!$A$5),1,1)+1),"jjjjmmdd")</f>
        <v>19400707</v>
      </c>
      <c r="C190" s="18">
        <v>1</v>
      </c>
      <c r="D190" s="23">
        <f t="shared" ca="1" si="4"/>
        <v>65</v>
      </c>
      <c r="E190" s="24">
        <f t="shared" ca="1" si="5"/>
        <v>0</v>
      </c>
    </row>
    <row r="191" spans="1:5" x14ac:dyDescent="0.25">
      <c r="A191" s="17">
        <f ca="1">INDEX(Stations,INT((ROWS(A$2:A191)-1)/(DATE(YEAR(Invoer!$A$5),12,31)-DATE(YEAR(Invoer!$A$5),1,1)+1))+2,1)</f>
        <v>81</v>
      </c>
      <c r="B191" t="str">
        <f ca="1">TEXT(DATE(YEAR(Invoer!$A$5),1,1)+MOD(ROWS(B$2:B191)-1,DATE(YEAR(Invoer!$A$5),12,31)-DATE(YEAR(Invoer!$A$5),1,1)+1),"jjjjmmdd")</f>
        <v>19400708</v>
      </c>
      <c r="C191" s="18">
        <v>1</v>
      </c>
      <c r="D191" s="23">
        <f t="shared" ca="1" si="4"/>
        <v>35</v>
      </c>
      <c r="E191" s="24">
        <f t="shared" ca="1" si="5"/>
        <v>0</v>
      </c>
    </row>
    <row r="192" spans="1:5" x14ac:dyDescent="0.25">
      <c r="A192" s="17">
        <f ca="1">INDEX(Stations,INT((ROWS(A$2:A192)-1)/(DATE(YEAR(Invoer!$A$5),12,31)-DATE(YEAR(Invoer!$A$5),1,1)+1))+2,1)</f>
        <v>81</v>
      </c>
      <c r="B192" t="str">
        <f ca="1">TEXT(DATE(YEAR(Invoer!$A$5),1,1)+MOD(ROWS(B$2:B192)-1,DATE(YEAR(Invoer!$A$5),12,31)-DATE(YEAR(Invoer!$A$5),1,1)+1),"jjjjmmdd")</f>
        <v>19400709</v>
      </c>
      <c r="C192" s="18">
        <v>1</v>
      </c>
      <c r="D192" s="23">
        <f t="shared" ca="1" si="4"/>
        <v>0</v>
      </c>
      <c r="E192" s="24">
        <f t="shared" ca="1" si="5"/>
        <v>0</v>
      </c>
    </row>
    <row r="193" spans="1:5" x14ac:dyDescent="0.25">
      <c r="A193" s="17">
        <f ca="1">INDEX(Stations,INT((ROWS(A$2:A193)-1)/(DATE(YEAR(Invoer!$A$5),12,31)-DATE(YEAR(Invoer!$A$5),1,1)+1))+2,1)</f>
        <v>81</v>
      </c>
      <c r="B193" t="str">
        <f ca="1">TEXT(DATE(YEAR(Invoer!$A$5),1,1)+MOD(ROWS(B$2:B193)-1,DATE(YEAR(Invoer!$A$5),12,31)-DATE(YEAR(Invoer!$A$5),1,1)+1),"jjjjmmdd")</f>
        <v>19400710</v>
      </c>
      <c r="C193" s="18">
        <v>1</v>
      </c>
      <c r="D193" s="23">
        <f t="shared" ca="1" si="4"/>
        <v>0</v>
      </c>
      <c r="E193" s="24">
        <f t="shared" ca="1" si="5"/>
        <v>0</v>
      </c>
    </row>
    <row r="194" spans="1:5" x14ac:dyDescent="0.25">
      <c r="A194" s="17">
        <f ca="1">INDEX(Stations,INT((ROWS(A$2:A194)-1)/(DATE(YEAR(Invoer!$A$5),12,31)-DATE(YEAR(Invoer!$A$5),1,1)+1))+2,1)</f>
        <v>81</v>
      </c>
      <c r="B194" t="str">
        <f ca="1">TEXT(DATE(YEAR(Invoer!$A$5),1,1)+MOD(ROWS(B$2:B194)-1,DATE(YEAR(Invoer!$A$5),12,31)-DATE(YEAR(Invoer!$A$5),1,1)+1),"jjjjmmdd")</f>
        <v>19400711</v>
      </c>
      <c r="C194" s="18">
        <v>1</v>
      </c>
      <c r="D194" s="23">
        <f t="shared" ref="D194:D257" ca="1" si="6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"—",VLOOKUP(DATEVALUE(LEFT(B194,4)&amp;"-"&amp;MID(B194,5,2)&amp;"-"&amp;RIGHT(B194,2)),Data,MATCH(VLOOKUP(A194,Stations,2,FALSE()),OFFSET(Data,1,0,1),0),FALSE()))</f>
        <v>60</v>
      </c>
      <c r="E194" s="24">
        <f t="shared" ref="E194:E257" ca="1" si="7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Lacking,IF(ISNA(MATCH(DATEVALUE(LEFT(B194,4)&amp;"-"&amp;MID(B194,5,2)&amp;"-"&amp;RIGHT(B194,2)),OFFSET(Catalogus,0,0,,1),0)),Ok,VLOOKUP(DATEVALUE(LEFT(B194,4)&amp;"-"&amp;MID(B194,5,2)&amp;"-"&amp;RIGHT(B194,2)),Catalogus,MATCH(VLOOKUP(A194,Stations,2,FALSE()),OFFSET(Catalogus,1,0,1),0),FALSE())))</f>
        <v>0</v>
      </c>
    </row>
    <row r="195" spans="1:5" x14ac:dyDescent="0.25">
      <c r="A195" s="17">
        <f ca="1">INDEX(Stations,INT((ROWS(A$2:A195)-1)/(DATE(YEAR(Invoer!$A$5),12,31)-DATE(YEAR(Invoer!$A$5),1,1)+1))+2,1)</f>
        <v>81</v>
      </c>
      <c r="B195" t="str">
        <f ca="1">TEXT(DATE(YEAR(Invoer!$A$5),1,1)+MOD(ROWS(B$2:B195)-1,DATE(YEAR(Invoer!$A$5),12,31)-DATE(YEAR(Invoer!$A$5),1,1)+1),"jjjjmmdd")</f>
        <v>19400712</v>
      </c>
      <c r="C195" s="18">
        <v>1</v>
      </c>
      <c r="D195" s="23">
        <f t="shared" ca="1" si="6"/>
        <v>35</v>
      </c>
      <c r="E195" s="24">
        <f t="shared" ca="1" si="7"/>
        <v>0</v>
      </c>
    </row>
    <row r="196" spans="1:5" x14ac:dyDescent="0.25">
      <c r="A196" s="17">
        <f ca="1">INDEX(Stations,INT((ROWS(A$2:A196)-1)/(DATE(YEAR(Invoer!$A$5),12,31)-DATE(YEAR(Invoer!$A$5),1,1)+1))+2,1)</f>
        <v>81</v>
      </c>
      <c r="B196" t="str">
        <f ca="1">TEXT(DATE(YEAR(Invoer!$A$5),1,1)+MOD(ROWS(B$2:B196)-1,DATE(YEAR(Invoer!$A$5),12,31)-DATE(YEAR(Invoer!$A$5),1,1)+1),"jjjjmmdd")</f>
        <v>19400713</v>
      </c>
      <c r="C196" s="18">
        <v>1</v>
      </c>
      <c r="D196" s="23">
        <f t="shared" ca="1" si="6"/>
        <v>5</v>
      </c>
      <c r="E196" s="24">
        <f t="shared" ca="1" si="7"/>
        <v>0</v>
      </c>
    </row>
    <row r="197" spans="1:5" x14ac:dyDescent="0.25">
      <c r="A197" s="17">
        <f ca="1">INDEX(Stations,INT((ROWS(A$2:A197)-1)/(DATE(YEAR(Invoer!$A$5),12,31)-DATE(YEAR(Invoer!$A$5),1,1)+1))+2,1)</f>
        <v>81</v>
      </c>
      <c r="B197" t="str">
        <f ca="1">TEXT(DATE(YEAR(Invoer!$A$5),1,1)+MOD(ROWS(B$2:B197)-1,DATE(YEAR(Invoer!$A$5),12,31)-DATE(YEAR(Invoer!$A$5),1,1)+1),"jjjjmmdd")</f>
        <v>19400714</v>
      </c>
      <c r="C197" s="18">
        <v>1</v>
      </c>
      <c r="D197" s="23">
        <f t="shared" ca="1" si="6"/>
        <v>0</v>
      </c>
      <c r="E197" s="24">
        <f t="shared" ca="1" si="7"/>
        <v>0</v>
      </c>
    </row>
    <row r="198" spans="1:5" x14ac:dyDescent="0.25">
      <c r="A198" s="17">
        <f ca="1">INDEX(Stations,INT((ROWS(A$2:A198)-1)/(DATE(YEAR(Invoer!$A$5),12,31)-DATE(YEAR(Invoer!$A$5),1,1)+1))+2,1)</f>
        <v>81</v>
      </c>
      <c r="B198" t="str">
        <f ca="1">TEXT(DATE(YEAR(Invoer!$A$5),1,1)+MOD(ROWS(B$2:B198)-1,DATE(YEAR(Invoer!$A$5),12,31)-DATE(YEAR(Invoer!$A$5),1,1)+1),"jjjjmmdd")</f>
        <v>19400715</v>
      </c>
      <c r="C198" s="18">
        <v>1</v>
      </c>
      <c r="D198" s="23">
        <f t="shared" ca="1" si="6"/>
        <v>35</v>
      </c>
      <c r="E198" s="24">
        <f t="shared" ca="1" si="7"/>
        <v>0</v>
      </c>
    </row>
    <row r="199" spans="1:5" x14ac:dyDescent="0.25">
      <c r="A199" s="17">
        <f ca="1">INDEX(Stations,INT((ROWS(A$2:A199)-1)/(DATE(YEAR(Invoer!$A$5),12,31)-DATE(YEAR(Invoer!$A$5),1,1)+1))+2,1)</f>
        <v>81</v>
      </c>
      <c r="B199" t="str">
        <f ca="1">TEXT(DATE(YEAR(Invoer!$A$5),1,1)+MOD(ROWS(B$2:B199)-1,DATE(YEAR(Invoer!$A$5),12,31)-DATE(YEAR(Invoer!$A$5),1,1)+1),"jjjjmmdd")</f>
        <v>19400716</v>
      </c>
      <c r="C199" s="18">
        <v>1</v>
      </c>
      <c r="D199" s="23">
        <f t="shared" ca="1" si="6"/>
        <v>55</v>
      </c>
      <c r="E199" s="24">
        <f t="shared" ca="1" si="7"/>
        <v>0</v>
      </c>
    </row>
    <row r="200" spans="1:5" x14ac:dyDescent="0.25">
      <c r="A200" s="17">
        <f ca="1">INDEX(Stations,INT((ROWS(A$2:A200)-1)/(DATE(YEAR(Invoer!$A$5),12,31)-DATE(YEAR(Invoer!$A$5),1,1)+1))+2,1)</f>
        <v>81</v>
      </c>
      <c r="B200" t="str">
        <f ca="1">TEXT(DATE(YEAR(Invoer!$A$5),1,1)+MOD(ROWS(B$2:B200)-1,DATE(YEAR(Invoer!$A$5),12,31)-DATE(YEAR(Invoer!$A$5),1,1)+1),"jjjjmmdd")</f>
        <v>19400717</v>
      </c>
      <c r="C200" s="18">
        <v>1</v>
      </c>
      <c r="D200" s="23">
        <f t="shared" ca="1" si="6"/>
        <v>85</v>
      </c>
      <c r="E200" s="24">
        <f t="shared" ca="1" si="7"/>
        <v>0</v>
      </c>
    </row>
    <row r="201" spans="1:5" x14ac:dyDescent="0.25">
      <c r="A201" s="17">
        <f ca="1">INDEX(Stations,INT((ROWS(A$2:A201)-1)/(DATE(YEAR(Invoer!$A$5),12,31)-DATE(YEAR(Invoer!$A$5),1,1)+1))+2,1)</f>
        <v>81</v>
      </c>
      <c r="B201" t="str">
        <f ca="1">TEXT(DATE(YEAR(Invoer!$A$5),1,1)+MOD(ROWS(B$2:B201)-1,DATE(YEAR(Invoer!$A$5),12,31)-DATE(YEAR(Invoer!$A$5),1,1)+1),"jjjjmmdd")</f>
        <v>19400718</v>
      </c>
      <c r="C201" s="18">
        <v>1</v>
      </c>
      <c r="D201" s="23">
        <f t="shared" ca="1" si="6"/>
        <v>5</v>
      </c>
      <c r="E201" s="24">
        <f t="shared" ca="1" si="7"/>
        <v>0</v>
      </c>
    </row>
    <row r="202" spans="1:5" x14ac:dyDescent="0.25">
      <c r="A202" s="17">
        <f ca="1">INDEX(Stations,INT((ROWS(A$2:A202)-1)/(DATE(YEAR(Invoer!$A$5),12,31)-DATE(YEAR(Invoer!$A$5),1,1)+1))+2,1)</f>
        <v>81</v>
      </c>
      <c r="B202" t="str">
        <f ca="1">TEXT(DATE(YEAR(Invoer!$A$5),1,1)+MOD(ROWS(B$2:B202)-1,DATE(YEAR(Invoer!$A$5),12,31)-DATE(YEAR(Invoer!$A$5),1,1)+1),"jjjjmmdd")</f>
        <v>19400719</v>
      </c>
      <c r="C202" s="18">
        <v>1</v>
      </c>
      <c r="D202" s="23">
        <f t="shared" ca="1" si="6"/>
        <v>0</v>
      </c>
      <c r="E202" s="24">
        <f t="shared" ca="1" si="7"/>
        <v>0</v>
      </c>
    </row>
    <row r="203" spans="1:5" x14ac:dyDescent="0.25">
      <c r="A203" s="17">
        <f ca="1">INDEX(Stations,INT((ROWS(A$2:A203)-1)/(DATE(YEAR(Invoer!$A$5),12,31)-DATE(YEAR(Invoer!$A$5),1,1)+1))+2,1)</f>
        <v>81</v>
      </c>
      <c r="B203" t="str">
        <f ca="1">TEXT(DATE(YEAR(Invoer!$A$5),1,1)+MOD(ROWS(B$2:B203)-1,DATE(YEAR(Invoer!$A$5),12,31)-DATE(YEAR(Invoer!$A$5),1,1)+1),"jjjjmmdd")</f>
        <v>19400720</v>
      </c>
      <c r="C203" s="18">
        <v>1</v>
      </c>
      <c r="D203" s="23">
        <f t="shared" ca="1" si="6"/>
        <v>33</v>
      </c>
      <c r="E203" s="24">
        <f t="shared" ca="1" si="7"/>
        <v>0</v>
      </c>
    </row>
    <row r="204" spans="1:5" x14ac:dyDescent="0.25">
      <c r="A204" s="17">
        <f ca="1">INDEX(Stations,INT((ROWS(A$2:A204)-1)/(DATE(YEAR(Invoer!$A$5),12,31)-DATE(YEAR(Invoer!$A$5),1,1)+1))+2,1)</f>
        <v>81</v>
      </c>
      <c r="B204" t="str">
        <f ca="1">TEXT(DATE(YEAR(Invoer!$A$5),1,1)+MOD(ROWS(B$2:B204)-1,DATE(YEAR(Invoer!$A$5),12,31)-DATE(YEAR(Invoer!$A$5),1,1)+1),"jjjjmmdd")</f>
        <v>19400721</v>
      </c>
      <c r="C204" s="18">
        <v>1</v>
      </c>
      <c r="D204" s="23">
        <f t="shared" ca="1" si="6"/>
        <v>15</v>
      </c>
      <c r="E204" s="24">
        <f t="shared" ca="1" si="7"/>
        <v>0</v>
      </c>
    </row>
    <row r="205" spans="1:5" x14ac:dyDescent="0.25">
      <c r="A205" s="17">
        <f ca="1">INDEX(Stations,INT((ROWS(A$2:A205)-1)/(DATE(YEAR(Invoer!$A$5),12,31)-DATE(YEAR(Invoer!$A$5),1,1)+1))+2,1)</f>
        <v>81</v>
      </c>
      <c r="B205" t="str">
        <f ca="1">TEXT(DATE(YEAR(Invoer!$A$5),1,1)+MOD(ROWS(B$2:B205)-1,DATE(YEAR(Invoer!$A$5),12,31)-DATE(YEAR(Invoer!$A$5),1,1)+1),"jjjjmmdd")</f>
        <v>19400722</v>
      </c>
      <c r="C205" s="18">
        <v>1</v>
      </c>
      <c r="D205" s="23">
        <f t="shared" ca="1" si="6"/>
        <v>57</v>
      </c>
      <c r="E205" s="24">
        <f t="shared" ca="1" si="7"/>
        <v>0</v>
      </c>
    </row>
    <row r="206" spans="1:5" x14ac:dyDescent="0.25">
      <c r="A206" s="17">
        <f ca="1">INDEX(Stations,INT((ROWS(A$2:A206)-1)/(DATE(YEAR(Invoer!$A$5),12,31)-DATE(YEAR(Invoer!$A$5),1,1)+1))+2,1)</f>
        <v>81</v>
      </c>
      <c r="B206" t="str">
        <f ca="1">TEXT(DATE(YEAR(Invoer!$A$5),1,1)+MOD(ROWS(B$2:B206)-1,DATE(YEAR(Invoer!$A$5),12,31)-DATE(YEAR(Invoer!$A$5),1,1)+1),"jjjjmmdd")</f>
        <v>19400723</v>
      </c>
      <c r="C206" s="18">
        <v>1</v>
      </c>
      <c r="D206" s="23">
        <f t="shared" ca="1" si="6"/>
        <v>35</v>
      </c>
      <c r="E206" s="24">
        <f t="shared" ca="1" si="7"/>
        <v>0</v>
      </c>
    </row>
    <row r="207" spans="1:5" x14ac:dyDescent="0.25">
      <c r="A207" s="17">
        <f ca="1">INDEX(Stations,INT((ROWS(A$2:A207)-1)/(DATE(YEAR(Invoer!$A$5),12,31)-DATE(YEAR(Invoer!$A$5),1,1)+1))+2,1)</f>
        <v>81</v>
      </c>
      <c r="B207" t="str">
        <f ca="1">TEXT(DATE(YEAR(Invoer!$A$5),1,1)+MOD(ROWS(B$2:B207)-1,DATE(YEAR(Invoer!$A$5),12,31)-DATE(YEAR(Invoer!$A$5),1,1)+1),"jjjjmmdd")</f>
        <v>19400724</v>
      </c>
      <c r="C207" s="18">
        <v>1</v>
      </c>
      <c r="D207" s="23">
        <f t="shared" ca="1" si="6"/>
        <v>45</v>
      </c>
      <c r="E207" s="24">
        <f t="shared" ca="1" si="7"/>
        <v>0</v>
      </c>
    </row>
    <row r="208" spans="1:5" x14ac:dyDescent="0.25">
      <c r="A208" s="17">
        <f ca="1">INDEX(Stations,INT((ROWS(A$2:A208)-1)/(DATE(YEAR(Invoer!$A$5),12,31)-DATE(YEAR(Invoer!$A$5),1,1)+1))+2,1)</f>
        <v>81</v>
      </c>
      <c r="B208" t="str">
        <f ca="1">TEXT(DATE(YEAR(Invoer!$A$5),1,1)+MOD(ROWS(B$2:B208)-1,DATE(YEAR(Invoer!$A$5),12,31)-DATE(YEAR(Invoer!$A$5),1,1)+1),"jjjjmmdd")</f>
        <v>19400725</v>
      </c>
      <c r="C208" s="18">
        <v>1</v>
      </c>
      <c r="D208" s="23">
        <f t="shared" ca="1" si="6"/>
        <v>8</v>
      </c>
      <c r="E208" s="24">
        <f t="shared" ca="1" si="7"/>
        <v>0</v>
      </c>
    </row>
    <row r="209" spans="1:5" x14ac:dyDescent="0.25">
      <c r="A209" s="17">
        <f ca="1">INDEX(Stations,INT((ROWS(A$2:A209)-1)/(DATE(YEAR(Invoer!$A$5),12,31)-DATE(YEAR(Invoer!$A$5),1,1)+1))+2,1)</f>
        <v>81</v>
      </c>
      <c r="B209" t="str">
        <f ca="1">TEXT(DATE(YEAR(Invoer!$A$5),1,1)+MOD(ROWS(B$2:B209)-1,DATE(YEAR(Invoer!$A$5),12,31)-DATE(YEAR(Invoer!$A$5),1,1)+1),"jjjjmmdd")</f>
        <v>19400726</v>
      </c>
      <c r="C209" s="18">
        <v>1</v>
      </c>
      <c r="D209" s="23">
        <f t="shared" ca="1" si="6"/>
        <v>0</v>
      </c>
      <c r="E209" s="24">
        <f t="shared" ca="1" si="7"/>
        <v>0</v>
      </c>
    </row>
    <row r="210" spans="1:5" x14ac:dyDescent="0.25">
      <c r="A210" s="17">
        <f ca="1">INDEX(Stations,INT((ROWS(A$2:A210)-1)/(DATE(YEAR(Invoer!$A$5),12,31)-DATE(YEAR(Invoer!$A$5),1,1)+1))+2,1)</f>
        <v>81</v>
      </c>
      <c r="B210" t="str">
        <f ca="1">TEXT(DATE(YEAR(Invoer!$A$5),1,1)+MOD(ROWS(B$2:B210)-1,DATE(YEAR(Invoer!$A$5),12,31)-DATE(YEAR(Invoer!$A$5),1,1)+1),"jjjjmmdd")</f>
        <v>19400727</v>
      </c>
      <c r="C210" s="18">
        <v>1</v>
      </c>
      <c r="D210" s="23">
        <f t="shared" ca="1" si="6"/>
        <v>12</v>
      </c>
      <c r="E210" s="24">
        <f t="shared" ca="1" si="7"/>
        <v>0</v>
      </c>
    </row>
    <row r="211" spans="1:5" x14ac:dyDescent="0.25">
      <c r="A211" s="17">
        <f ca="1">INDEX(Stations,INT((ROWS(A$2:A211)-1)/(DATE(YEAR(Invoer!$A$5),12,31)-DATE(YEAR(Invoer!$A$5),1,1)+1))+2,1)</f>
        <v>81</v>
      </c>
      <c r="B211" t="str">
        <f ca="1">TEXT(DATE(YEAR(Invoer!$A$5),1,1)+MOD(ROWS(B$2:B211)-1,DATE(YEAR(Invoer!$A$5),12,31)-DATE(YEAR(Invoer!$A$5),1,1)+1),"jjjjmmdd")</f>
        <v>19400728</v>
      </c>
      <c r="C211" s="18">
        <v>1</v>
      </c>
      <c r="D211" s="23">
        <f t="shared" ca="1" si="6"/>
        <v>0</v>
      </c>
      <c r="E211" s="24">
        <f t="shared" ca="1" si="7"/>
        <v>0</v>
      </c>
    </row>
    <row r="212" spans="1:5" x14ac:dyDescent="0.25">
      <c r="A212" s="17">
        <f ca="1">INDEX(Stations,INT((ROWS(A$2:A212)-1)/(DATE(YEAR(Invoer!$A$5),12,31)-DATE(YEAR(Invoer!$A$5),1,1)+1))+2,1)</f>
        <v>81</v>
      </c>
      <c r="B212" t="str">
        <f ca="1">TEXT(DATE(YEAR(Invoer!$A$5),1,1)+MOD(ROWS(B$2:B212)-1,DATE(YEAR(Invoer!$A$5),12,31)-DATE(YEAR(Invoer!$A$5),1,1)+1),"jjjjmmdd")</f>
        <v>19400729</v>
      </c>
      <c r="C212" s="18">
        <v>1</v>
      </c>
      <c r="D212" s="23">
        <f t="shared" ca="1" si="6"/>
        <v>0</v>
      </c>
      <c r="E212" s="24">
        <f t="shared" ca="1" si="7"/>
        <v>0</v>
      </c>
    </row>
    <row r="213" spans="1:5" x14ac:dyDescent="0.25">
      <c r="A213" s="17">
        <f ca="1">INDEX(Stations,INT((ROWS(A$2:A213)-1)/(DATE(YEAR(Invoer!$A$5),12,31)-DATE(YEAR(Invoer!$A$5),1,1)+1))+2,1)</f>
        <v>81</v>
      </c>
      <c r="B213" t="str">
        <f ca="1">TEXT(DATE(YEAR(Invoer!$A$5),1,1)+MOD(ROWS(B$2:B213)-1,DATE(YEAR(Invoer!$A$5),12,31)-DATE(YEAR(Invoer!$A$5),1,1)+1),"jjjjmmdd")</f>
        <v>19400730</v>
      </c>
      <c r="C213" s="18">
        <v>1</v>
      </c>
      <c r="D213" s="23">
        <f t="shared" ca="1" si="6"/>
        <v>0</v>
      </c>
      <c r="E213" s="24">
        <f t="shared" ca="1" si="7"/>
        <v>0</v>
      </c>
    </row>
    <row r="214" spans="1:5" x14ac:dyDescent="0.25">
      <c r="A214" s="17">
        <f ca="1">INDEX(Stations,INT((ROWS(A$2:A214)-1)/(DATE(YEAR(Invoer!$A$5),12,31)-DATE(YEAR(Invoer!$A$5),1,1)+1))+2,1)</f>
        <v>81</v>
      </c>
      <c r="B214" t="str">
        <f ca="1">TEXT(DATE(YEAR(Invoer!$A$5),1,1)+MOD(ROWS(B$2:B214)-1,DATE(YEAR(Invoer!$A$5),12,31)-DATE(YEAR(Invoer!$A$5),1,1)+1),"jjjjmmdd")</f>
        <v>19400731</v>
      </c>
      <c r="C214" s="18">
        <v>1</v>
      </c>
      <c r="D214" s="23">
        <f t="shared" ca="1" si="6"/>
        <v>0</v>
      </c>
      <c r="E214" s="24">
        <f t="shared" ca="1" si="7"/>
        <v>0</v>
      </c>
    </row>
    <row r="215" spans="1:5" x14ac:dyDescent="0.25">
      <c r="A215" s="17">
        <f ca="1">INDEX(Stations,INT((ROWS(A$2:A215)-1)/(DATE(YEAR(Invoer!$A$5),12,31)-DATE(YEAR(Invoer!$A$5),1,1)+1))+2,1)</f>
        <v>81</v>
      </c>
      <c r="B215" t="str">
        <f ca="1">TEXT(DATE(YEAR(Invoer!$A$5),1,1)+MOD(ROWS(B$2:B215)-1,DATE(YEAR(Invoer!$A$5),12,31)-DATE(YEAR(Invoer!$A$5),1,1)+1),"jjjjmmdd")</f>
        <v>19400801</v>
      </c>
      <c r="C215" s="18">
        <v>1</v>
      </c>
      <c r="D215" s="23">
        <f t="shared" ca="1" si="6"/>
        <v>0</v>
      </c>
      <c r="E215" s="24">
        <f t="shared" ca="1" si="7"/>
        <v>0</v>
      </c>
    </row>
    <row r="216" spans="1:5" x14ac:dyDescent="0.25">
      <c r="A216" s="17">
        <f ca="1">INDEX(Stations,INT((ROWS(A$2:A216)-1)/(DATE(YEAR(Invoer!$A$5),12,31)-DATE(YEAR(Invoer!$A$5),1,1)+1))+2,1)</f>
        <v>81</v>
      </c>
      <c r="B216" t="str">
        <f ca="1">TEXT(DATE(YEAR(Invoer!$A$5),1,1)+MOD(ROWS(B$2:B216)-1,DATE(YEAR(Invoer!$A$5),12,31)-DATE(YEAR(Invoer!$A$5),1,1)+1),"jjjjmmdd")</f>
        <v>19400802</v>
      </c>
      <c r="C216" s="18">
        <v>1</v>
      </c>
      <c r="D216" s="23">
        <f t="shared" ca="1" si="6"/>
        <v>16</v>
      </c>
      <c r="E216" s="24">
        <f t="shared" ca="1" si="7"/>
        <v>0</v>
      </c>
    </row>
    <row r="217" spans="1:5" x14ac:dyDescent="0.25">
      <c r="A217" s="17">
        <f ca="1">INDEX(Stations,INT((ROWS(A$2:A217)-1)/(DATE(YEAR(Invoer!$A$5),12,31)-DATE(YEAR(Invoer!$A$5),1,1)+1))+2,1)</f>
        <v>81</v>
      </c>
      <c r="B217" t="str">
        <f ca="1">TEXT(DATE(YEAR(Invoer!$A$5),1,1)+MOD(ROWS(B$2:B217)-1,DATE(YEAR(Invoer!$A$5),12,31)-DATE(YEAR(Invoer!$A$5),1,1)+1),"jjjjmmdd")</f>
        <v>19400803</v>
      </c>
      <c r="C217" s="18">
        <v>1</v>
      </c>
      <c r="D217" s="23">
        <f t="shared" ca="1" si="6"/>
        <v>40</v>
      </c>
      <c r="E217" s="24">
        <f t="shared" ca="1" si="7"/>
        <v>0</v>
      </c>
    </row>
    <row r="218" spans="1:5" x14ac:dyDescent="0.25">
      <c r="A218" s="17">
        <f ca="1">INDEX(Stations,INT((ROWS(A$2:A218)-1)/(DATE(YEAR(Invoer!$A$5),12,31)-DATE(YEAR(Invoer!$A$5),1,1)+1))+2,1)</f>
        <v>81</v>
      </c>
      <c r="B218" t="str">
        <f ca="1">TEXT(DATE(YEAR(Invoer!$A$5),1,1)+MOD(ROWS(B$2:B218)-1,DATE(YEAR(Invoer!$A$5),12,31)-DATE(YEAR(Invoer!$A$5),1,1)+1),"jjjjmmdd")</f>
        <v>19400804</v>
      </c>
      <c r="C218" s="18">
        <v>1</v>
      </c>
      <c r="D218" s="23">
        <f t="shared" ca="1" si="6"/>
        <v>0</v>
      </c>
      <c r="E218" s="24">
        <f t="shared" ca="1" si="7"/>
        <v>0</v>
      </c>
    </row>
    <row r="219" spans="1:5" x14ac:dyDescent="0.25">
      <c r="A219" s="17">
        <f ca="1">INDEX(Stations,INT((ROWS(A$2:A219)-1)/(DATE(YEAR(Invoer!$A$5),12,31)-DATE(YEAR(Invoer!$A$5),1,1)+1))+2,1)</f>
        <v>81</v>
      </c>
      <c r="B219" t="str">
        <f ca="1">TEXT(DATE(YEAR(Invoer!$A$5),1,1)+MOD(ROWS(B$2:B219)-1,DATE(YEAR(Invoer!$A$5),12,31)-DATE(YEAR(Invoer!$A$5),1,1)+1),"jjjjmmdd")</f>
        <v>19400805</v>
      </c>
      <c r="C219" s="18">
        <v>1</v>
      </c>
      <c r="D219" s="23">
        <f t="shared" ca="1" si="6"/>
        <v>323</v>
      </c>
      <c r="E219" s="24">
        <f t="shared" ca="1" si="7"/>
        <v>0</v>
      </c>
    </row>
    <row r="220" spans="1:5" x14ac:dyDescent="0.25">
      <c r="A220" s="17">
        <f ca="1">INDEX(Stations,INT((ROWS(A$2:A220)-1)/(DATE(YEAR(Invoer!$A$5),12,31)-DATE(YEAR(Invoer!$A$5),1,1)+1))+2,1)</f>
        <v>81</v>
      </c>
      <c r="B220" t="str">
        <f ca="1">TEXT(DATE(YEAR(Invoer!$A$5),1,1)+MOD(ROWS(B$2:B220)-1,DATE(YEAR(Invoer!$A$5),12,31)-DATE(YEAR(Invoer!$A$5),1,1)+1),"jjjjmmdd")</f>
        <v>19400806</v>
      </c>
      <c r="C220" s="18">
        <v>1</v>
      </c>
      <c r="D220" s="23">
        <f t="shared" ca="1" si="6"/>
        <v>43</v>
      </c>
      <c r="E220" s="24">
        <f t="shared" ca="1" si="7"/>
        <v>0</v>
      </c>
    </row>
    <row r="221" spans="1:5" x14ac:dyDescent="0.25">
      <c r="A221" s="17">
        <f ca="1">INDEX(Stations,INT((ROWS(A$2:A221)-1)/(DATE(YEAR(Invoer!$A$5),12,31)-DATE(YEAR(Invoer!$A$5),1,1)+1))+2,1)</f>
        <v>81</v>
      </c>
      <c r="B221" t="str">
        <f ca="1">TEXT(DATE(YEAR(Invoer!$A$5),1,1)+MOD(ROWS(B$2:B221)-1,DATE(YEAR(Invoer!$A$5),12,31)-DATE(YEAR(Invoer!$A$5),1,1)+1),"jjjjmmdd")</f>
        <v>19400807</v>
      </c>
      <c r="C221" s="18">
        <v>1</v>
      </c>
      <c r="D221" s="23">
        <f t="shared" ca="1" si="6"/>
        <v>0</v>
      </c>
      <c r="E221" s="24">
        <f t="shared" ca="1" si="7"/>
        <v>0</v>
      </c>
    </row>
    <row r="222" spans="1:5" x14ac:dyDescent="0.25">
      <c r="A222" s="17">
        <f ca="1">INDEX(Stations,INT((ROWS(A$2:A222)-1)/(DATE(YEAR(Invoer!$A$5),12,31)-DATE(YEAR(Invoer!$A$5),1,1)+1))+2,1)</f>
        <v>81</v>
      </c>
      <c r="B222" t="str">
        <f ca="1">TEXT(DATE(YEAR(Invoer!$A$5),1,1)+MOD(ROWS(B$2:B222)-1,DATE(YEAR(Invoer!$A$5),12,31)-DATE(YEAR(Invoer!$A$5),1,1)+1),"jjjjmmdd")</f>
        <v>19400808</v>
      </c>
      <c r="C222" s="18">
        <v>1</v>
      </c>
      <c r="D222" s="23">
        <f t="shared" ca="1" si="6"/>
        <v>0</v>
      </c>
      <c r="E222" s="24">
        <f t="shared" ca="1" si="7"/>
        <v>0</v>
      </c>
    </row>
    <row r="223" spans="1:5" x14ac:dyDescent="0.25">
      <c r="A223" s="17">
        <f ca="1">INDEX(Stations,INT((ROWS(A$2:A223)-1)/(DATE(YEAR(Invoer!$A$5),12,31)-DATE(YEAR(Invoer!$A$5),1,1)+1))+2,1)</f>
        <v>81</v>
      </c>
      <c r="B223" t="str">
        <f ca="1">TEXT(DATE(YEAR(Invoer!$A$5),1,1)+MOD(ROWS(B$2:B223)-1,DATE(YEAR(Invoer!$A$5),12,31)-DATE(YEAR(Invoer!$A$5),1,1)+1),"jjjjmmdd")</f>
        <v>19400809</v>
      </c>
      <c r="C223" s="18">
        <v>1</v>
      </c>
      <c r="D223" s="23">
        <f t="shared" ca="1" si="6"/>
        <v>0</v>
      </c>
      <c r="E223" s="24">
        <f t="shared" ca="1" si="7"/>
        <v>0</v>
      </c>
    </row>
    <row r="224" spans="1:5" x14ac:dyDescent="0.25">
      <c r="A224" s="17">
        <f ca="1">INDEX(Stations,INT((ROWS(A$2:A224)-1)/(DATE(YEAR(Invoer!$A$5),12,31)-DATE(YEAR(Invoer!$A$5),1,1)+1))+2,1)</f>
        <v>81</v>
      </c>
      <c r="B224" t="str">
        <f ca="1">TEXT(DATE(YEAR(Invoer!$A$5),1,1)+MOD(ROWS(B$2:B224)-1,DATE(YEAR(Invoer!$A$5),12,31)-DATE(YEAR(Invoer!$A$5),1,1)+1),"jjjjmmdd")</f>
        <v>19400810</v>
      </c>
      <c r="C224" s="18">
        <v>1</v>
      </c>
      <c r="D224" s="23">
        <f t="shared" ca="1" si="6"/>
        <v>0</v>
      </c>
      <c r="E224" s="24">
        <f t="shared" ca="1" si="7"/>
        <v>0</v>
      </c>
    </row>
    <row r="225" spans="1:5" x14ac:dyDescent="0.25">
      <c r="A225" s="17">
        <f ca="1">INDEX(Stations,INT((ROWS(A$2:A225)-1)/(DATE(YEAR(Invoer!$A$5),12,31)-DATE(YEAR(Invoer!$A$5),1,1)+1))+2,1)</f>
        <v>81</v>
      </c>
      <c r="B225" t="str">
        <f ca="1">TEXT(DATE(YEAR(Invoer!$A$5),1,1)+MOD(ROWS(B$2:B225)-1,DATE(YEAR(Invoer!$A$5),12,31)-DATE(YEAR(Invoer!$A$5),1,1)+1),"jjjjmmdd")</f>
        <v>19400811</v>
      </c>
      <c r="C225" s="18">
        <v>1</v>
      </c>
      <c r="D225" s="23">
        <f t="shared" ca="1" si="6"/>
        <v>0</v>
      </c>
      <c r="E225" s="24">
        <f t="shared" ca="1" si="7"/>
        <v>0</v>
      </c>
    </row>
    <row r="226" spans="1:5" x14ac:dyDescent="0.25">
      <c r="A226" s="17">
        <f ca="1">INDEX(Stations,INT((ROWS(A$2:A226)-1)/(DATE(YEAR(Invoer!$A$5),12,31)-DATE(YEAR(Invoer!$A$5),1,1)+1))+2,1)</f>
        <v>81</v>
      </c>
      <c r="B226" t="str">
        <f ca="1">TEXT(DATE(YEAR(Invoer!$A$5),1,1)+MOD(ROWS(B$2:B226)-1,DATE(YEAR(Invoer!$A$5),12,31)-DATE(YEAR(Invoer!$A$5),1,1)+1),"jjjjmmdd")</f>
        <v>19400812</v>
      </c>
      <c r="C226" s="18">
        <v>1</v>
      </c>
      <c r="D226" s="23">
        <f t="shared" ca="1" si="6"/>
        <v>55</v>
      </c>
      <c r="E226" s="24">
        <f t="shared" ca="1" si="7"/>
        <v>0</v>
      </c>
    </row>
    <row r="227" spans="1:5" x14ac:dyDescent="0.25">
      <c r="A227" s="17">
        <f ca="1">INDEX(Stations,INT((ROWS(A$2:A227)-1)/(DATE(YEAR(Invoer!$A$5),12,31)-DATE(YEAR(Invoer!$A$5),1,1)+1))+2,1)</f>
        <v>81</v>
      </c>
      <c r="B227" t="str">
        <f ca="1">TEXT(DATE(YEAR(Invoer!$A$5),1,1)+MOD(ROWS(B$2:B227)-1,DATE(YEAR(Invoer!$A$5),12,31)-DATE(YEAR(Invoer!$A$5),1,1)+1),"jjjjmmdd")</f>
        <v>19400813</v>
      </c>
      <c r="C227" s="18">
        <v>1</v>
      </c>
      <c r="D227" s="23">
        <f t="shared" ca="1" si="6"/>
        <v>0</v>
      </c>
      <c r="E227" s="24">
        <f t="shared" ca="1" si="7"/>
        <v>0</v>
      </c>
    </row>
    <row r="228" spans="1:5" x14ac:dyDescent="0.25">
      <c r="A228" s="17">
        <f ca="1">INDEX(Stations,INT((ROWS(A$2:A228)-1)/(DATE(YEAR(Invoer!$A$5),12,31)-DATE(YEAR(Invoer!$A$5),1,1)+1))+2,1)</f>
        <v>81</v>
      </c>
      <c r="B228" t="str">
        <f ca="1">TEXT(DATE(YEAR(Invoer!$A$5),1,1)+MOD(ROWS(B$2:B228)-1,DATE(YEAR(Invoer!$A$5),12,31)-DATE(YEAR(Invoer!$A$5),1,1)+1),"jjjjmmdd")</f>
        <v>19400814</v>
      </c>
      <c r="C228" s="18">
        <v>1</v>
      </c>
      <c r="D228" s="23">
        <f t="shared" ca="1" si="6"/>
        <v>0</v>
      </c>
      <c r="E228" s="24">
        <f t="shared" ca="1" si="7"/>
        <v>0</v>
      </c>
    </row>
    <row r="229" spans="1:5" x14ac:dyDescent="0.25">
      <c r="A229" s="17">
        <f ca="1">INDEX(Stations,INT((ROWS(A$2:A229)-1)/(DATE(YEAR(Invoer!$A$5),12,31)-DATE(YEAR(Invoer!$A$5),1,1)+1))+2,1)</f>
        <v>81</v>
      </c>
      <c r="B229" t="str">
        <f ca="1">TEXT(DATE(YEAR(Invoer!$A$5),1,1)+MOD(ROWS(B$2:B229)-1,DATE(YEAR(Invoer!$A$5),12,31)-DATE(YEAR(Invoer!$A$5),1,1)+1),"jjjjmmdd")</f>
        <v>19400815</v>
      </c>
      <c r="C229" s="18">
        <v>1</v>
      </c>
      <c r="D229" s="23">
        <f t="shared" ca="1" si="6"/>
        <v>0</v>
      </c>
      <c r="E229" s="24">
        <f t="shared" ca="1" si="7"/>
        <v>0</v>
      </c>
    </row>
    <row r="230" spans="1:5" x14ac:dyDescent="0.25">
      <c r="A230" s="17">
        <f ca="1">INDEX(Stations,INT((ROWS(A$2:A230)-1)/(DATE(YEAR(Invoer!$A$5),12,31)-DATE(YEAR(Invoer!$A$5),1,1)+1))+2,1)</f>
        <v>81</v>
      </c>
      <c r="B230" t="str">
        <f ca="1">TEXT(DATE(YEAR(Invoer!$A$5),1,1)+MOD(ROWS(B$2:B230)-1,DATE(YEAR(Invoer!$A$5),12,31)-DATE(YEAR(Invoer!$A$5),1,1)+1),"jjjjmmdd")</f>
        <v>19400816</v>
      </c>
      <c r="C230" s="18">
        <v>1</v>
      </c>
      <c r="D230" s="23">
        <f t="shared" ca="1" si="6"/>
        <v>0</v>
      </c>
      <c r="E230" s="24">
        <f t="shared" ca="1" si="7"/>
        <v>0</v>
      </c>
    </row>
    <row r="231" spans="1:5" x14ac:dyDescent="0.25">
      <c r="A231" s="17">
        <f ca="1">INDEX(Stations,INT((ROWS(A$2:A231)-1)/(DATE(YEAR(Invoer!$A$5),12,31)-DATE(YEAR(Invoer!$A$5),1,1)+1))+2,1)</f>
        <v>81</v>
      </c>
      <c r="B231" t="str">
        <f ca="1">TEXT(DATE(YEAR(Invoer!$A$5),1,1)+MOD(ROWS(B$2:B231)-1,DATE(YEAR(Invoer!$A$5),12,31)-DATE(YEAR(Invoer!$A$5),1,1)+1),"jjjjmmdd")</f>
        <v>19400817</v>
      </c>
      <c r="C231" s="18">
        <v>1</v>
      </c>
      <c r="D231" s="23">
        <f t="shared" ca="1" si="6"/>
        <v>0</v>
      </c>
      <c r="E231" s="24">
        <f t="shared" ca="1" si="7"/>
        <v>0</v>
      </c>
    </row>
    <row r="232" spans="1:5" x14ac:dyDescent="0.25">
      <c r="A232" s="17">
        <f ca="1">INDEX(Stations,INT((ROWS(A$2:A232)-1)/(DATE(YEAR(Invoer!$A$5),12,31)-DATE(YEAR(Invoer!$A$5),1,1)+1))+2,1)</f>
        <v>81</v>
      </c>
      <c r="B232" t="str">
        <f ca="1">TEXT(DATE(YEAR(Invoer!$A$5),1,1)+MOD(ROWS(B$2:B232)-1,DATE(YEAR(Invoer!$A$5),12,31)-DATE(YEAR(Invoer!$A$5),1,1)+1),"jjjjmmdd")</f>
        <v>19400818</v>
      </c>
      <c r="C232" s="18">
        <v>1</v>
      </c>
      <c r="D232" s="23">
        <f t="shared" ca="1" si="6"/>
        <v>0</v>
      </c>
      <c r="E232" s="24">
        <f t="shared" ca="1" si="7"/>
        <v>0</v>
      </c>
    </row>
    <row r="233" spans="1:5" x14ac:dyDescent="0.25">
      <c r="A233" s="17">
        <f ca="1">INDEX(Stations,INT((ROWS(A$2:A233)-1)/(DATE(YEAR(Invoer!$A$5),12,31)-DATE(YEAR(Invoer!$A$5),1,1)+1))+2,1)</f>
        <v>81</v>
      </c>
      <c r="B233" t="str">
        <f ca="1">TEXT(DATE(YEAR(Invoer!$A$5),1,1)+MOD(ROWS(B$2:B233)-1,DATE(YEAR(Invoer!$A$5),12,31)-DATE(YEAR(Invoer!$A$5),1,1)+1),"jjjjmmdd")</f>
        <v>19400819</v>
      </c>
      <c r="C233" s="18">
        <v>1</v>
      </c>
      <c r="D233" s="23">
        <f t="shared" ca="1" si="6"/>
        <v>114</v>
      </c>
      <c r="E233" s="24">
        <f t="shared" ca="1" si="7"/>
        <v>0</v>
      </c>
    </row>
    <row r="234" spans="1:5" x14ac:dyDescent="0.25">
      <c r="A234" s="17">
        <f ca="1">INDEX(Stations,INT((ROWS(A$2:A234)-1)/(DATE(YEAR(Invoer!$A$5),12,31)-DATE(YEAR(Invoer!$A$5),1,1)+1))+2,1)</f>
        <v>81</v>
      </c>
      <c r="B234" t="str">
        <f ca="1">TEXT(DATE(YEAR(Invoer!$A$5),1,1)+MOD(ROWS(B$2:B234)-1,DATE(YEAR(Invoer!$A$5),12,31)-DATE(YEAR(Invoer!$A$5),1,1)+1),"jjjjmmdd")</f>
        <v>19400820</v>
      </c>
      <c r="C234" s="18">
        <v>1</v>
      </c>
      <c r="D234" s="23">
        <f t="shared" ca="1" si="6"/>
        <v>0</v>
      </c>
      <c r="E234" s="24">
        <f t="shared" ca="1" si="7"/>
        <v>0</v>
      </c>
    </row>
    <row r="235" spans="1:5" x14ac:dyDescent="0.25">
      <c r="A235" s="17">
        <f ca="1">INDEX(Stations,INT((ROWS(A$2:A235)-1)/(DATE(YEAR(Invoer!$A$5),12,31)-DATE(YEAR(Invoer!$A$5),1,1)+1))+2,1)</f>
        <v>81</v>
      </c>
      <c r="B235" t="str">
        <f ca="1">TEXT(DATE(YEAR(Invoer!$A$5),1,1)+MOD(ROWS(B$2:B235)-1,DATE(YEAR(Invoer!$A$5),12,31)-DATE(YEAR(Invoer!$A$5),1,1)+1),"jjjjmmdd")</f>
        <v>19400821</v>
      </c>
      <c r="C235" s="18">
        <v>1</v>
      </c>
      <c r="D235" s="23">
        <f t="shared" ca="1" si="6"/>
        <v>0</v>
      </c>
      <c r="E235" s="24">
        <f t="shared" ca="1" si="7"/>
        <v>0</v>
      </c>
    </row>
    <row r="236" spans="1:5" x14ac:dyDescent="0.25">
      <c r="A236" s="17">
        <f ca="1">INDEX(Stations,INT((ROWS(A$2:A236)-1)/(DATE(YEAR(Invoer!$A$5),12,31)-DATE(YEAR(Invoer!$A$5),1,1)+1))+2,1)</f>
        <v>81</v>
      </c>
      <c r="B236" t="str">
        <f ca="1">TEXT(DATE(YEAR(Invoer!$A$5),1,1)+MOD(ROWS(B$2:B236)-1,DATE(YEAR(Invoer!$A$5),12,31)-DATE(YEAR(Invoer!$A$5),1,1)+1),"jjjjmmdd")</f>
        <v>19400822</v>
      </c>
      <c r="C236" s="18">
        <v>1</v>
      </c>
      <c r="D236" s="23">
        <f t="shared" ca="1" si="6"/>
        <v>0</v>
      </c>
      <c r="E236" s="24">
        <f t="shared" ca="1" si="7"/>
        <v>0</v>
      </c>
    </row>
    <row r="237" spans="1:5" x14ac:dyDescent="0.25">
      <c r="A237" s="17">
        <f ca="1">INDEX(Stations,INT((ROWS(A$2:A237)-1)/(DATE(YEAR(Invoer!$A$5),12,31)-DATE(YEAR(Invoer!$A$5),1,1)+1))+2,1)</f>
        <v>81</v>
      </c>
      <c r="B237" t="str">
        <f ca="1">TEXT(DATE(YEAR(Invoer!$A$5),1,1)+MOD(ROWS(B$2:B237)-1,DATE(YEAR(Invoer!$A$5),12,31)-DATE(YEAR(Invoer!$A$5),1,1)+1),"jjjjmmdd")</f>
        <v>19400823</v>
      </c>
      <c r="C237" s="18">
        <v>1</v>
      </c>
      <c r="D237" s="23">
        <f t="shared" ca="1" si="6"/>
        <v>0</v>
      </c>
      <c r="E237" s="24">
        <f t="shared" ca="1" si="7"/>
        <v>0</v>
      </c>
    </row>
    <row r="238" spans="1:5" x14ac:dyDescent="0.25">
      <c r="A238" s="17">
        <f ca="1">INDEX(Stations,INT((ROWS(A$2:A238)-1)/(DATE(YEAR(Invoer!$A$5),12,31)-DATE(YEAR(Invoer!$A$5),1,1)+1))+2,1)</f>
        <v>81</v>
      </c>
      <c r="B238" t="str">
        <f ca="1">TEXT(DATE(YEAR(Invoer!$A$5),1,1)+MOD(ROWS(B$2:B238)-1,DATE(YEAR(Invoer!$A$5),12,31)-DATE(YEAR(Invoer!$A$5),1,1)+1),"jjjjmmdd")</f>
        <v>19400824</v>
      </c>
      <c r="C238" s="18">
        <v>1</v>
      </c>
      <c r="D238" s="23">
        <f t="shared" ca="1" si="6"/>
        <v>0</v>
      </c>
      <c r="E238" s="24">
        <f t="shared" ca="1" si="7"/>
        <v>0</v>
      </c>
    </row>
    <row r="239" spans="1:5" x14ac:dyDescent="0.25">
      <c r="A239" s="17">
        <f ca="1">INDEX(Stations,INT((ROWS(A$2:A239)-1)/(DATE(YEAR(Invoer!$A$5),12,31)-DATE(YEAR(Invoer!$A$5),1,1)+1))+2,1)</f>
        <v>81</v>
      </c>
      <c r="B239" t="str">
        <f ca="1">TEXT(DATE(YEAR(Invoer!$A$5),1,1)+MOD(ROWS(B$2:B239)-1,DATE(YEAR(Invoer!$A$5),12,31)-DATE(YEAR(Invoer!$A$5),1,1)+1),"jjjjmmdd")</f>
        <v>19400825</v>
      </c>
      <c r="C239" s="18">
        <v>1</v>
      </c>
      <c r="D239" s="23">
        <f t="shared" ca="1" si="6"/>
        <v>20</v>
      </c>
      <c r="E239" s="24">
        <f t="shared" ca="1" si="7"/>
        <v>0</v>
      </c>
    </row>
    <row r="240" spans="1:5" x14ac:dyDescent="0.25">
      <c r="A240" s="17">
        <f ca="1">INDEX(Stations,INT((ROWS(A$2:A240)-1)/(DATE(YEAR(Invoer!$A$5),12,31)-DATE(YEAR(Invoer!$A$5),1,1)+1))+2,1)</f>
        <v>81</v>
      </c>
      <c r="B240" t="str">
        <f ca="1">TEXT(DATE(YEAR(Invoer!$A$5),1,1)+MOD(ROWS(B$2:B240)-1,DATE(YEAR(Invoer!$A$5),12,31)-DATE(YEAR(Invoer!$A$5),1,1)+1),"jjjjmmdd")</f>
        <v>19400826</v>
      </c>
      <c r="C240" s="18">
        <v>1</v>
      </c>
      <c r="D240" s="23">
        <f t="shared" ca="1" si="6"/>
        <v>0</v>
      </c>
      <c r="E240" s="24">
        <f t="shared" ca="1" si="7"/>
        <v>0</v>
      </c>
    </row>
    <row r="241" spans="1:5" x14ac:dyDescent="0.25">
      <c r="A241" s="17">
        <f ca="1">INDEX(Stations,INT((ROWS(A$2:A241)-1)/(DATE(YEAR(Invoer!$A$5),12,31)-DATE(YEAR(Invoer!$A$5),1,1)+1))+2,1)</f>
        <v>81</v>
      </c>
      <c r="B241" t="str">
        <f ca="1">TEXT(DATE(YEAR(Invoer!$A$5),1,1)+MOD(ROWS(B$2:B241)-1,DATE(YEAR(Invoer!$A$5),12,31)-DATE(YEAR(Invoer!$A$5),1,1)+1),"jjjjmmdd")</f>
        <v>19400827</v>
      </c>
      <c r="C241" s="18">
        <v>1</v>
      </c>
      <c r="D241" s="23">
        <f t="shared" ca="1" si="6"/>
        <v>10</v>
      </c>
      <c r="E241" s="24">
        <f t="shared" ca="1" si="7"/>
        <v>0</v>
      </c>
    </row>
    <row r="242" spans="1:5" x14ac:dyDescent="0.25">
      <c r="A242" s="17">
        <f ca="1">INDEX(Stations,INT((ROWS(A$2:A242)-1)/(DATE(YEAR(Invoer!$A$5),12,31)-DATE(YEAR(Invoer!$A$5),1,1)+1))+2,1)</f>
        <v>81</v>
      </c>
      <c r="B242" t="str">
        <f ca="1">TEXT(DATE(YEAR(Invoer!$A$5),1,1)+MOD(ROWS(B$2:B242)-1,DATE(YEAR(Invoer!$A$5),12,31)-DATE(YEAR(Invoer!$A$5),1,1)+1),"jjjjmmdd")</f>
        <v>19400828</v>
      </c>
      <c r="C242" s="18">
        <v>1</v>
      </c>
      <c r="D242" s="23">
        <f t="shared" ca="1" si="6"/>
        <v>0</v>
      </c>
      <c r="E242" s="24">
        <f t="shared" ca="1" si="7"/>
        <v>0</v>
      </c>
    </row>
    <row r="243" spans="1:5" x14ac:dyDescent="0.25">
      <c r="A243" s="17">
        <f ca="1">INDEX(Stations,INT((ROWS(A$2:A243)-1)/(DATE(YEAR(Invoer!$A$5),12,31)-DATE(YEAR(Invoer!$A$5),1,1)+1))+2,1)</f>
        <v>81</v>
      </c>
      <c r="B243" t="str">
        <f ca="1">TEXT(DATE(YEAR(Invoer!$A$5),1,1)+MOD(ROWS(B$2:B243)-1,DATE(YEAR(Invoer!$A$5),12,31)-DATE(YEAR(Invoer!$A$5),1,1)+1),"jjjjmmdd")</f>
        <v>19400829</v>
      </c>
      <c r="C243" s="18">
        <v>1</v>
      </c>
      <c r="D243" s="23">
        <f t="shared" ca="1" si="6"/>
        <v>0</v>
      </c>
      <c r="E243" s="24">
        <f t="shared" ca="1" si="7"/>
        <v>0</v>
      </c>
    </row>
    <row r="244" spans="1:5" x14ac:dyDescent="0.25">
      <c r="A244" s="17">
        <f ca="1">INDEX(Stations,INT((ROWS(A$2:A244)-1)/(DATE(YEAR(Invoer!$A$5),12,31)-DATE(YEAR(Invoer!$A$5),1,1)+1))+2,1)</f>
        <v>81</v>
      </c>
      <c r="B244" t="str">
        <f ca="1">TEXT(DATE(YEAR(Invoer!$A$5),1,1)+MOD(ROWS(B$2:B244)-1,DATE(YEAR(Invoer!$A$5),12,31)-DATE(YEAR(Invoer!$A$5),1,1)+1),"jjjjmmdd")</f>
        <v>19400830</v>
      </c>
      <c r="C244" s="18">
        <v>1</v>
      </c>
      <c r="D244" s="23">
        <f t="shared" ca="1" si="6"/>
        <v>0</v>
      </c>
      <c r="E244" s="24">
        <f t="shared" ca="1" si="7"/>
        <v>0</v>
      </c>
    </row>
    <row r="245" spans="1:5" x14ac:dyDescent="0.25">
      <c r="A245" s="17">
        <f ca="1">INDEX(Stations,INT((ROWS(A$2:A245)-1)/(DATE(YEAR(Invoer!$A$5),12,31)-DATE(YEAR(Invoer!$A$5),1,1)+1))+2,1)</f>
        <v>81</v>
      </c>
      <c r="B245" t="str">
        <f ca="1">TEXT(DATE(YEAR(Invoer!$A$5),1,1)+MOD(ROWS(B$2:B245)-1,DATE(YEAR(Invoer!$A$5),12,31)-DATE(YEAR(Invoer!$A$5),1,1)+1),"jjjjmmdd")</f>
        <v>19400831</v>
      </c>
      <c r="C245" s="18">
        <v>1</v>
      </c>
      <c r="D245" s="23">
        <f t="shared" ca="1" si="6"/>
        <v>290</v>
      </c>
      <c r="E245" s="24">
        <f t="shared" ca="1" si="7"/>
        <v>0</v>
      </c>
    </row>
    <row r="246" spans="1:5" x14ac:dyDescent="0.25">
      <c r="A246" s="17">
        <f ca="1">INDEX(Stations,INT((ROWS(A$2:A246)-1)/(DATE(YEAR(Invoer!$A$5),12,31)-DATE(YEAR(Invoer!$A$5),1,1)+1))+2,1)</f>
        <v>81</v>
      </c>
      <c r="B246" t="str">
        <f ca="1">TEXT(DATE(YEAR(Invoer!$A$5),1,1)+MOD(ROWS(B$2:B246)-1,DATE(YEAR(Invoer!$A$5),12,31)-DATE(YEAR(Invoer!$A$5),1,1)+1),"jjjjmmdd")</f>
        <v>19400901</v>
      </c>
      <c r="C246" s="18">
        <v>1</v>
      </c>
      <c r="D246" s="23">
        <f t="shared" ca="1" si="6"/>
        <v>0</v>
      </c>
      <c r="E246" s="24">
        <f t="shared" ca="1" si="7"/>
        <v>0</v>
      </c>
    </row>
    <row r="247" spans="1:5" x14ac:dyDescent="0.25">
      <c r="A247" s="17">
        <f ca="1">INDEX(Stations,INT((ROWS(A$2:A247)-1)/(DATE(YEAR(Invoer!$A$5),12,31)-DATE(YEAR(Invoer!$A$5),1,1)+1))+2,1)</f>
        <v>81</v>
      </c>
      <c r="B247" t="str">
        <f ca="1">TEXT(DATE(YEAR(Invoer!$A$5),1,1)+MOD(ROWS(B$2:B247)-1,DATE(YEAR(Invoer!$A$5),12,31)-DATE(YEAR(Invoer!$A$5),1,1)+1),"jjjjmmdd")</f>
        <v>19400902</v>
      </c>
      <c r="C247" s="18">
        <v>1</v>
      </c>
      <c r="D247" s="23">
        <f t="shared" ca="1" si="6"/>
        <v>0</v>
      </c>
      <c r="E247" s="24">
        <f t="shared" ca="1" si="7"/>
        <v>0</v>
      </c>
    </row>
    <row r="248" spans="1:5" x14ac:dyDescent="0.25">
      <c r="A248" s="17">
        <f ca="1">INDEX(Stations,INT((ROWS(A$2:A248)-1)/(DATE(YEAR(Invoer!$A$5),12,31)-DATE(YEAR(Invoer!$A$5),1,1)+1))+2,1)</f>
        <v>81</v>
      </c>
      <c r="B248" t="str">
        <f ca="1">TEXT(DATE(YEAR(Invoer!$A$5),1,1)+MOD(ROWS(B$2:B248)-1,DATE(YEAR(Invoer!$A$5),12,31)-DATE(YEAR(Invoer!$A$5),1,1)+1),"jjjjmmdd")</f>
        <v>19400903</v>
      </c>
      <c r="C248" s="18">
        <v>1</v>
      </c>
      <c r="D248" s="23">
        <f t="shared" ca="1" si="6"/>
        <v>0</v>
      </c>
      <c r="E248" s="24">
        <f t="shared" ca="1" si="7"/>
        <v>0</v>
      </c>
    </row>
    <row r="249" spans="1:5" x14ac:dyDescent="0.25">
      <c r="A249" s="17">
        <f ca="1">INDEX(Stations,INT((ROWS(A$2:A249)-1)/(DATE(YEAR(Invoer!$A$5),12,31)-DATE(YEAR(Invoer!$A$5),1,1)+1))+2,1)</f>
        <v>81</v>
      </c>
      <c r="B249" t="str">
        <f ca="1">TEXT(DATE(YEAR(Invoer!$A$5),1,1)+MOD(ROWS(B$2:B249)-1,DATE(YEAR(Invoer!$A$5),12,31)-DATE(YEAR(Invoer!$A$5),1,1)+1),"jjjjmmdd")</f>
        <v>19400904</v>
      </c>
      <c r="C249" s="18">
        <v>1</v>
      </c>
      <c r="D249" s="23">
        <f t="shared" ca="1" si="6"/>
        <v>0</v>
      </c>
      <c r="E249" s="24">
        <f t="shared" ca="1" si="7"/>
        <v>0</v>
      </c>
    </row>
    <row r="250" spans="1:5" x14ac:dyDescent="0.25">
      <c r="A250" s="17">
        <f ca="1">INDEX(Stations,INT((ROWS(A$2:A250)-1)/(DATE(YEAR(Invoer!$A$5),12,31)-DATE(YEAR(Invoer!$A$5),1,1)+1))+2,1)</f>
        <v>81</v>
      </c>
      <c r="B250" t="str">
        <f ca="1">TEXT(DATE(YEAR(Invoer!$A$5),1,1)+MOD(ROWS(B$2:B250)-1,DATE(YEAR(Invoer!$A$5),12,31)-DATE(YEAR(Invoer!$A$5),1,1)+1),"jjjjmmdd")</f>
        <v>19400905</v>
      </c>
      <c r="C250" s="18">
        <v>1</v>
      </c>
      <c r="D250" s="23">
        <f t="shared" ca="1" si="6"/>
        <v>0</v>
      </c>
      <c r="E250" s="24">
        <f t="shared" ca="1" si="7"/>
        <v>0</v>
      </c>
    </row>
    <row r="251" spans="1:5" x14ac:dyDescent="0.25">
      <c r="A251" s="17">
        <f ca="1">INDEX(Stations,INT((ROWS(A$2:A251)-1)/(DATE(YEAR(Invoer!$A$5),12,31)-DATE(YEAR(Invoer!$A$5),1,1)+1))+2,1)</f>
        <v>81</v>
      </c>
      <c r="B251" t="str">
        <f ca="1">TEXT(DATE(YEAR(Invoer!$A$5),1,1)+MOD(ROWS(B$2:B251)-1,DATE(YEAR(Invoer!$A$5),12,31)-DATE(YEAR(Invoer!$A$5),1,1)+1),"jjjjmmdd")</f>
        <v>19400906</v>
      </c>
      <c r="C251" s="18">
        <v>1</v>
      </c>
      <c r="D251" s="23">
        <f t="shared" ca="1" si="6"/>
        <v>305</v>
      </c>
      <c r="E251" s="24">
        <f t="shared" ca="1" si="7"/>
        <v>0</v>
      </c>
    </row>
    <row r="252" spans="1:5" x14ac:dyDescent="0.25">
      <c r="A252" s="17">
        <f ca="1">INDEX(Stations,INT((ROWS(A$2:A252)-1)/(DATE(YEAR(Invoer!$A$5),12,31)-DATE(YEAR(Invoer!$A$5),1,1)+1))+2,1)</f>
        <v>81</v>
      </c>
      <c r="B252" t="str">
        <f ca="1">TEXT(DATE(YEAR(Invoer!$A$5),1,1)+MOD(ROWS(B$2:B252)-1,DATE(YEAR(Invoer!$A$5),12,31)-DATE(YEAR(Invoer!$A$5),1,1)+1),"jjjjmmdd")</f>
        <v>19400907</v>
      </c>
      <c r="C252" s="18">
        <v>1</v>
      </c>
      <c r="D252" s="23">
        <f t="shared" ca="1" si="6"/>
        <v>85</v>
      </c>
      <c r="E252" s="24">
        <f t="shared" ca="1" si="7"/>
        <v>0</v>
      </c>
    </row>
    <row r="253" spans="1:5" x14ac:dyDescent="0.25">
      <c r="A253" s="17">
        <f ca="1">INDEX(Stations,INT((ROWS(A$2:A253)-1)/(DATE(YEAR(Invoer!$A$5),12,31)-DATE(YEAR(Invoer!$A$5),1,1)+1))+2,1)</f>
        <v>81</v>
      </c>
      <c r="B253" t="str">
        <f ca="1">TEXT(DATE(YEAR(Invoer!$A$5),1,1)+MOD(ROWS(B$2:B253)-1,DATE(YEAR(Invoer!$A$5),12,31)-DATE(YEAR(Invoer!$A$5),1,1)+1),"jjjjmmdd")</f>
        <v>19400908</v>
      </c>
      <c r="C253" s="18">
        <v>1</v>
      </c>
      <c r="D253" s="23">
        <f t="shared" ca="1" si="6"/>
        <v>0</v>
      </c>
      <c r="E253" s="24">
        <f t="shared" ca="1" si="7"/>
        <v>0</v>
      </c>
    </row>
    <row r="254" spans="1:5" x14ac:dyDescent="0.25">
      <c r="A254" s="17">
        <f ca="1">INDEX(Stations,INT((ROWS(A$2:A254)-1)/(DATE(YEAR(Invoer!$A$5),12,31)-DATE(YEAR(Invoer!$A$5),1,1)+1))+2,1)</f>
        <v>81</v>
      </c>
      <c r="B254" t="str">
        <f ca="1">TEXT(DATE(YEAR(Invoer!$A$5),1,1)+MOD(ROWS(B$2:B254)-1,DATE(YEAR(Invoer!$A$5),12,31)-DATE(YEAR(Invoer!$A$5),1,1)+1),"jjjjmmdd")</f>
        <v>19400909</v>
      </c>
      <c r="C254" s="18">
        <v>1</v>
      </c>
      <c r="D254" s="23">
        <f t="shared" ca="1" si="6"/>
        <v>0</v>
      </c>
      <c r="E254" s="24">
        <f t="shared" ca="1" si="7"/>
        <v>0</v>
      </c>
    </row>
    <row r="255" spans="1:5" x14ac:dyDescent="0.25">
      <c r="A255" s="17">
        <f ca="1">INDEX(Stations,INT((ROWS(A$2:A255)-1)/(DATE(YEAR(Invoer!$A$5),12,31)-DATE(YEAR(Invoer!$A$5),1,1)+1))+2,1)</f>
        <v>81</v>
      </c>
      <c r="B255" t="str">
        <f ca="1">TEXT(DATE(YEAR(Invoer!$A$5),1,1)+MOD(ROWS(B$2:B255)-1,DATE(YEAR(Invoer!$A$5),12,31)-DATE(YEAR(Invoer!$A$5),1,1)+1),"jjjjmmdd")</f>
        <v>19400910</v>
      </c>
      <c r="C255" s="18">
        <v>1</v>
      </c>
      <c r="D255" s="23">
        <f t="shared" ca="1" si="6"/>
        <v>0</v>
      </c>
      <c r="E255" s="24">
        <f t="shared" ca="1" si="7"/>
        <v>0</v>
      </c>
    </row>
    <row r="256" spans="1:5" x14ac:dyDescent="0.25">
      <c r="A256" s="17">
        <f ca="1">INDEX(Stations,INT((ROWS(A$2:A256)-1)/(DATE(YEAR(Invoer!$A$5),12,31)-DATE(YEAR(Invoer!$A$5),1,1)+1))+2,1)</f>
        <v>81</v>
      </c>
      <c r="B256" t="str">
        <f ca="1">TEXT(DATE(YEAR(Invoer!$A$5),1,1)+MOD(ROWS(B$2:B256)-1,DATE(YEAR(Invoer!$A$5),12,31)-DATE(YEAR(Invoer!$A$5),1,1)+1),"jjjjmmdd")</f>
        <v>19400911</v>
      </c>
      <c r="C256" s="18">
        <v>1</v>
      </c>
      <c r="D256" s="23">
        <f t="shared" ca="1" si="6"/>
        <v>0</v>
      </c>
      <c r="E256" s="24">
        <f t="shared" ca="1" si="7"/>
        <v>0</v>
      </c>
    </row>
    <row r="257" spans="1:5" x14ac:dyDescent="0.25">
      <c r="A257" s="17">
        <f ca="1">INDEX(Stations,INT((ROWS(A$2:A257)-1)/(DATE(YEAR(Invoer!$A$5),12,31)-DATE(YEAR(Invoer!$A$5),1,1)+1))+2,1)</f>
        <v>81</v>
      </c>
      <c r="B257" t="str">
        <f ca="1">TEXT(DATE(YEAR(Invoer!$A$5),1,1)+MOD(ROWS(B$2:B257)-1,DATE(YEAR(Invoer!$A$5),12,31)-DATE(YEAR(Invoer!$A$5),1,1)+1),"jjjjmmdd")</f>
        <v>19400912</v>
      </c>
      <c r="C257" s="18">
        <v>1</v>
      </c>
      <c r="D257" s="23">
        <f t="shared" ca="1" si="6"/>
        <v>0</v>
      </c>
      <c r="E257" s="24">
        <f t="shared" ca="1" si="7"/>
        <v>0</v>
      </c>
    </row>
    <row r="258" spans="1:5" x14ac:dyDescent="0.25">
      <c r="A258" s="17">
        <f ca="1">INDEX(Stations,INT((ROWS(A$2:A258)-1)/(DATE(YEAR(Invoer!$A$5),12,31)-DATE(YEAR(Invoer!$A$5),1,1)+1))+2,1)</f>
        <v>81</v>
      </c>
      <c r="B258" t="str">
        <f ca="1">TEXT(DATE(YEAR(Invoer!$A$5),1,1)+MOD(ROWS(B$2:B258)-1,DATE(YEAR(Invoer!$A$5),12,31)-DATE(YEAR(Invoer!$A$5),1,1)+1),"jjjjmmdd")</f>
        <v>19400913</v>
      </c>
      <c r="C258" s="18">
        <v>1</v>
      </c>
      <c r="D258" s="23">
        <f t="shared" ref="D258:D321" ca="1" si="8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"—",VLOOKUP(DATEVALUE(LEFT(B258,4)&amp;"-"&amp;MID(B258,5,2)&amp;"-"&amp;RIGHT(B258,2)),Data,MATCH(VLOOKUP(A258,Stations,2,FALSE()),OFFSET(Data,1,0,1),0),FALSE()))</f>
        <v>0</v>
      </c>
      <c r="E258" s="24">
        <f t="shared" ref="E258:E321" ca="1" si="9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Lacking,IF(ISNA(MATCH(DATEVALUE(LEFT(B258,4)&amp;"-"&amp;MID(B258,5,2)&amp;"-"&amp;RIGHT(B258,2)),OFFSET(Catalogus,0,0,,1),0)),Ok,VLOOKUP(DATEVALUE(LEFT(B258,4)&amp;"-"&amp;MID(B258,5,2)&amp;"-"&amp;RIGHT(B258,2)),Catalogus,MATCH(VLOOKUP(A258,Stations,2,FALSE()),OFFSET(Catalogus,1,0,1),0),FALSE())))</f>
        <v>0</v>
      </c>
    </row>
    <row r="259" spans="1:5" x14ac:dyDescent="0.25">
      <c r="A259" s="17">
        <f ca="1">INDEX(Stations,INT((ROWS(A$2:A259)-1)/(DATE(YEAR(Invoer!$A$5),12,31)-DATE(YEAR(Invoer!$A$5),1,1)+1))+2,1)</f>
        <v>81</v>
      </c>
      <c r="B259" t="str">
        <f ca="1">TEXT(DATE(YEAR(Invoer!$A$5),1,1)+MOD(ROWS(B$2:B259)-1,DATE(YEAR(Invoer!$A$5),12,31)-DATE(YEAR(Invoer!$A$5),1,1)+1),"jjjjmmdd")</f>
        <v>19400914</v>
      </c>
      <c r="C259" s="18">
        <v>1</v>
      </c>
      <c r="D259" s="23">
        <f t="shared" ca="1" si="8"/>
        <v>0</v>
      </c>
      <c r="E259" s="24">
        <f t="shared" ca="1" si="9"/>
        <v>0</v>
      </c>
    </row>
    <row r="260" spans="1:5" x14ac:dyDescent="0.25">
      <c r="A260" s="17">
        <f ca="1">INDEX(Stations,INT((ROWS(A$2:A260)-1)/(DATE(YEAR(Invoer!$A$5),12,31)-DATE(YEAR(Invoer!$A$5),1,1)+1))+2,1)</f>
        <v>81</v>
      </c>
      <c r="B260" t="str">
        <f ca="1">TEXT(DATE(YEAR(Invoer!$A$5),1,1)+MOD(ROWS(B$2:B260)-1,DATE(YEAR(Invoer!$A$5),12,31)-DATE(YEAR(Invoer!$A$5),1,1)+1),"jjjjmmdd")</f>
        <v>19400915</v>
      </c>
      <c r="C260" s="18">
        <v>1</v>
      </c>
      <c r="D260" s="23">
        <f t="shared" ca="1" si="8"/>
        <v>0</v>
      </c>
      <c r="E260" s="24">
        <f t="shared" ca="1" si="9"/>
        <v>0</v>
      </c>
    </row>
    <row r="261" spans="1:5" x14ac:dyDescent="0.25">
      <c r="A261" s="17">
        <f ca="1">INDEX(Stations,INT((ROWS(A$2:A261)-1)/(DATE(YEAR(Invoer!$A$5),12,31)-DATE(YEAR(Invoer!$A$5),1,1)+1))+2,1)</f>
        <v>81</v>
      </c>
      <c r="B261" t="str">
        <f ca="1">TEXT(DATE(YEAR(Invoer!$A$5),1,1)+MOD(ROWS(B$2:B261)-1,DATE(YEAR(Invoer!$A$5),12,31)-DATE(YEAR(Invoer!$A$5),1,1)+1),"jjjjmmdd")</f>
        <v>19400916</v>
      </c>
      <c r="C261" s="18">
        <v>1</v>
      </c>
      <c r="D261" s="23">
        <f t="shared" ca="1" si="8"/>
        <v>0</v>
      </c>
      <c r="E261" s="24">
        <f t="shared" ca="1" si="9"/>
        <v>0</v>
      </c>
    </row>
    <row r="262" spans="1:5" x14ac:dyDescent="0.25">
      <c r="A262" s="17">
        <f ca="1">INDEX(Stations,INT((ROWS(A$2:A262)-1)/(DATE(YEAR(Invoer!$A$5),12,31)-DATE(YEAR(Invoer!$A$5),1,1)+1))+2,1)</f>
        <v>81</v>
      </c>
      <c r="B262" t="str">
        <f ca="1">TEXT(DATE(YEAR(Invoer!$A$5),1,1)+MOD(ROWS(B$2:B262)-1,DATE(YEAR(Invoer!$A$5),12,31)-DATE(YEAR(Invoer!$A$5),1,1)+1),"jjjjmmdd")</f>
        <v>19400917</v>
      </c>
      <c r="C262" s="18">
        <v>1</v>
      </c>
      <c r="D262" s="23">
        <f t="shared" ca="1" si="8"/>
        <v>100</v>
      </c>
      <c r="E262" s="24">
        <f t="shared" ca="1" si="9"/>
        <v>0</v>
      </c>
    </row>
    <row r="263" spans="1:5" x14ac:dyDescent="0.25">
      <c r="A263" s="17">
        <f ca="1">INDEX(Stations,INT((ROWS(A$2:A263)-1)/(DATE(YEAR(Invoer!$A$5),12,31)-DATE(YEAR(Invoer!$A$5),1,1)+1))+2,1)</f>
        <v>81</v>
      </c>
      <c r="B263" t="str">
        <f ca="1">TEXT(DATE(YEAR(Invoer!$A$5),1,1)+MOD(ROWS(B$2:B263)-1,DATE(YEAR(Invoer!$A$5),12,31)-DATE(YEAR(Invoer!$A$5),1,1)+1),"jjjjmmdd")</f>
        <v>19400918</v>
      </c>
      <c r="C263" s="18">
        <v>1</v>
      </c>
      <c r="D263" s="23">
        <f t="shared" ca="1" si="8"/>
        <v>150</v>
      </c>
      <c r="E263" s="24">
        <f t="shared" ca="1" si="9"/>
        <v>0</v>
      </c>
    </row>
    <row r="264" spans="1:5" x14ac:dyDescent="0.25">
      <c r="A264" s="17">
        <f ca="1">INDEX(Stations,INT((ROWS(A$2:A264)-1)/(DATE(YEAR(Invoer!$A$5),12,31)-DATE(YEAR(Invoer!$A$5),1,1)+1))+2,1)</f>
        <v>81</v>
      </c>
      <c r="B264" t="str">
        <f ca="1">TEXT(DATE(YEAR(Invoer!$A$5),1,1)+MOD(ROWS(B$2:B264)-1,DATE(YEAR(Invoer!$A$5),12,31)-DATE(YEAR(Invoer!$A$5),1,1)+1),"jjjjmmdd")</f>
        <v>19400919</v>
      </c>
      <c r="C264" s="18">
        <v>1</v>
      </c>
      <c r="D264" s="23">
        <f t="shared" ca="1" si="8"/>
        <v>0</v>
      </c>
      <c r="E264" s="24">
        <f t="shared" ca="1" si="9"/>
        <v>0</v>
      </c>
    </row>
    <row r="265" spans="1:5" x14ac:dyDescent="0.25">
      <c r="A265" s="17">
        <f ca="1">INDEX(Stations,INT((ROWS(A$2:A265)-1)/(DATE(YEAR(Invoer!$A$5),12,31)-DATE(YEAR(Invoer!$A$5),1,1)+1))+2,1)</f>
        <v>81</v>
      </c>
      <c r="B265" t="str">
        <f ca="1">TEXT(DATE(YEAR(Invoer!$A$5),1,1)+MOD(ROWS(B$2:B265)-1,DATE(YEAR(Invoer!$A$5),12,31)-DATE(YEAR(Invoer!$A$5),1,1)+1),"jjjjmmdd")</f>
        <v>19400920</v>
      </c>
      <c r="C265" s="18">
        <v>1</v>
      </c>
      <c r="D265" s="23">
        <f t="shared" ca="1" si="8"/>
        <v>0</v>
      </c>
      <c r="E265" s="24">
        <f t="shared" ca="1" si="9"/>
        <v>0</v>
      </c>
    </row>
    <row r="266" spans="1:5" x14ac:dyDescent="0.25">
      <c r="A266" s="17">
        <f ca="1">INDEX(Stations,INT((ROWS(A$2:A266)-1)/(DATE(YEAR(Invoer!$A$5),12,31)-DATE(YEAR(Invoer!$A$5),1,1)+1))+2,1)</f>
        <v>81</v>
      </c>
      <c r="B266" t="str">
        <f ca="1">TEXT(DATE(YEAR(Invoer!$A$5),1,1)+MOD(ROWS(B$2:B266)-1,DATE(YEAR(Invoer!$A$5),12,31)-DATE(YEAR(Invoer!$A$5),1,1)+1),"jjjjmmdd")</f>
        <v>19400921</v>
      </c>
      <c r="C266" s="18">
        <v>1</v>
      </c>
      <c r="D266" s="23">
        <f t="shared" ca="1" si="8"/>
        <v>50</v>
      </c>
      <c r="E266" s="24">
        <f t="shared" ca="1" si="9"/>
        <v>0</v>
      </c>
    </row>
    <row r="267" spans="1:5" x14ac:dyDescent="0.25">
      <c r="A267" s="17">
        <f ca="1">INDEX(Stations,INT((ROWS(A$2:A267)-1)/(DATE(YEAR(Invoer!$A$5),12,31)-DATE(YEAR(Invoer!$A$5),1,1)+1))+2,1)</f>
        <v>81</v>
      </c>
      <c r="B267" t="str">
        <f ca="1">TEXT(DATE(YEAR(Invoer!$A$5),1,1)+MOD(ROWS(B$2:B267)-1,DATE(YEAR(Invoer!$A$5),12,31)-DATE(YEAR(Invoer!$A$5),1,1)+1),"jjjjmmdd")</f>
        <v>19400922</v>
      </c>
      <c r="C267" s="18">
        <v>1</v>
      </c>
      <c r="D267" s="23">
        <f t="shared" ca="1" si="8"/>
        <v>0</v>
      </c>
      <c r="E267" s="24">
        <f t="shared" ca="1" si="9"/>
        <v>0</v>
      </c>
    </row>
    <row r="268" spans="1:5" x14ac:dyDescent="0.25">
      <c r="A268" s="17">
        <f ca="1">INDEX(Stations,INT((ROWS(A$2:A268)-1)/(DATE(YEAR(Invoer!$A$5),12,31)-DATE(YEAR(Invoer!$A$5),1,1)+1))+2,1)</f>
        <v>81</v>
      </c>
      <c r="B268" t="str">
        <f ca="1">TEXT(DATE(YEAR(Invoer!$A$5),1,1)+MOD(ROWS(B$2:B268)-1,DATE(YEAR(Invoer!$A$5),12,31)-DATE(YEAR(Invoer!$A$5),1,1)+1),"jjjjmmdd")</f>
        <v>19400923</v>
      </c>
      <c r="C268" s="18">
        <v>1</v>
      </c>
      <c r="D268" s="23">
        <f t="shared" ca="1" si="8"/>
        <v>0</v>
      </c>
      <c r="E268" s="24">
        <f t="shared" ca="1" si="9"/>
        <v>0</v>
      </c>
    </row>
    <row r="269" spans="1:5" x14ac:dyDescent="0.25">
      <c r="A269" s="17">
        <f ca="1">INDEX(Stations,INT((ROWS(A$2:A269)-1)/(DATE(YEAR(Invoer!$A$5),12,31)-DATE(YEAR(Invoer!$A$5),1,1)+1))+2,1)</f>
        <v>81</v>
      </c>
      <c r="B269" t="str">
        <f ca="1">TEXT(DATE(YEAR(Invoer!$A$5),1,1)+MOD(ROWS(B$2:B269)-1,DATE(YEAR(Invoer!$A$5),12,31)-DATE(YEAR(Invoer!$A$5),1,1)+1),"jjjjmmdd")</f>
        <v>19400924</v>
      </c>
      <c r="C269" s="18">
        <v>1</v>
      </c>
      <c r="D269" s="23">
        <f t="shared" ca="1" si="8"/>
        <v>0</v>
      </c>
      <c r="E269" s="24">
        <f t="shared" ca="1" si="9"/>
        <v>0</v>
      </c>
    </row>
    <row r="270" spans="1:5" x14ac:dyDescent="0.25">
      <c r="A270" s="17">
        <f ca="1">INDEX(Stations,INT((ROWS(A$2:A270)-1)/(DATE(YEAR(Invoer!$A$5),12,31)-DATE(YEAR(Invoer!$A$5),1,1)+1))+2,1)</f>
        <v>81</v>
      </c>
      <c r="B270" t="str">
        <f ca="1">TEXT(DATE(YEAR(Invoer!$A$5),1,1)+MOD(ROWS(B$2:B270)-1,DATE(YEAR(Invoer!$A$5),12,31)-DATE(YEAR(Invoer!$A$5),1,1)+1),"jjjjmmdd")</f>
        <v>19400925</v>
      </c>
      <c r="C270" s="18">
        <v>1</v>
      </c>
      <c r="D270" s="23">
        <f t="shared" ca="1" si="8"/>
        <v>0</v>
      </c>
      <c r="E270" s="24">
        <f t="shared" ca="1" si="9"/>
        <v>0</v>
      </c>
    </row>
    <row r="271" spans="1:5" x14ac:dyDescent="0.25">
      <c r="A271" s="17">
        <f ca="1">INDEX(Stations,INT((ROWS(A$2:A271)-1)/(DATE(YEAR(Invoer!$A$5),12,31)-DATE(YEAR(Invoer!$A$5),1,1)+1))+2,1)</f>
        <v>81</v>
      </c>
      <c r="B271" t="str">
        <f ca="1">TEXT(DATE(YEAR(Invoer!$A$5),1,1)+MOD(ROWS(B$2:B271)-1,DATE(YEAR(Invoer!$A$5),12,31)-DATE(YEAR(Invoer!$A$5),1,1)+1),"jjjjmmdd")</f>
        <v>19400926</v>
      </c>
      <c r="C271" s="18">
        <v>1</v>
      </c>
      <c r="D271" s="23">
        <f t="shared" ca="1" si="8"/>
        <v>45</v>
      </c>
      <c r="E271" s="24">
        <f t="shared" ca="1" si="9"/>
        <v>0</v>
      </c>
    </row>
    <row r="272" spans="1:5" x14ac:dyDescent="0.25">
      <c r="A272" s="17">
        <f ca="1">INDEX(Stations,INT((ROWS(A$2:A272)-1)/(DATE(YEAR(Invoer!$A$5),12,31)-DATE(YEAR(Invoer!$A$5),1,1)+1))+2,1)</f>
        <v>81</v>
      </c>
      <c r="B272" t="str">
        <f ca="1">TEXT(DATE(YEAR(Invoer!$A$5),1,1)+MOD(ROWS(B$2:B272)-1,DATE(YEAR(Invoer!$A$5),12,31)-DATE(YEAR(Invoer!$A$5),1,1)+1),"jjjjmmdd")</f>
        <v>19400927</v>
      </c>
      <c r="C272" s="18">
        <v>1</v>
      </c>
      <c r="D272" s="23">
        <f t="shared" ca="1" si="8"/>
        <v>0</v>
      </c>
      <c r="E272" s="24">
        <f t="shared" ca="1" si="9"/>
        <v>0</v>
      </c>
    </row>
    <row r="273" spans="1:5" x14ac:dyDescent="0.25">
      <c r="A273" s="17">
        <f ca="1">INDEX(Stations,INT((ROWS(A$2:A273)-1)/(DATE(YEAR(Invoer!$A$5),12,31)-DATE(YEAR(Invoer!$A$5),1,1)+1))+2,1)</f>
        <v>81</v>
      </c>
      <c r="B273" t="str">
        <f ca="1">TEXT(DATE(YEAR(Invoer!$A$5),1,1)+MOD(ROWS(B$2:B273)-1,DATE(YEAR(Invoer!$A$5),12,31)-DATE(YEAR(Invoer!$A$5),1,1)+1),"jjjjmmdd")</f>
        <v>19400928</v>
      </c>
      <c r="C273" s="18">
        <v>1</v>
      </c>
      <c r="D273" s="23">
        <f t="shared" ca="1" si="8"/>
        <v>5</v>
      </c>
      <c r="E273" s="24">
        <f t="shared" ca="1" si="9"/>
        <v>0</v>
      </c>
    </row>
    <row r="274" spans="1:5" x14ac:dyDescent="0.25">
      <c r="A274" s="17">
        <f ca="1">INDEX(Stations,INT((ROWS(A$2:A274)-1)/(DATE(YEAR(Invoer!$A$5),12,31)-DATE(YEAR(Invoer!$A$5),1,1)+1))+2,1)</f>
        <v>81</v>
      </c>
      <c r="B274" t="str">
        <f ca="1">TEXT(DATE(YEAR(Invoer!$A$5),1,1)+MOD(ROWS(B$2:B274)-1,DATE(YEAR(Invoer!$A$5),12,31)-DATE(YEAR(Invoer!$A$5),1,1)+1),"jjjjmmdd")</f>
        <v>19400929</v>
      </c>
      <c r="C274" s="18">
        <v>1</v>
      </c>
      <c r="D274" s="23">
        <f t="shared" ca="1" si="8"/>
        <v>480</v>
      </c>
      <c r="E274" s="24">
        <f t="shared" ca="1" si="9"/>
        <v>0</v>
      </c>
    </row>
    <row r="275" spans="1:5" x14ac:dyDescent="0.25">
      <c r="A275" s="17">
        <f ca="1">INDEX(Stations,INT((ROWS(A$2:A275)-1)/(DATE(YEAR(Invoer!$A$5),12,31)-DATE(YEAR(Invoer!$A$5),1,1)+1))+2,1)</f>
        <v>81</v>
      </c>
      <c r="B275" t="str">
        <f ca="1">TEXT(DATE(YEAR(Invoer!$A$5),1,1)+MOD(ROWS(B$2:B275)-1,DATE(YEAR(Invoer!$A$5),12,31)-DATE(YEAR(Invoer!$A$5),1,1)+1),"jjjjmmdd")</f>
        <v>19400930</v>
      </c>
      <c r="C275" s="18">
        <v>1</v>
      </c>
      <c r="D275" s="23">
        <f t="shared" ca="1" si="8"/>
        <v>0</v>
      </c>
      <c r="E275" s="24">
        <f t="shared" ca="1" si="9"/>
        <v>0</v>
      </c>
    </row>
    <row r="276" spans="1:5" x14ac:dyDescent="0.25">
      <c r="A276" s="17">
        <f ca="1">INDEX(Stations,INT((ROWS(A$2:A276)-1)/(DATE(YEAR(Invoer!$A$5),12,31)-DATE(YEAR(Invoer!$A$5),1,1)+1))+2,1)</f>
        <v>81</v>
      </c>
      <c r="B276" t="str">
        <f ca="1">TEXT(DATE(YEAR(Invoer!$A$5),1,1)+MOD(ROWS(B$2:B276)-1,DATE(YEAR(Invoer!$A$5),12,31)-DATE(YEAR(Invoer!$A$5),1,1)+1),"jjjjmmdd")</f>
        <v>19401001</v>
      </c>
      <c r="C276" s="18">
        <v>1</v>
      </c>
      <c r="D276" s="23">
        <f t="shared" ca="1" si="8"/>
        <v>165</v>
      </c>
      <c r="E276" s="24">
        <f t="shared" ca="1" si="9"/>
        <v>0</v>
      </c>
    </row>
    <row r="277" spans="1:5" x14ac:dyDescent="0.25">
      <c r="A277" s="17">
        <f ca="1">INDEX(Stations,INT((ROWS(A$2:A277)-1)/(DATE(YEAR(Invoer!$A$5),12,31)-DATE(YEAR(Invoer!$A$5),1,1)+1))+2,1)</f>
        <v>81</v>
      </c>
      <c r="B277" t="str">
        <f ca="1">TEXT(DATE(YEAR(Invoer!$A$5),1,1)+MOD(ROWS(B$2:B277)-1,DATE(YEAR(Invoer!$A$5),12,31)-DATE(YEAR(Invoer!$A$5),1,1)+1),"jjjjmmdd")</f>
        <v>19401002</v>
      </c>
      <c r="C277" s="18">
        <v>1</v>
      </c>
      <c r="D277" s="23">
        <f t="shared" ca="1" si="8"/>
        <v>0</v>
      </c>
      <c r="E277" s="24">
        <f t="shared" ca="1" si="9"/>
        <v>0</v>
      </c>
    </row>
    <row r="278" spans="1:5" x14ac:dyDescent="0.25">
      <c r="A278" s="17">
        <f ca="1">INDEX(Stations,INT((ROWS(A$2:A278)-1)/(DATE(YEAR(Invoer!$A$5),12,31)-DATE(YEAR(Invoer!$A$5),1,1)+1))+2,1)</f>
        <v>81</v>
      </c>
      <c r="B278" t="str">
        <f ca="1">TEXT(DATE(YEAR(Invoer!$A$5),1,1)+MOD(ROWS(B$2:B278)-1,DATE(YEAR(Invoer!$A$5),12,31)-DATE(YEAR(Invoer!$A$5),1,1)+1),"jjjjmmdd")</f>
        <v>19401003</v>
      </c>
      <c r="C278" s="18">
        <v>1</v>
      </c>
      <c r="D278" s="23">
        <f t="shared" ca="1" si="8"/>
        <v>100</v>
      </c>
      <c r="E278" s="24">
        <f t="shared" ca="1" si="9"/>
        <v>0</v>
      </c>
    </row>
    <row r="279" spans="1:5" x14ac:dyDescent="0.25">
      <c r="A279" s="17">
        <f ca="1">INDEX(Stations,INT((ROWS(A$2:A279)-1)/(DATE(YEAR(Invoer!$A$5),12,31)-DATE(YEAR(Invoer!$A$5),1,1)+1))+2,1)</f>
        <v>81</v>
      </c>
      <c r="B279" t="str">
        <f ca="1">TEXT(DATE(YEAR(Invoer!$A$5),1,1)+MOD(ROWS(B$2:B279)-1,DATE(YEAR(Invoer!$A$5),12,31)-DATE(YEAR(Invoer!$A$5),1,1)+1),"jjjjmmdd")</f>
        <v>19401004</v>
      </c>
      <c r="C279" s="18">
        <v>1</v>
      </c>
      <c r="D279" s="23">
        <f t="shared" ca="1" si="8"/>
        <v>0</v>
      </c>
      <c r="E279" s="24">
        <f t="shared" ca="1" si="9"/>
        <v>0</v>
      </c>
    </row>
    <row r="280" spans="1:5" x14ac:dyDescent="0.25">
      <c r="A280" s="17">
        <f ca="1">INDEX(Stations,INT((ROWS(A$2:A280)-1)/(DATE(YEAR(Invoer!$A$5),12,31)-DATE(YEAR(Invoer!$A$5),1,1)+1))+2,1)</f>
        <v>81</v>
      </c>
      <c r="B280" t="str">
        <f ca="1">TEXT(DATE(YEAR(Invoer!$A$5),1,1)+MOD(ROWS(B$2:B280)-1,DATE(YEAR(Invoer!$A$5),12,31)-DATE(YEAR(Invoer!$A$5),1,1)+1),"jjjjmmdd")</f>
        <v>19401005</v>
      </c>
      <c r="C280" s="18">
        <v>1</v>
      </c>
      <c r="D280" s="23">
        <f t="shared" ca="1" si="8"/>
        <v>0</v>
      </c>
      <c r="E280" s="24">
        <f t="shared" ca="1" si="9"/>
        <v>0</v>
      </c>
    </row>
    <row r="281" spans="1:5" x14ac:dyDescent="0.25">
      <c r="A281" s="17">
        <f ca="1">INDEX(Stations,INT((ROWS(A$2:A281)-1)/(DATE(YEAR(Invoer!$A$5),12,31)-DATE(YEAR(Invoer!$A$5),1,1)+1))+2,1)</f>
        <v>81</v>
      </c>
      <c r="B281" t="str">
        <f ca="1">TEXT(DATE(YEAR(Invoer!$A$5),1,1)+MOD(ROWS(B$2:B281)-1,DATE(YEAR(Invoer!$A$5),12,31)-DATE(YEAR(Invoer!$A$5),1,1)+1),"jjjjmmdd")</f>
        <v>19401006</v>
      </c>
      <c r="C281" s="18">
        <v>1</v>
      </c>
      <c r="D281" s="23">
        <f t="shared" ca="1" si="8"/>
        <v>0</v>
      </c>
      <c r="E281" s="24">
        <f t="shared" ca="1" si="9"/>
        <v>0</v>
      </c>
    </row>
    <row r="282" spans="1:5" x14ac:dyDescent="0.25">
      <c r="A282" s="17">
        <f ca="1">INDEX(Stations,INT((ROWS(A$2:A282)-1)/(DATE(YEAR(Invoer!$A$5),12,31)-DATE(YEAR(Invoer!$A$5),1,1)+1))+2,1)</f>
        <v>81</v>
      </c>
      <c r="B282" t="str">
        <f ca="1">TEXT(DATE(YEAR(Invoer!$A$5),1,1)+MOD(ROWS(B$2:B282)-1,DATE(YEAR(Invoer!$A$5),12,31)-DATE(YEAR(Invoer!$A$5),1,1)+1),"jjjjmmdd")</f>
        <v>19401007</v>
      </c>
      <c r="C282" s="18">
        <v>1</v>
      </c>
      <c r="D282" s="23">
        <f t="shared" ca="1" si="8"/>
        <v>0</v>
      </c>
      <c r="E282" s="24">
        <f t="shared" ca="1" si="9"/>
        <v>0</v>
      </c>
    </row>
    <row r="283" spans="1:5" x14ac:dyDescent="0.25">
      <c r="A283" s="17">
        <f ca="1">INDEX(Stations,INT((ROWS(A$2:A283)-1)/(DATE(YEAR(Invoer!$A$5),12,31)-DATE(YEAR(Invoer!$A$5),1,1)+1))+2,1)</f>
        <v>81</v>
      </c>
      <c r="B283" t="str">
        <f ca="1">TEXT(DATE(YEAR(Invoer!$A$5),1,1)+MOD(ROWS(B$2:B283)-1,DATE(YEAR(Invoer!$A$5),12,31)-DATE(YEAR(Invoer!$A$5),1,1)+1),"jjjjmmdd")</f>
        <v>19401008</v>
      </c>
      <c r="C283" s="18">
        <v>1</v>
      </c>
      <c r="D283" s="23">
        <f t="shared" ca="1" si="8"/>
        <v>0</v>
      </c>
      <c r="E283" s="24">
        <f t="shared" ca="1" si="9"/>
        <v>0</v>
      </c>
    </row>
    <row r="284" spans="1:5" x14ac:dyDescent="0.25">
      <c r="A284" s="17">
        <f ca="1">INDEX(Stations,INT((ROWS(A$2:A284)-1)/(DATE(YEAR(Invoer!$A$5),12,31)-DATE(YEAR(Invoer!$A$5),1,1)+1))+2,1)</f>
        <v>81</v>
      </c>
      <c r="B284" t="str">
        <f ca="1">TEXT(DATE(YEAR(Invoer!$A$5),1,1)+MOD(ROWS(B$2:B284)-1,DATE(YEAR(Invoer!$A$5),12,31)-DATE(YEAR(Invoer!$A$5),1,1)+1),"jjjjmmdd")</f>
        <v>19401009</v>
      </c>
      <c r="C284" s="18">
        <v>1</v>
      </c>
      <c r="D284" s="23">
        <f t="shared" ca="1" si="8"/>
        <v>0</v>
      </c>
      <c r="E284" s="24">
        <f t="shared" ca="1" si="9"/>
        <v>0</v>
      </c>
    </row>
    <row r="285" spans="1:5" x14ac:dyDescent="0.25">
      <c r="A285" s="17">
        <f ca="1">INDEX(Stations,INT((ROWS(A$2:A285)-1)/(DATE(YEAR(Invoer!$A$5),12,31)-DATE(YEAR(Invoer!$A$5),1,1)+1))+2,1)</f>
        <v>81</v>
      </c>
      <c r="B285" t="str">
        <f ca="1">TEXT(DATE(YEAR(Invoer!$A$5),1,1)+MOD(ROWS(B$2:B285)-1,DATE(YEAR(Invoer!$A$5),12,31)-DATE(YEAR(Invoer!$A$5),1,1)+1),"jjjjmmdd")</f>
        <v>19401010</v>
      </c>
      <c r="C285" s="18">
        <v>1</v>
      </c>
      <c r="D285" s="23">
        <f t="shared" ca="1" si="8"/>
        <v>0</v>
      </c>
      <c r="E285" s="24">
        <f t="shared" ca="1" si="9"/>
        <v>0</v>
      </c>
    </row>
    <row r="286" spans="1:5" x14ac:dyDescent="0.25">
      <c r="A286" s="17">
        <f ca="1">INDEX(Stations,INT((ROWS(A$2:A286)-1)/(DATE(YEAR(Invoer!$A$5),12,31)-DATE(YEAR(Invoer!$A$5),1,1)+1))+2,1)</f>
        <v>81</v>
      </c>
      <c r="B286" t="str">
        <f ca="1">TEXT(DATE(YEAR(Invoer!$A$5),1,1)+MOD(ROWS(B$2:B286)-1,DATE(YEAR(Invoer!$A$5),12,31)-DATE(YEAR(Invoer!$A$5),1,1)+1),"jjjjmmdd")</f>
        <v>19401011</v>
      </c>
      <c r="C286" s="18">
        <v>1</v>
      </c>
      <c r="D286" s="23">
        <f t="shared" ca="1" si="8"/>
        <v>0</v>
      </c>
      <c r="E286" s="24">
        <f t="shared" ca="1" si="9"/>
        <v>0</v>
      </c>
    </row>
    <row r="287" spans="1:5" x14ac:dyDescent="0.25">
      <c r="A287" s="17">
        <f ca="1">INDEX(Stations,INT((ROWS(A$2:A287)-1)/(DATE(YEAR(Invoer!$A$5),12,31)-DATE(YEAR(Invoer!$A$5),1,1)+1))+2,1)</f>
        <v>81</v>
      </c>
      <c r="B287" t="str">
        <f ca="1">TEXT(DATE(YEAR(Invoer!$A$5),1,1)+MOD(ROWS(B$2:B287)-1,DATE(YEAR(Invoer!$A$5),12,31)-DATE(YEAR(Invoer!$A$5),1,1)+1),"jjjjmmdd")</f>
        <v>19401012</v>
      </c>
      <c r="C287" s="18">
        <v>1</v>
      </c>
      <c r="D287" s="23">
        <f t="shared" ca="1" si="8"/>
        <v>55</v>
      </c>
      <c r="E287" s="24">
        <f t="shared" ca="1" si="9"/>
        <v>0</v>
      </c>
    </row>
    <row r="288" spans="1:5" x14ac:dyDescent="0.25">
      <c r="A288" s="17">
        <f ca="1">INDEX(Stations,INT((ROWS(A$2:A288)-1)/(DATE(YEAR(Invoer!$A$5),12,31)-DATE(YEAR(Invoer!$A$5),1,1)+1))+2,1)</f>
        <v>81</v>
      </c>
      <c r="B288" t="str">
        <f ca="1">TEXT(DATE(YEAR(Invoer!$A$5),1,1)+MOD(ROWS(B$2:B288)-1,DATE(YEAR(Invoer!$A$5),12,31)-DATE(YEAR(Invoer!$A$5),1,1)+1),"jjjjmmdd")</f>
        <v>19401013</v>
      </c>
      <c r="C288" s="18">
        <v>1</v>
      </c>
      <c r="D288" s="23">
        <f t="shared" ca="1" si="8"/>
        <v>370</v>
      </c>
      <c r="E288" s="24">
        <f t="shared" ca="1" si="9"/>
        <v>0</v>
      </c>
    </row>
    <row r="289" spans="1:5" x14ac:dyDescent="0.25">
      <c r="A289" s="17">
        <f ca="1">INDEX(Stations,INT((ROWS(A$2:A289)-1)/(DATE(YEAR(Invoer!$A$5),12,31)-DATE(YEAR(Invoer!$A$5),1,1)+1))+2,1)</f>
        <v>81</v>
      </c>
      <c r="B289" t="str">
        <f ca="1">TEXT(DATE(YEAR(Invoer!$A$5),1,1)+MOD(ROWS(B$2:B289)-1,DATE(YEAR(Invoer!$A$5),12,31)-DATE(YEAR(Invoer!$A$5),1,1)+1),"jjjjmmdd")</f>
        <v>19401014</v>
      </c>
      <c r="C289" s="18">
        <v>1</v>
      </c>
      <c r="D289" s="23">
        <f t="shared" ca="1" si="8"/>
        <v>100</v>
      </c>
      <c r="E289" s="24">
        <f t="shared" ca="1" si="9"/>
        <v>0</v>
      </c>
    </row>
    <row r="290" spans="1:5" x14ac:dyDescent="0.25">
      <c r="A290" s="17">
        <f ca="1">INDEX(Stations,INT((ROWS(A$2:A290)-1)/(DATE(YEAR(Invoer!$A$5),12,31)-DATE(YEAR(Invoer!$A$5),1,1)+1))+2,1)</f>
        <v>81</v>
      </c>
      <c r="B290" t="str">
        <f ca="1">TEXT(DATE(YEAR(Invoer!$A$5),1,1)+MOD(ROWS(B$2:B290)-1,DATE(YEAR(Invoer!$A$5),12,31)-DATE(YEAR(Invoer!$A$5),1,1)+1),"jjjjmmdd")</f>
        <v>19401015</v>
      </c>
      <c r="C290" s="18">
        <v>1</v>
      </c>
      <c r="D290" s="23">
        <f t="shared" ca="1" si="8"/>
        <v>125</v>
      </c>
      <c r="E290" s="24">
        <f t="shared" ca="1" si="9"/>
        <v>0</v>
      </c>
    </row>
    <row r="291" spans="1:5" x14ac:dyDescent="0.25">
      <c r="A291" s="17">
        <f ca="1">INDEX(Stations,INT((ROWS(A$2:A291)-1)/(DATE(YEAR(Invoer!$A$5),12,31)-DATE(YEAR(Invoer!$A$5),1,1)+1))+2,1)</f>
        <v>81</v>
      </c>
      <c r="B291" t="str">
        <f ca="1">TEXT(DATE(YEAR(Invoer!$A$5),1,1)+MOD(ROWS(B$2:B291)-1,DATE(YEAR(Invoer!$A$5),12,31)-DATE(YEAR(Invoer!$A$5),1,1)+1),"jjjjmmdd")</f>
        <v>19401016</v>
      </c>
      <c r="C291" s="18">
        <v>1</v>
      </c>
      <c r="D291" s="23">
        <f t="shared" ca="1" si="8"/>
        <v>65</v>
      </c>
      <c r="E291" s="24">
        <f t="shared" ca="1" si="9"/>
        <v>0</v>
      </c>
    </row>
    <row r="292" spans="1:5" x14ac:dyDescent="0.25">
      <c r="A292" s="17">
        <f ca="1">INDEX(Stations,INT((ROWS(A$2:A292)-1)/(DATE(YEAR(Invoer!$A$5),12,31)-DATE(YEAR(Invoer!$A$5),1,1)+1))+2,1)</f>
        <v>81</v>
      </c>
      <c r="B292" t="str">
        <f ca="1">TEXT(DATE(YEAR(Invoer!$A$5),1,1)+MOD(ROWS(B$2:B292)-1,DATE(YEAR(Invoer!$A$5),12,31)-DATE(YEAR(Invoer!$A$5),1,1)+1),"jjjjmmdd")</f>
        <v>19401017</v>
      </c>
      <c r="C292" s="18">
        <v>1</v>
      </c>
      <c r="D292" s="23">
        <f t="shared" ca="1" si="8"/>
        <v>100</v>
      </c>
      <c r="E292" s="24">
        <f t="shared" ca="1" si="9"/>
        <v>0</v>
      </c>
    </row>
    <row r="293" spans="1:5" x14ac:dyDescent="0.25">
      <c r="A293" s="17">
        <f ca="1">INDEX(Stations,INT((ROWS(A$2:A293)-1)/(DATE(YEAR(Invoer!$A$5),12,31)-DATE(YEAR(Invoer!$A$5),1,1)+1))+2,1)</f>
        <v>81</v>
      </c>
      <c r="B293" t="str">
        <f ca="1">TEXT(DATE(YEAR(Invoer!$A$5),1,1)+MOD(ROWS(B$2:B293)-1,DATE(YEAR(Invoer!$A$5),12,31)-DATE(YEAR(Invoer!$A$5),1,1)+1),"jjjjmmdd")</f>
        <v>19401018</v>
      </c>
      <c r="C293" s="18">
        <v>1</v>
      </c>
      <c r="D293" s="23">
        <f t="shared" ca="1" si="8"/>
        <v>25</v>
      </c>
      <c r="E293" s="24">
        <f t="shared" ca="1" si="9"/>
        <v>0</v>
      </c>
    </row>
    <row r="294" spans="1:5" x14ac:dyDescent="0.25">
      <c r="A294" s="17">
        <f ca="1">INDEX(Stations,INT((ROWS(A$2:A294)-1)/(DATE(YEAR(Invoer!$A$5),12,31)-DATE(YEAR(Invoer!$A$5),1,1)+1))+2,1)</f>
        <v>81</v>
      </c>
      <c r="B294" t="str">
        <f ca="1">TEXT(DATE(YEAR(Invoer!$A$5),1,1)+MOD(ROWS(B$2:B294)-1,DATE(YEAR(Invoer!$A$5),12,31)-DATE(YEAR(Invoer!$A$5),1,1)+1),"jjjjmmdd")</f>
        <v>19401019</v>
      </c>
      <c r="C294" s="18">
        <v>1</v>
      </c>
      <c r="D294" s="23">
        <f t="shared" ca="1" si="8"/>
        <v>0</v>
      </c>
      <c r="E294" s="24">
        <f t="shared" ca="1" si="9"/>
        <v>0</v>
      </c>
    </row>
    <row r="295" spans="1:5" x14ac:dyDescent="0.25">
      <c r="A295" s="17">
        <f ca="1">INDEX(Stations,INT((ROWS(A$2:A295)-1)/(DATE(YEAR(Invoer!$A$5),12,31)-DATE(YEAR(Invoer!$A$5),1,1)+1))+2,1)</f>
        <v>81</v>
      </c>
      <c r="B295" t="str">
        <f ca="1">TEXT(DATE(YEAR(Invoer!$A$5),1,1)+MOD(ROWS(B$2:B295)-1,DATE(YEAR(Invoer!$A$5),12,31)-DATE(YEAR(Invoer!$A$5),1,1)+1),"jjjjmmdd")</f>
        <v>19401020</v>
      </c>
      <c r="C295" s="18">
        <v>1</v>
      </c>
      <c r="D295" s="23">
        <f t="shared" ca="1" si="8"/>
        <v>0</v>
      </c>
      <c r="E295" s="24">
        <f t="shared" ca="1" si="9"/>
        <v>0</v>
      </c>
    </row>
    <row r="296" spans="1:5" x14ac:dyDescent="0.25">
      <c r="A296" s="17">
        <f ca="1">INDEX(Stations,INT((ROWS(A$2:A296)-1)/(DATE(YEAR(Invoer!$A$5),12,31)-DATE(YEAR(Invoer!$A$5),1,1)+1))+2,1)</f>
        <v>81</v>
      </c>
      <c r="B296" t="str">
        <f ca="1">TEXT(DATE(YEAR(Invoer!$A$5),1,1)+MOD(ROWS(B$2:B296)-1,DATE(YEAR(Invoer!$A$5),12,31)-DATE(YEAR(Invoer!$A$5),1,1)+1),"jjjjmmdd")</f>
        <v>19401021</v>
      </c>
      <c r="C296" s="18">
        <v>1</v>
      </c>
      <c r="D296" s="23">
        <f t="shared" ca="1" si="8"/>
        <v>27</v>
      </c>
      <c r="E296" s="24">
        <f t="shared" ca="1" si="9"/>
        <v>0</v>
      </c>
    </row>
    <row r="297" spans="1:5" x14ac:dyDescent="0.25">
      <c r="A297" s="17">
        <f ca="1">INDEX(Stations,INT((ROWS(A$2:A297)-1)/(DATE(YEAR(Invoer!$A$5),12,31)-DATE(YEAR(Invoer!$A$5),1,1)+1))+2,1)</f>
        <v>81</v>
      </c>
      <c r="B297" t="str">
        <f ca="1">TEXT(DATE(YEAR(Invoer!$A$5),1,1)+MOD(ROWS(B$2:B297)-1,DATE(YEAR(Invoer!$A$5),12,31)-DATE(YEAR(Invoer!$A$5),1,1)+1),"jjjjmmdd")</f>
        <v>19401022</v>
      </c>
      <c r="C297" s="18">
        <v>1</v>
      </c>
      <c r="D297" s="23">
        <f t="shared" ca="1" si="8"/>
        <v>0</v>
      </c>
      <c r="E297" s="24">
        <f t="shared" ca="1" si="9"/>
        <v>0</v>
      </c>
    </row>
    <row r="298" spans="1:5" x14ac:dyDescent="0.25">
      <c r="A298" s="17">
        <f ca="1">INDEX(Stations,INT((ROWS(A$2:A298)-1)/(DATE(YEAR(Invoer!$A$5),12,31)-DATE(YEAR(Invoer!$A$5),1,1)+1))+2,1)</f>
        <v>81</v>
      </c>
      <c r="B298" t="str">
        <f ca="1">TEXT(DATE(YEAR(Invoer!$A$5),1,1)+MOD(ROWS(B$2:B298)-1,DATE(YEAR(Invoer!$A$5),12,31)-DATE(YEAR(Invoer!$A$5),1,1)+1),"jjjjmmdd")</f>
        <v>19401023</v>
      </c>
      <c r="C298" s="18">
        <v>1</v>
      </c>
      <c r="D298" s="23">
        <f t="shared" ca="1" si="8"/>
        <v>0</v>
      </c>
      <c r="E298" s="24">
        <f t="shared" ca="1" si="9"/>
        <v>0</v>
      </c>
    </row>
    <row r="299" spans="1:5" x14ac:dyDescent="0.25">
      <c r="A299" s="17">
        <f ca="1">INDEX(Stations,INT((ROWS(A$2:A299)-1)/(DATE(YEAR(Invoer!$A$5),12,31)-DATE(YEAR(Invoer!$A$5),1,1)+1))+2,1)</f>
        <v>81</v>
      </c>
      <c r="B299" t="str">
        <f ca="1">TEXT(DATE(YEAR(Invoer!$A$5),1,1)+MOD(ROWS(B$2:B299)-1,DATE(YEAR(Invoer!$A$5),12,31)-DATE(YEAR(Invoer!$A$5),1,1)+1),"jjjjmmdd")</f>
        <v>19401024</v>
      </c>
      <c r="C299" s="18">
        <v>1</v>
      </c>
      <c r="D299" s="23">
        <f t="shared" ca="1" si="8"/>
        <v>0</v>
      </c>
      <c r="E299" s="24">
        <f t="shared" ca="1" si="9"/>
        <v>0</v>
      </c>
    </row>
    <row r="300" spans="1:5" x14ac:dyDescent="0.25">
      <c r="A300" s="17">
        <f ca="1">INDEX(Stations,INT((ROWS(A$2:A300)-1)/(DATE(YEAR(Invoer!$A$5),12,31)-DATE(YEAR(Invoer!$A$5),1,1)+1))+2,1)</f>
        <v>81</v>
      </c>
      <c r="B300" t="str">
        <f ca="1">TEXT(DATE(YEAR(Invoer!$A$5),1,1)+MOD(ROWS(B$2:B300)-1,DATE(YEAR(Invoer!$A$5),12,31)-DATE(YEAR(Invoer!$A$5),1,1)+1),"jjjjmmdd")</f>
        <v>19401025</v>
      </c>
      <c r="C300" s="18">
        <v>1</v>
      </c>
      <c r="D300" s="23">
        <f t="shared" ca="1" si="8"/>
        <v>220</v>
      </c>
      <c r="E300" s="24">
        <f t="shared" ca="1" si="9"/>
        <v>0</v>
      </c>
    </row>
    <row r="301" spans="1:5" x14ac:dyDescent="0.25">
      <c r="A301" s="17">
        <f ca="1">INDEX(Stations,INT((ROWS(A$2:A301)-1)/(DATE(YEAR(Invoer!$A$5),12,31)-DATE(YEAR(Invoer!$A$5),1,1)+1))+2,1)</f>
        <v>81</v>
      </c>
      <c r="B301" t="str">
        <f ca="1">TEXT(DATE(YEAR(Invoer!$A$5),1,1)+MOD(ROWS(B$2:B301)-1,DATE(YEAR(Invoer!$A$5),12,31)-DATE(YEAR(Invoer!$A$5),1,1)+1),"jjjjmmdd")</f>
        <v>19401026</v>
      </c>
      <c r="C301" s="18">
        <v>1</v>
      </c>
      <c r="D301" s="23">
        <f t="shared" ca="1" si="8"/>
        <v>0</v>
      </c>
      <c r="E301" s="24">
        <f t="shared" ca="1" si="9"/>
        <v>0</v>
      </c>
    </row>
    <row r="302" spans="1:5" x14ac:dyDescent="0.25">
      <c r="A302" s="17">
        <f ca="1">INDEX(Stations,INT((ROWS(A$2:A302)-1)/(DATE(YEAR(Invoer!$A$5),12,31)-DATE(YEAR(Invoer!$A$5),1,1)+1))+2,1)</f>
        <v>81</v>
      </c>
      <c r="B302" t="str">
        <f ca="1">TEXT(DATE(YEAR(Invoer!$A$5),1,1)+MOD(ROWS(B$2:B302)-1,DATE(YEAR(Invoer!$A$5),12,31)-DATE(YEAR(Invoer!$A$5),1,1)+1),"jjjjmmdd")</f>
        <v>19401027</v>
      </c>
      <c r="C302" s="18">
        <v>1</v>
      </c>
      <c r="D302" s="23">
        <f t="shared" ca="1" si="8"/>
        <v>0</v>
      </c>
      <c r="E302" s="24">
        <f t="shared" ca="1" si="9"/>
        <v>0</v>
      </c>
    </row>
    <row r="303" spans="1:5" x14ac:dyDescent="0.25">
      <c r="A303" s="17">
        <f ca="1">INDEX(Stations,INT((ROWS(A$2:A303)-1)/(DATE(YEAR(Invoer!$A$5),12,31)-DATE(YEAR(Invoer!$A$5),1,1)+1))+2,1)</f>
        <v>81</v>
      </c>
      <c r="B303" t="str">
        <f ca="1">TEXT(DATE(YEAR(Invoer!$A$5),1,1)+MOD(ROWS(B$2:B303)-1,DATE(YEAR(Invoer!$A$5),12,31)-DATE(YEAR(Invoer!$A$5),1,1)+1),"jjjjmmdd")</f>
        <v>19401028</v>
      </c>
      <c r="C303" s="18">
        <v>1</v>
      </c>
      <c r="D303" s="23">
        <f t="shared" ca="1" si="8"/>
        <v>0</v>
      </c>
      <c r="E303" s="24">
        <f t="shared" ca="1" si="9"/>
        <v>0</v>
      </c>
    </row>
    <row r="304" spans="1:5" x14ac:dyDescent="0.25">
      <c r="A304" s="17">
        <f ca="1">INDEX(Stations,INT((ROWS(A$2:A304)-1)/(DATE(YEAR(Invoer!$A$5),12,31)-DATE(YEAR(Invoer!$A$5),1,1)+1))+2,1)</f>
        <v>81</v>
      </c>
      <c r="B304" t="str">
        <f ca="1">TEXT(DATE(YEAR(Invoer!$A$5),1,1)+MOD(ROWS(B$2:B304)-1,DATE(YEAR(Invoer!$A$5),12,31)-DATE(YEAR(Invoer!$A$5),1,1)+1),"jjjjmmdd")</f>
        <v>19401029</v>
      </c>
      <c r="C304" s="18">
        <v>1</v>
      </c>
      <c r="D304" s="23">
        <f t="shared" ca="1" si="8"/>
        <v>0</v>
      </c>
      <c r="E304" s="24">
        <f t="shared" ca="1" si="9"/>
        <v>0</v>
      </c>
    </row>
    <row r="305" spans="1:5" x14ac:dyDescent="0.25">
      <c r="A305" s="17">
        <f ca="1">INDEX(Stations,INT((ROWS(A$2:A305)-1)/(DATE(YEAR(Invoer!$A$5),12,31)-DATE(YEAR(Invoer!$A$5),1,1)+1))+2,1)</f>
        <v>81</v>
      </c>
      <c r="B305" t="str">
        <f ca="1">TEXT(DATE(YEAR(Invoer!$A$5),1,1)+MOD(ROWS(B$2:B305)-1,DATE(YEAR(Invoer!$A$5),12,31)-DATE(YEAR(Invoer!$A$5),1,1)+1),"jjjjmmdd")</f>
        <v>19401030</v>
      </c>
      <c r="C305" s="18">
        <v>1</v>
      </c>
      <c r="D305" s="23">
        <f t="shared" ca="1" si="8"/>
        <v>25</v>
      </c>
      <c r="E305" s="24">
        <f t="shared" ca="1" si="9"/>
        <v>0</v>
      </c>
    </row>
    <row r="306" spans="1:5" x14ac:dyDescent="0.25">
      <c r="A306" s="17">
        <f ca="1">INDEX(Stations,INT((ROWS(A$2:A306)-1)/(DATE(YEAR(Invoer!$A$5),12,31)-DATE(YEAR(Invoer!$A$5),1,1)+1))+2,1)</f>
        <v>81</v>
      </c>
      <c r="B306" t="str">
        <f ca="1">TEXT(DATE(YEAR(Invoer!$A$5),1,1)+MOD(ROWS(B$2:B306)-1,DATE(YEAR(Invoer!$A$5),12,31)-DATE(YEAR(Invoer!$A$5),1,1)+1),"jjjjmmdd")</f>
        <v>19401031</v>
      </c>
      <c r="C306" s="18">
        <v>1</v>
      </c>
      <c r="D306" s="23">
        <f t="shared" ca="1" si="8"/>
        <v>35</v>
      </c>
      <c r="E306" s="24">
        <f t="shared" ca="1" si="9"/>
        <v>0</v>
      </c>
    </row>
    <row r="307" spans="1:5" x14ac:dyDescent="0.25">
      <c r="A307" s="17">
        <f ca="1">INDEX(Stations,INT((ROWS(A$2:A307)-1)/(DATE(YEAR(Invoer!$A$5),12,31)-DATE(YEAR(Invoer!$A$5),1,1)+1))+2,1)</f>
        <v>81</v>
      </c>
      <c r="B307" t="str">
        <f ca="1">TEXT(DATE(YEAR(Invoer!$A$5),1,1)+MOD(ROWS(B$2:B307)-1,DATE(YEAR(Invoer!$A$5),12,31)-DATE(YEAR(Invoer!$A$5),1,1)+1),"jjjjmmdd")</f>
        <v>19401101</v>
      </c>
      <c r="C307" s="18">
        <v>1</v>
      </c>
      <c r="D307" s="23">
        <f t="shared" ca="1" si="8"/>
        <v>50</v>
      </c>
      <c r="E307" s="24">
        <f t="shared" ca="1" si="9"/>
        <v>0</v>
      </c>
    </row>
    <row r="308" spans="1:5" x14ac:dyDescent="0.25">
      <c r="A308" s="17">
        <f ca="1">INDEX(Stations,INT((ROWS(A$2:A308)-1)/(DATE(YEAR(Invoer!$A$5),12,31)-DATE(YEAR(Invoer!$A$5),1,1)+1))+2,1)</f>
        <v>81</v>
      </c>
      <c r="B308" t="str">
        <f ca="1">TEXT(DATE(YEAR(Invoer!$A$5),1,1)+MOD(ROWS(B$2:B308)-1,DATE(YEAR(Invoer!$A$5),12,31)-DATE(YEAR(Invoer!$A$5),1,1)+1),"jjjjmmdd")</f>
        <v>19401102</v>
      </c>
      <c r="C308" s="18">
        <v>1</v>
      </c>
      <c r="D308" s="23">
        <f t="shared" ca="1" si="8"/>
        <v>0</v>
      </c>
      <c r="E308" s="24">
        <f t="shared" ca="1" si="9"/>
        <v>0</v>
      </c>
    </row>
    <row r="309" spans="1:5" x14ac:dyDescent="0.25">
      <c r="A309" s="17">
        <f ca="1">INDEX(Stations,INT((ROWS(A$2:A309)-1)/(DATE(YEAR(Invoer!$A$5),12,31)-DATE(YEAR(Invoer!$A$5),1,1)+1))+2,1)</f>
        <v>81</v>
      </c>
      <c r="B309" t="str">
        <f ca="1">TEXT(DATE(YEAR(Invoer!$A$5),1,1)+MOD(ROWS(B$2:B309)-1,DATE(YEAR(Invoer!$A$5),12,31)-DATE(YEAR(Invoer!$A$5),1,1)+1),"jjjjmmdd")</f>
        <v>19401103</v>
      </c>
      <c r="C309" s="18">
        <v>1</v>
      </c>
      <c r="D309" s="23">
        <f t="shared" ca="1" si="8"/>
        <v>10</v>
      </c>
      <c r="E309" s="24">
        <f t="shared" ca="1" si="9"/>
        <v>0</v>
      </c>
    </row>
    <row r="310" spans="1:5" x14ac:dyDescent="0.25">
      <c r="A310" s="17">
        <f ca="1">INDEX(Stations,INT((ROWS(A$2:A310)-1)/(DATE(YEAR(Invoer!$A$5),12,31)-DATE(YEAR(Invoer!$A$5),1,1)+1))+2,1)</f>
        <v>81</v>
      </c>
      <c r="B310" t="str">
        <f ca="1">TEXT(DATE(YEAR(Invoer!$A$5),1,1)+MOD(ROWS(B$2:B310)-1,DATE(YEAR(Invoer!$A$5),12,31)-DATE(YEAR(Invoer!$A$5),1,1)+1),"jjjjmmdd")</f>
        <v>19401104</v>
      </c>
      <c r="C310" s="18">
        <v>1</v>
      </c>
      <c r="D310" s="23">
        <f t="shared" ca="1" si="8"/>
        <v>330</v>
      </c>
      <c r="E310" s="24">
        <f t="shared" ca="1" si="9"/>
        <v>0</v>
      </c>
    </row>
    <row r="311" spans="1:5" x14ac:dyDescent="0.25">
      <c r="A311" s="17">
        <f ca="1">INDEX(Stations,INT((ROWS(A$2:A311)-1)/(DATE(YEAR(Invoer!$A$5),12,31)-DATE(YEAR(Invoer!$A$5),1,1)+1))+2,1)</f>
        <v>81</v>
      </c>
      <c r="B311" t="str">
        <f ca="1">TEXT(DATE(YEAR(Invoer!$A$5),1,1)+MOD(ROWS(B$2:B311)-1,DATE(YEAR(Invoer!$A$5),12,31)-DATE(YEAR(Invoer!$A$5),1,1)+1),"jjjjmmdd")</f>
        <v>19401105</v>
      </c>
      <c r="C311" s="18">
        <v>1</v>
      </c>
      <c r="D311" s="23">
        <f t="shared" ca="1" si="8"/>
        <v>55</v>
      </c>
      <c r="E311" s="24">
        <f t="shared" ca="1" si="9"/>
        <v>0</v>
      </c>
    </row>
    <row r="312" spans="1:5" x14ac:dyDescent="0.25">
      <c r="A312" s="17">
        <f ca="1">INDEX(Stations,INT((ROWS(A$2:A312)-1)/(DATE(YEAR(Invoer!$A$5),12,31)-DATE(YEAR(Invoer!$A$5),1,1)+1))+2,1)</f>
        <v>81</v>
      </c>
      <c r="B312" t="str">
        <f ca="1">TEXT(DATE(YEAR(Invoer!$A$5),1,1)+MOD(ROWS(B$2:B312)-1,DATE(YEAR(Invoer!$A$5),12,31)-DATE(YEAR(Invoer!$A$5),1,1)+1),"jjjjmmdd")</f>
        <v>19401106</v>
      </c>
      <c r="C312" s="18">
        <v>1</v>
      </c>
      <c r="D312" s="23">
        <f t="shared" ca="1" si="8"/>
        <v>0</v>
      </c>
      <c r="E312" s="24">
        <f t="shared" ca="1" si="9"/>
        <v>0</v>
      </c>
    </row>
    <row r="313" spans="1:5" x14ac:dyDescent="0.25">
      <c r="A313" s="17">
        <f ca="1">INDEX(Stations,INT((ROWS(A$2:A313)-1)/(DATE(YEAR(Invoer!$A$5),12,31)-DATE(YEAR(Invoer!$A$5),1,1)+1))+2,1)</f>
        <v>81</v>
      </c>
      <c r="B313" t="str">
        <f ca="1">TEXT(DATE(YEAR(Invoer!$A$5),1,1)+MOD(ROWS(B$2:B313)-1,DATE(YEAR(Invoer!$A$5),12,31)-DATE(YEAR(Invoer!$A$5),1,1)+1),"jjjjmmdd")</f>
        <v>19401107</v>
      </c>
      <c r="C313" s="18">
        <v>1</v>
      </c>
      <c r="D313" s="23">
        <f t="shared" ca="1" si="8"/>
        <v>0</v>
      </c>
      <c r="E313" s="24">
        <f t="shared" ca="1" si="9"/>
        <v>0</v>
      </c>
    </row>
    <row r="314" spans="1:5" x14ac:dyDescent="0.25">
      <c r="A314" s="17">
        <f ca="1">INDEX(Stations,INT((ROWS(A$2:A314)-1)/(DATE(YEAR(Invoer!$A$5),12,31)-DATE(YEAR(Invoer!$A$5),1,1)+1))+2,1)</f>
        <v>81</v>
      </c>
      <c r="B314" t="str">
        <f ca="1">TEXT(DATE(YEAR(Invoer!$A$5),1,1)+MOD(ROWS(B$2:B314)-1,DATE(YEAR(Invoer!$A$5),12,31)-DATE(YEAR(Invoer!$A$5),1,1)+1),"jjjjmmdd")</f>
        <v>19401108</v>
      </c>
      <c r="C314" s="18">
        <v>1</v>
      </c>
      <c r="D314" s="23">
        <f t="shared" ca="1" si="8"/>
        <v>0</v>
      </c>
      <c r="E314" s="24">
        <f t="shared" ca="1" si="9"/>
        <v>0</v>
      </c>
    </row>
    <row r="315" spans="1:5" x14ac:dyDescent="0.25">
      <c r="A315" s="17">
        <f ca="1">INDEX(Stations,INT((ROWS(A$2:A315)-1)/(DATE(YEAR(Invoer!$A$5),12,31)-DATE(YEAR(Invoer!$A$5),1,1)+1))+2,1)</f>
        <v>81</v>
      </c>
      <c r="B315" t="str">
        <f ca="1">TEXT(DATE(YEAR(Invoer!$A$5),1,1)+MOD(ROWS(B$2:B315)-1,DATE(YEAR(Invoer!$A$5),12,31)-DATE(YEAR(Invoer!$A$5),1,1)+1),"jjjjmmdd")</f>
        <v>19401109</v>
      </c>
      <c r="C315" s="18">
        <v>1</v>
      </c>
      <c r="D315" s="23">
        <f t="shared" ca="1" si="8"/>
        <v>0</v>
      </c>
      <c r="E315" s="24">
        <f t="shared" ca="1" si="9"/>
        <v>0</v>
      </c>
    </row>
    <row r="316" spans="1:5" x14ac:dyDescent="0.25">
      <c r="A316" s="17">
        <f ca="1">INDEX(Stations,INT((ROWS(A$2:A316)-1)/(DATE(YEAR(Invoer!$A$5),12,31)-DATE(YEAR(Invoer!$A$5),1,1)+1))+2,1)</f>
        <v>81</v>
      </c>
      <c r="B316" t="str">
        <f ca="1">TEXT(DATE(YEAR(Invoer!$A$5),1,1)+MOD(ROWS(B$2:B316)-1,DATE(YEAR(Invoer!$A$5),12,31)-DATE(YEAR(Invoer!$A$5),1,1)+1),"jjjjmmdd")</f>
        <v>19401110</v>
      </c>
      <c r="C316" s="18">
        <v>1</v>
      </c>
      <c r="D316" s="23">
        <f t="shared" ca="1" si="8"/>
        <v>70</v>
      </c>
      <c r="E316" s="24">
        <f t="shared" ca="1" si="9"/>
        <v>0</v>
      </c>
    </row>
    <row r="317" spans="1:5" x14ac:dyDescent="0.25">
      <c r="A317" s="17">
        <f ca="1">INDEX(Stations,INT((ROWS(A$2:A317)-1)/(DATE(YEAR(Invoer!$A$5),12,31)-DATE(YEAR(Invoer!$A$5),1,1)+1))+2,1)</f>
        <v>81</v>
      </c>
      <c r="B317" t="str">
        <f ca="1">TEXT(DATE(YEAR(Invoer!$A$5),1,1)+MOD(ROWS(B$2:B317)-1,DATE(YEAR(Invoer!$A$5),12,31)-DATE(YEAR(Invoer!$A$5),1,1)+1),"jjjjmmdd")</f>
        <v>19401111</v>
      </c>
      <c r="C317" s="18">
        <v>1</v>
      </c>
      <c r="D317" s="23">
        <f t="shared" ca="1" si="8"/>
        <v>70</v>
      </c>
      <c r="E317" s="24">
        <f t="shared" ca="1" si="9"/>
        <v>0</v>
      </c>
    </row>
    <row r="318" spans="1:5" x14ac:dyDescent="0.25">
      <c r="A318" s="17">
        <f ca="1">INDEX(Stations,INT((ROWS(A$2:A318)-1)/(DATE(YEAR(Invoer!$A$5),12,31)-DATE(YEAR(Invoer!$A$5),1,1)+1))+2,1)</f>
        <v>81</v>
      </c>
      <c r="B318" t="str">
        <f ca="1">TEXT(DATE(YEAR(Invoer!$A$5),1,1)+MOD(ROWS(B$2:B318)-1,DATE(YEAR(Invoer!$A$5),12,31)-DATE(YEAR(Invoer!$A$5),1,1)+1),"jjjjmmdd")</f>
        <v>19401112</v>
      </c>
      <c r="C318" s="18">
        <v>1</v>
      </c>
      <c r="D318" s="23">
        <f t="shared" ca="1" si="8"/>
        <v>0</v>
      </c>
      <c r="E318" s="24">
        <f t="shared" ca="1" si="9"/>
        <v>0</v>
      </c>
    </row>
    <row r="319" spans="1:5" x14ac:dyDescent="0.25">
      <c r="A319" s="17">
        <f ca="1">INDEX(Stations,INT((ROWS(A$2:A319)-1)/(DATE(YEAR(Invoer!$A$5),12,31)-DATE(YEAR(Invoer!$A$5),1,1)+1))+2,1)</f>
        <v>81</v>
      </c>
      <c r="B319" t="str">
        <f ca="1">TEXT(DATE(YEAR(Invoer!$A$5),1,1)+MOD(ROWS(B$2:B319)-1,DATE(YEAR(Invoer!$A$5),12,31)-DATE(YEAR(Invoer!$A$5),1,1)+1),"jjjjmmdd")</f>
        <v>19401113</v>
      </c>
      <c r="C319" s="18">
        <v>1</v>
      </c>
      <c r="D319" s="23">
        <f t="shared" ca="1" si="8"/>
        <v>85</v>
      </c>
      <c r="E319" s="24">
        <f t="shared" ca="1" si="9"/>
        <v>0</v>
      </c>
    </row>
    <row r="320" spans="1:5" x14ac:dyDescent="0.25">
      <c r="A320" s="17">
        <f ca="1">INDEX(Stations,INT((ROWS(A$2:A320)-1)/(DATE(YEAR(Invoer!$A$5),12,31)-DATE(YEAR(Invoer!$A$5),1,1)+1))+2,1)</f>
        <v>81</v>
      </c>
      <c r="B320" t="str">
        <f ca="1">TEXT(DATE(YEAR(Invoer!$A$5),1,1)+MOD(ROWS(B$2:B320)-1,DATE(YEAR(Invoer!$A$5),12,31)-DATE(YEAR(Invoer!$A$5),1,1)+1),"jjjjmmdd")</f>
        <v>19401114</v>
      </c>
      <c r="C320" s="18">
        <v>1</v>
      </c>
      <c r="D320" s="23">
        <f t="shared" ca="1" si="8"/>
        <v>100</v>
      </c>
      <c r="E320" s="24">
        <f t="shared" ca="1" si="9"/>
        <v>0</v>
      </c>
    </row>
    <row r="321" spans="1:5" x14ac:dyDescent="0.25">
      <c r="A321" s="17">
        <f ca="1">INDEX(Stations,INT((ROWS(A$2:A321)-1)/(DATE(YEAR(Invoer!$A$5),12,31)-DATE(YEAR(Invoer!$A$5),1,1)+1))+2,1)</f>
        <v>81</v>
      </c>
      <c r="B321" t="str">
        <f ca="1">TEXT(DATE(YEAR(Invoer!$A$5),1,1)+MOD(ROWS(B$2:B321)-1,DATE(YEAR(Invoer!$A$5),12,31)-DATE(YEAR(Invoer!$A$5),1,1)+1),"jjjjmmdd")</f>
        <v>19401115</v>
      </c>
      <c r="C321" s="18">
        <v>1</v>
      </c>
      <c r="D321" s="23">
        <f t="shared" ca="1" si="8"/>
        <v>100</v>
      </c>
      <c r="E321" s="24">
        <f t="shared" ca="1" si="9"/>
        <v>0</v>
      </c>
    </row>
    <row r="322" spans="1:5" x14ac:dyDescent="0.25">
      <c r="A322" s="17">
        <f ca="1">INDEX(Stations,INT((ROWS(A$2:A322)-1)/(DATE(YEAR(Invoer!$A$5),12,31)-DATE(YEAR(Invoer!$A$5),1,1)+1))+2,1)</f>
        <v>81</v>
      </c>
      <c r="B322" t="str">
        <f ca="1">TEXT(DATE(YEAR(Invoer!$A$5),1,1)+MOD(ROWS(B$2:B322)-1,DATE(YEAR(Invoer!$A$5),12,31)-DATE(YEAR(Invoer!$A$5),1,1)+1),"jjjjmmdd")</f>
        <v>19401116</v>
      </c>
      <c r="C322" s="18">
        <v>1</v>
      </c>
      <c r="D322" s="23">
        <f t="shared" ref="D322:D385" ca="1" si="10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"—",VLOOKUP(DATEVALUE(LEFT(B322,4)&amp;"-"&amp;MID(B322,5,2)&amp;"-"&amp;RIGHT(B322,2)),Data,MATCH(VLOOKUP(A322,Stations,2,FALSE()),OFFSET(Data,1,0,1),0),FALSE()))</f>
        <v>15</v>
      </c>
      <c r="E322" s="24">
        <f t="shared" ref="E322:E385" ca="1" si="11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Lacking,IF(ISNA(MATCH(DATEVALUE(LEFT(B322,4)&amp;"-"&amp;MID(B322,5,2)&amp;"-"&amp;RIGHT(B322,2)),OFFSET(Catalogus,0,0,,1),0)),Ok,VLOOKUP(DATEVALUE(LEFT(B322,4)&amp;"-"&amp;MID(B322,5,2)&amp;"-"&amp;RIGHT(B322,2)),Catalogus,MATCH(VLOOKUP(A322,Stations,2,FALSE()),OFFSET(Catalogus,1,0,1),0),FALSE())))</f>
        <v>0</v>
      </c>
    </row>
    <row r="323" spans="1:5" x14ac:dyDescent="0.25">
      <c r="A323" s="17">
        <f ca="1">INDEX(Stations,INT((ROWS(A$2:A323)-1)/(DATE(YEAR(Invoer!$A$5),12,31)-DATE(YEAR(Invoer!$A$5),1,1)+1))+2,1)</f>
        <v>81</v>
      </c>
      <c r="B323" t="str">
        <f ca="1">TEXT(DATE(YEAR(Invoer!$A$5),1,1)+MOD(ROWS(B$2:B323)-1,DATE(YEAR(Invoer!$A$5),12,31)-DATE(YEAR(Invoer!$A$5),1,1)+1),"jjjjmmdd")</f>
        <v>19401117</v>
      </c>
      <c r="C323" s="18">
        <v>1</v>
      </c>
      <c r="D323" s="23">
        <f t="shared" ca="1" si="10"/>
        <v>0</v>
      </c>
      <c r="E323" s="24">
        <f t="shared" ca="1" si="11"/>
        <v>0</v>
      </c>
    </row>
    <row r="324" spans="1:5" x14ac:dyDescent="0.25">
      <c r="A324" s="17">
        <f ca="1">INDEX(Stations,INT((ROWS(A$2:A324)-1)/(DATE(YEAR(Invoer!$A$5),12,31)-DATE(YEAR(Invoer!$A$5),1,1)+1))+2,1)</f>
        <v>81</v>
      </c>
      <c r="B324" t="str">
        <f ca="1">TEXT(DATE(YEAR(Invoer!$A$5),1,1)+MOD(ROWS(B$2:B324)-1,DATE(YEAR(Invoer!$A$5),12,31)-DATE(YEAR(Invoer!$A$5),1,1)+1),"jjjjmmdd")</f>
        <v>19401118</v>
      </c>
      <c r="C324" s="18">
        <v>1</v>
      </c>
      <c r="D324" s="23">
        <f t="shared" ca="1" si="10"/>
        <v>0</v>
      </c>
      <c r="E324" s="24">
        <f t="shared" ca="1" si="11"/>
        <v>0</v>
      </c>
    </row>
    <row r="325" spans="1:5" x14ac:dyDescent="0.25">
      <c r="A325" s="17">
        <f ca="1">INDEX(Stations,INT((ROWS(A$2:A325)-1)/(DATE(YEAR(Invoer!$A$5),12,31)-DATE(YEAR(Invoer!$A$5),1,1)+1))+2,1)</f>
        <v>81</v>
      </c>
      <c r="B325" t="str">
        <f ca="1">TEXT(DATE(YEAR(Invoer!$A$5),1,1)+MOD(ROWS(B$2:B325)-1,DATE(YEAR(Invoer!$A$5),12,31)-DATE(YEAR(Invoer!$A$5),1,1)+1),"jjjjmmdd")</f>
        <v>19401119</v>
      </c>
      <c r="C325" s="18">
        <v>1</v>
      </c>
      <c r="D325" s="23">
        <f t="shared" ca="1" si="10"/>
        <v>40</v>
      </c>
      <c r="E325" s="24">
        <f t="shared" ca="1" si="11"/>
        <v>0</v>
      </c>
    </row>
    <row r="326" spans="1:5" x14ac:dyDescent="0.25">
      <c r="A326" s="17">
        <f ca="1">INDEX(Stations,INT((ROWS(A$2:A326)-1)/(DATE(YEAR(Invoer!$A$5),12,31)-DATE(YEAR(Invoer!$A$5),1,1)+1))+2,1)</f>
        <v>81</v>
      </c>
      <c r="B326" t="str">
        <f ca="1">TEXT(DATE(YEAR(Invoer!$A$5),1,1)+MOD(ROWS(B$2:B326)-1,DATE(YEAR(Invoer!$A$5),12,31)-DATE(YEAR(Invoer!$A$5),1,1)+1),"jjjjmmdd")</f>
        <v>19401120</v>
      </c>
      <c r="C326" s="18">
        <v>1</v>
      </c>
      <c r="D326" s="23">
        <f t="shared" ca="1" si="10"/>
        <v>110</v>
      </c>
      <c r="E326" s="24">
        <f t="shared" ca="1" si="11"/>
        <v>0</v>
      </c>
    </row>
    <row r="327" spans="1:5" x14ac:dyDescent="0.25">
      <c r="A327" s="17">
        <f ca="1">INDEX(Stations,INT((ROWS(A$2:A327)-1)/(DATE(YEAR(Invoer!$A$5),12,31)-DATE(YEAR(Invoer!$A$5),1,1)+1))+2,1)</f>
        <v>81</v>
      </c>
      <c r="B327" t="str">
        <f ca="1">TEXT(DATE(YEAR(Invoer!$A$5),1,1)+MOD(ROWS(B$2:B327)-1,DATE(YEAR(Invoer!$A$5),12,31)-DATE(YEAR(Invoer!$A$5),1,1)+1),"jjjjmmdd")</f>
        <v>19401121</v>
      </c>
      <c r="C327" s="18">
        <v>1</v>
      </c>
      <c r="D327" s="23">
        <f t="shared" ca="1" si="10"/>
        <v>0</v>
      </c>
      <c r="E327" s="24">
        <f t="shared" ca="1" si="11"/>
        <v>0</v>
      </c>
    </row>
    <row r="328" spans="1:5" x14ac:dyDescent="0.25">
      <c r="A328" s="17">
        <f ca="1">INDEX(Stations,INT((ROWS(A$2:A328)-1)/(DATE(YEAR(Invoer!$A$5),12,31)-DATE(YEAR(Invoer!$A$5),1,1)+1))+2,1)</f>
        <v>81</v>
      </c>
      <c r="B328" t="str">
        <f ca="1">TEXT(DATE(YEAR(Invoer!$A$5),1,1)+MOD(ROWS(B$2:B328)-1,DATE(YEAR(Invoer!$A$5),12,31)-DATE(YEAR(Invoer!$A$5),1,1)+1),"jjjjmmdd")</f>
        <v>19401122</v>
      </c>
      <c r="C328" s="18">
        <v>1</v>
      </c>
      <c r="D328" s="23">
        <f t="shared" ca="1" si="10"/>
        <v>0</v>
      </c>
      <c r="E328" s="24">
        <f t="shared" ca="1" si="11"/>
        <v>0</v>
      </c>
    </row>
    <row r="329" spans="1:5" x14ac:dyDescent="0.25">
      <c r="A329" s="17">
        <f ca="1">INDEX(Stations,INT((ROWS(A$2:A329)-1)/(DATE(YEAR(Invoer!$A$5),12,31)-DATE(YEAR(Invoer!$A$5),1,1)+1))+2,1)</f>
        <v>81</v>
      </c>
      <c r="B329" t="str">
        <f ca="1">TEXT(DATE(YEAR(Invoer!$A$5),1,1)+MOD(ROWS(B$2:B329)-1,DATE(YEAR(Invoer!$A$5),12,31)-DATE(YEAR(Invoer!$A$5),1,1)+1),"jjjjmmdd")</f>
        <v>19401123</v>
      </c>
      <c r="C329" s="18">
        <v>1</v>
      </c>
      <c r="D329" s="23">
        <f t="shared" ca="1" si="10"/>
        <v>45</v>
      </c>
      <c r="E329" s="24">
        <f t="shared" ca="1" si="11"/>
        <v>0</v>
      </c>
    </row>
    <row r="330" spans="1:5" x14ac:dyDescent="0.25">
      <c r="A330" s="17">
        <f ca="1">INDEX(Stations,INT((ROWS(A$2:A330)-1)/(DATE(YEAR(Invoer!$A$5),12,31)-DATE(YEAR(Invoer!$A$5),1,1)+1))+2,1)</f>
        <v>81</v>
      </c>
      <c r="B330" t="str">
        <f ca="1">TEXT(DATE(YEAR(Invoer!$A$5),1,1)+MOD(ROWS(B$2:B330)-1,DATE(YEAR(Invoer!$A$5),12,31)-DATE(YEAR(Invoer!$A$5),1,1)+1),"jjjjmmdd")</f>
        <v>19401124</v>
      </c>
      <c r="C330" s="18">
        <v>1</v>
      </c>
      <c r="D330" s="23">
        <f t="shared" ca="1" si="10"/>
        <v>190</v>
      </c>
      <c r="E330" s="24">
        <f t="shared" ca="1" si="11"/>
        <v>0</v>
      </c>
    </row>
    <row r="331" spans="1:5" x14ac:dyDescent="0.25">
      <c r="A331" s="17">
        <f ca="1">INDEX(Stations,INT((ROWS(A$2:A331)-1)/(DATE(YEAR(Invoer!$A$5),12,31)-DATE(YEAR(Invoer!$A$5),1,1)+1))+2,1)</f>
        <v>81</v>
      </c>
      <c r="B331" t="str">
        <f ca="1">TEXT(DATE(YEAR(Invoer!$A$5),1,1)+MOD(ROWS(B$2:B331)-1,DATE(YEAR(Invoer!$A$5),12,31)-DATE(YEAR(Invoer!$A$5),1,1)+1),"jjjjmmdd")</f>
        <v>19401125</v>
      </c>
      <c r="C331" s="18">
        <v>1</v>
      </c>
      <c r="D331" s="23">
        <f t="shared" ca="1" si="10"/>
        <v>0</v>
      </c>
      <c r="E331" s="24">
        <f t="shared" ca="1" si="11"/>
        <v>0</v>
      </c>
    </row>
    <row r="332" spans="1:5" x14ac:dyDescent="0.25">
      <c r="A332" s="17">
        <f ca="1">INDEX(Stations,INT((ROWS(A$2:A332)-1)/(DATE(YEAR(Invoer!$A$5),12,31)-DATE(YEAR(Invoer!$A$5),1,1)+1))+2,1)</f>
        <v>81</v>
      </c>
      <c r="B332" t="str">
        <f ca="1">TEXT(DATE(YEAR(Invoer!$A$5),1,1)+MOD(ROWS(B$2:B332)-1,DATE(YEAR(Invoer!$A$5),12,31)-DATE(YEAR(Invoer!$A$5),1,1)+1),"jjjjmmdd")</f>
        <v>19401126</v>
      </c>
      <c r="C332" s="18">
        <v>1</v>
      </c>
      <c r="D332" s="23">
        <f t="shared" ca="1" si="10"/>
        <v>25</v>
      </c>
      <c r="E332" s="24">
        <f t="shared" ca="1" si="11"/>
        <v>0</v>
      </c>
    </row>
    <row r="333" spans="1:5" x14ac:dyDescent="0.25">
      <c r="A333" s="17">
        <f ca="1">INDEX(Stations,INT((ROWS(A$2:A333)-1)/(DATE(YEAR(Invoer!$A$5),12,31)-DATE(YEAR(Invoer!$A$5),1,1)+1))+2,1)</f>
        <v>81</v>
      </c>
      <c r="B333" t="str">
        <f ca="1">TEXT(DATE(YEAR(Invoer!$A$5),1,1)+MOD(ROWS(B$2:B333)-1,DATE(YEAR(Invoer!$A$5),12,31)-DATE(YEAR(Invoer!$A$5),1,1)+1),"jjjjmmdd")</f>
        <v>19401127</v>
      </c>
      <c r="C333" s="18">
        <v>1</v>
      </c>
      <c r="D333" s="23">
        <f t="shared" ca="1" si="10"/>
        <v>0</v>
      </c>
      <c r="E333" s="24">
        <f t="shared" ca="1" si="11"/>
        <v>0</v>
      </c>
    </row>
    <row r="334" spans="1:5" x14ac:dyDescent="0.25">
      <c r="A334" s="17">
        <f ca="1">INDEX(Stations,INT((ROWS(A$2:A334)-1)/(DATE(YEAR(Invoer!$A$5),12,31)-DATE(YEAR(Invoer!$A$5),1,1)+1))+2,1)</f>
        <v>81</v>
      </c>
      <c r="B334" t="str">
        <f ca="1">TEXT(DATE(YEAR(Invoer!$A$5),1,1)+MOD(ROWS(B$2:B334)-1,DATE(YEAR(Invoer!$A$5),12,31)-DATE(YEAR(Invoer!$A$5),1,1)+1),"jjjjmmdd")</f>
        <v>19401128</v>
      </c>
      <c r="C334" s="18">
        <v>1</v>
      </c>
      <c r="D334" s="23">
        <f t="shared" ca="1" si="10"/>
        <v>10</v>
      </c>
      <c r="E334" s="24">
        <f t="shared" ca="1" si="11"/>
        <v>0</v>
      </c>
    </row>
    <row r="335" spans="1:5" x14ac:dyDescent="0.25">
      <c r="A335" s="17">
        <f ca="1">INDEX(Stations,INT((ROWS(A$2:A335)-1)/(DATE(YEAR(Invoer!$A$5),12,31)-DATE(YEAR(Invoer!$A$5),1,1)+1))+2,1)</f>
        <v>81</v>
      </c>
      <c r="B335" t="str">
        <f ca="1">TEXT(DATE(YEAR(Invoer!$A$5),1,1)+MOD(ROWS(B$2:B335)-1,DATE(YEAR(Invoer!$A$5),12,31)-DATE(YEAR(Invoer!$A$5),1,1)+1),"jjjjmmdd")</f>
        <v>19401129</v>
      </c>
      <c r="C335" s="18">
        <v>1</v>
      </c>
      <c r="D335" s="23">
        <f t="shared" ca="1" si="10"/>
        <v>50</v>
      </c>
      <c r="E335" s="24">
        <f t="shared" ca="1" si="11"/>
        <v>0</v>
      </c>
    </row>
    <row r="336" spans="1:5" x14ac:dyDescent="0.25">
      <c r="A336" s="17">
        <f ca="1">INDEX(Stations,INT((ROWS(A$2:A336)-1)/(DATE(YEAR(Invoer!$A$5),12,31)-DATE(YEAR(Invoer!$A$5),1,1)+1))+2,1)</f>
        <v>81</v>
      </c>
      <c r="B336" t="str">
        <f ca="1">TEXT(DATE(YEAR(Invoer!$A$5),1,1)+MOD(ROWS(B$2:B336)-1,DATE(YEAR(Invoer!$A$5),12,31)-DATE(YEAR(Invoer!$A$5),1,1)+1),"jjjjmmdd")</f>
        <v>19401130</v>
      </c>
      <c r="C336" s="18">
        <v>1</v>
      </c>
      <c r="D336" s="23">
        <f t="shared" ca="1" si="10"/>
        <v>5</v>
      </c>
      <c r="E336" s="24">
        <f t="shared" ca="1" si="11"/>
        <v>0</v>
      </c>
    </row>
    <row r="337" spans="1:5" x14ac:dyDescent="0.25">
      <c r="A337" s="17">
        <f ca="1">INDEX(Stations,INT((ROWS(A$2:A337)-1)/(DATE(YEAR(Invoer!$A$5),12,31)-DATE(YEAR(Invoer!$A$5),1,1)+1))+2,1)</f>
        <v>81</v>
      </c>
      <c r="B337" t="str">
        <f ca="1">TEXT(DATE(YEAR(Invoer!$A$5),1,1)+MOD(ROWS(B$2:B337)-1,DATE(YEAR(Invoer!$A$5),12,31)-DATE(YEAR(Invoer!$A$5),1,1)+1),"jjjjmmdd")</f>
        <v>19401201</v>
      </c>
      <c r="C337" s="18">
        <v>1</v>
      </c>
      <c r="D337" s="23">
        <f t="shared" ca="1" si="10"/>
        <v>0</v>
      </c>
      <c r="E337" s="24">
        <f t="shared" ca="1" si="11"/>
        <v>0</v>
      </c>
    </row>
    <row r="338" spans="1:5" x14ac:dyDescent="0.25">
      <c r="A338" s="17">
        <f ca="1">INDEX(Stations,INT((ROWS(A$2:A338)-1)/(DATE(YEAR(Invoer!$A$5),12,31)-DATE(YEAR(Invoer!$A$5),1,1)+1))+2,1)</f>
        <v>81</v>
      </c>
      <c r="B338" t="str">
        <f ca="1">TEXT(DATE(YEAR(Invoer!$A$5),1,1)+MOD(ROWS(B$2:B338)-1,DATE(YEAR(Invoer!$A$5),12,31)-DATE(YEAR(Invoer!$A$5),1,1)+1),"jjjjmmdd")</f>
        <v>19401202</v>
      </c>
      <c r="C338" s="18">
        <v>1</v>
      </c>
      <c r="D338" s="23">
        <f t="shared" ca="1" si="10"/>
        <v>0</v>
      </c>
      <c r="E338" s="24">
        <f t="shared" ca="1" si="11"/>
        <v>0</v>
      </c>
    </row>
    <row r="339" spans="1:5" x14ac:dyDescent="0.25">
      <c r="A339" s="17">
        <f ca="1">INDEX(Stations,INT((ROWS(A$2:A339)-1)/(DATE(YEAR(Invoer!$A$5),12,31)-DATE(YEAR(Invoer!$A$5),1,1)+1))+2,1)</f>
        <v>81</v>
      </c>
      <c r="B339" t="str">
        <f ca="1">TEXT(DATE(YEAR(Invoer!$A$5),1,1)+MOD(ROWS(B$2:B339)-1,DATE(YEAR(Invoer!$A$5),12,31)-DATE(YEAR(Invoer!$A$5),1,1)+1),"jjjjmmdd")</f>
        <v>19401203</v>
      </c>
      <c r="C339" s="18">
        <v>1</v>
      </c>
      <c r="D339" s="23">
        <f t="shared" ca="1" si="10"/>
        <v>0</v>
      </c>
      <c r="E339" s="24">
        <f t="shared" ca="1" si="11"/>
        <v>0</v>
      </c>
    </row>
    <row r="340" spans="1:5" x14ac:dyDescent="0.25">
      <c r="A340" s="17">
        <f ca="1">INDEX(Stations,INT((ROWS(A$2:A340)-1)/(DATE(YEAR(Invoer!$A$5),12,31)-DATE(YEAR(Invoer!$A$5),1,1)+1))+2,1)</f>
        <v>81</v>
      </c>
      <c r="B340" t="str">
        <f ca="1">TEXT(DATE(YEAR(Invoer!$A$5),1,1)+MOD(ROWS(B$2:B340)-1,DATE(YEAR(Invoer!$A$5),12,31)-DATE(YEAR(Invoer!$A$5),1,1)+1),"jjjjmmdd")</f>
        <v>19401204</v>
      </c>
      <c r="C340" s="18">
        <v>1</v>
      </c>
      <c r="D340" s="23">
        <f t="shared" ca="1" si="10"/>
        <v>0</v>
      </c>
      <c r="E340" s="24">
        <f t="shared" ca="1" si="11"/>
        <v>0</v>
      </c>
    </row>
    <row r="341" spans="1:5" x14ac:dyDescent="0.25">
      <c r="A341" s="17">
        <f ca="1">INDEX(Stations,INT((ROWS(A$2:A341)-1)/(DATE(YEAR(Invoer!$A$5),12,31)-DATE(YEAR(Invoer!$A$5),1,1)+1))+2,1)</f>
        <v>81</v>
      </c>
      <c r="B341" t="str">
        <f ca="1">TEXT(DATE(YEAR(Invoer!$A$5),1,1)+MOD(ROWS(B$2:B341)-1,DATE(YEAR(Invoer!$A$5),12,31)-DATE(YEAR(Invoer!$A$5),1,1)+1),"jjjjmmdd")</f>
        <v>19401205</v>
      </c>
      <c r="C341" s="18">
        <v>1</v>
      </c>
      <c r="D341" s="23">
        <f t="shared" ca="1" si="10"/>
        <v>75</v>
      </c>
      <c r="E341" s="24">
        <f t="shared" ca="1" si="11"/>
        <v>0</v>
      </c>
    </row>
    <row r="342" spans="1:5" x14ac:dyDescent="0.25">
      <c r="A342" s="17">
        <f ca="1">INDEX(Stations,INT((ROWS(A$2:A342)-1)/(DATE(YEAR(Invoer!$A$5),12,31)-DATE(YEAR(Invoer!$A$5),1,1)+1))+2,1)</f>
        <v>81</v>
      </c>
      <c r="B342" t="str">
        <f ca="1">TEXT(DATE(YEAR(Invoer!$A$5),1,1)+MOD(ROWS(B$2:B342)-1,DATE(YEAR(Invoer!$A$5),12,31)-DATE(YEAR(Invoer!$A$5),1,1)+1),"jjjjmmdd")</f>
        <v>19401206</v>
      </c>
      <c r="C342" s="18">
        <v>1</v>
      </c>
      <c r="D342" s="23">
        <f t="shared" ca="1" si="10"/>
        <v>20</v>
      </c>
      <c r="E342" s="24">
        <f t="shared" ca="1" si="11"/>
        <v>0</v>
      </c>
    </row>
    <row r="343" spans="1:5" x14ac:dyDescent="0.25">
      <c r="A343" s="17">
        <f ca="1">INDEX(Stations,INT((ROWS(A$2:A343)-1)/(DATE(YEAR(Invoer!$A$5),12,31)-DATE(YEAR(Invoer!$A$5),1,1)+1))+2,1)</f>
        <v>81</v>
      </c>
      <c r="B343" t="str">
        <f ca="1">TEXT(DATE(YEAR(Invoer!$A$5),1,1)+MOD(ROWS(B$2:B343)-1,DATE(YEAR(Invoer!$A$5),12,31)-DATE(YEAR(Invoer!$A$5),1,1)+1),"jjjjmmdd")</f>
        <v>19401207</v>
      </c>
      <c r="C343" s="18">
        <v>1</v>
      </c>
      <c r="D343" s="23">
        <f t="shared" ca="1" si="10"/>
        <v>0</v>
      </c>
      <c r="E343" s="24">
        <f t="shared" ca="1" si="11"/>
        <v>0</v>
      </c>
    </row>
    <row r="344" spans="1:5" x14ac:dyDescent="0.25">
      <c r="A344" s="17">
        <f ca="1">INDEX(Stations,INT((ROWS(A$2:A344)-1)/(DATE(YEAR(Invoer!$A$5),12,31)-DATE(YEAR(Invoer!$A$5),1,1)+1))+2,1)</f>
        <v>81</v>
      </c>
      <c r="B344" t="str">
        <f ca="1">TEXT(DATE(YEAR(Invoer!$A$5),1,1)+MOD(ROWS(B$2:B344)-1,DATE(YEAR(Invoer!$A$5),12,31)-DATE(YEAR(Invoer!$A$5),1,1)+1),"jjjjmmdd")</f>
        <v>19401208</v>
      </c>
      <c r="C344" s="18">
        <v>1</v>
      </c>
      <c r="D344" s="23">
        <f t="shared" ca="1" si="10"/>
        <v>0</v>
      </c>
      <c r="E344" s="24">
        <f t="shared" ca="1" si="11"/>
        <v>0</v>
      </c>
    </row>
    <row r="345" spans="1:5" x14ac:dyDescent="0.25">
      <c r="A345" s="17">
        <f ca="1">INDEX(Stations,INT((ROWS(A$2:A345)-1)/(DATE(YEAR(Invoer!$A$5),12,31)-DATE(YEAR(Invoer!$A$5),1,1)+1))+2,1)</f>
        <v>81</v>
      </c>
      <c r="B345" t="str">
        <f ca="1">TEXT(DATE(YEAR(Invoer!$A$5),1,1)+MOD(ROWS(B$2:B345)-1,DATE(YEAR(Invoer!$A$5),12,31)-DATE(YEAR(Invoer!$A$5),1,1)+1),"jjjjmmdd")</f>
        <v>19401209</v>
      </c>
      <c r="C345" s="18">
        <v>1</v>
      </c>
      <c r="D345" s="23">
        <f t="shared" ca="1" si="10"/>
        <v>0</v>
      </c>
      <c r="E345" s="24">
        <f t="shared" ca="1" si="11"/>
        <v>0</v>
      </c>
    </row>
    <row r="346" spans="1:5" x14ac:dyDescent="0.25">
      <c r="A346" s="17">
        <f ca="1">INDEX(Stations,INT((ROWS(A$2:A346)-1)/(DATE(YEAR(Invoer!$A$5),12,31)-DATE(YEAR(Invoer!$A$5),1,1)+1))+2,1)</f>
        <v>81</v>
      </c>
      <c r="B346" t="str">
        <f ca="1">TEXT(DATE(YEAR(Invoer!$A$5),1,1)+MOD(ROWS(B$2:B346)-1,DATE(YEAR(Invoer!$A$5),12,31)-DATE(YEAR(Invoer!$A$5),1,1)+1),"jjjjmmdd")</f>
        <v>19401210</v>
      </c>
      <c r="C346" s="18">
        <v>1</v>
      </c>
      <c r="D346" s="23">
        <f t="shared" ca="1" si="10"/>
        <v>0</v>
      </c>
      <c r="E346" s="24">
        <f t="shared" ca="1" si="11"/>
        <v>0</v>
      </c>
    </row>
    <row r="347" spans="1:5" x14ac:dyDescent="0.25">
      <c r="A347" s="17">
        <f ca="1">INDEX(Stations,INT((ROWS(A$2:A347)-1)/(DATE(YEAR(Invoer!$A$5),12,31)-DATE(YEAR(Invoer!$A$5),1,1)+1))+2,1)</f>
        <v>81</v>
      </c>
      <c r="B347" t="str">
        <f ca="1">TEXT(DATE(YEAR(Invoer!$A$5),1,1)+MOD(ROWS(B$2:B347)-1,DATE(YEAR(Invoer!$A$5),12,31)-DATE(YEAR(Invoer!$A$5),1,1)+1),"jjjjmmdd")</f>
        <v>19401211</v>
      </c>
      <c r="C347" s="18">
        <v>1</v>
      </c>
      <c r="D347" s="23">
        <f t="shared" ca="1" si="10"/>
        <v>25</v>
      </c>
      <c r="E347" s="24">
        <f t="shared" ca="1" si="11"/>
        <v>0</v>
      </c>
    </row>
    <row r="348" spans="1:5" x14ac:dyDescent="0.25">
      <c r="A348" s="17">
        <f ca="1">INDEX(Stations,INT((ROWS(A$2:A348)-1)/(DATE(YEAR(Invoer!$A$5),12,31)-DATE(YEAR(Invoer!$A$5),1,1)+1))+2,1)</f>
        <v>81</v>
      </c>
      <c r="B348" t="str">
        <f ca="1">TEXT(DATE(YEAR(Invoer!$A$5),1,1)+MOD(ROWS(B$2:B348)-1,DATE(YEAR(Invoer!$A$5),12,31)-DATE(YEAR(Invoer!$A$5),1,1)+1),"jjjjmmdd")</f>
        <v>19401212</v>
      </c>
      <c r="C348" s="18">
        <v>1</v>
      </c>
      <c r="D348" s="23">
        <f t="shared" ca="1" si="10"/>
        <v>0</v>
      </c>
      <c r="E348" s="24">
        <f t="shared" ca="1" si="11"/>
        <v>0</v>
      </c>
    </row>
    <row r="349" spans="1:5" x14ac:dyDescent="0.25">
      <c r="A349" s="17">
        <f ca="1">INDEX(Stations,INT((ROWS(A$2:A349)-1)/(DATE(YEAR(Invoer!$A$5),12,31)-DATE(YEAR(Invoer!$A$5),1,1)+1))+2,1)</f>
        <v>81</v>
      </c>
      <c r="B349" t="str">
        <f ca="1">TEXT(DATE(YEAR(Invoer!$A$5),1,1)+MOD(ROWS(B$2:B349)-1,DATE(YEAR(Invoer!$A$5),12,31)-DATE(YEAR(Invoer!$A$5),1,1)+1),"jjjjmmdd")</f>
        <v>19401213</v>
      </c>
      <c r="C349" s="18">
        <v>1</v>
      </c>
      <c r="D349" s="23">
        <f t="shared" ca="1" si="10"/>
        <v>0</v>
      </c>
      <c r="E349" s="24">
        <f t="shared" ca="1" si="11"/>
        <v>0</v>
      </c>
    </row>
    <row r="350" spans="1:5" x14ac:dyDescent="0.25">
      <c r="A350" s="17">
        <f ca="1">INDEX(Stations,INT((ROWS(A$2:A350)-1)/(DATE(YEAR(Invoer!$A$5),12,31)-DATE(YEAR(Invoer!$A$5),1,1)+1))+2,1)</f>
        <v>81</v>
      </c>
      <c r="B350" t="str">
        <f ca="1">TEXT(DATE(YEAR(Invoer!$A$5),1,1)+MOD(ROWS(B$2:B350)-1,DATE(YEAR(Invoer!$A$5),12,31)-DATE(YEAR(Invoer!$A$5),1,1)+1),"jjjjmmdd")</f>
        <v>19401214</v>
      </c>
      <c r="C350" s="18">
        <v>1</v>
      </c>
      <c r="D350" s="23">
        <f t="shared" ca="1" si="10"/>
        <v>100</v>
      </c>
      <c r="E350" s="24">
        <f t="shared" ca="1" si="11"/>
        <v>0</v>
      </c>
    </row>
    <row r="351" spans="1:5" x14ac:dyDescent="0.25">
      <c r="A351" s="17">
        <f ca="1">INDEX(Stations,INT((ROWS(A$2:A351)-1)/(DATE(YEAR(Invoer!$A$5),12,31)-DATE(YEAR(Invoer!$A$5),1,1)+1))+2,1)</f>
        <v>81</v>
      </c>
      <c r="B351" t="str">
        <f ca="1">TEXT(DATE(YEAR(Invoer!$A$5),1,1)+MOD(ROWS(B$2:B351)-1,DATE(YEAR(Invoer!$A$5),12,31)-DATE(YEAR(Invoer!$A$5),1,1)+1),"jjjjmmdd")</f>
        <v>19401215</v>
      </c>
      <c r="C351" s="18">
        <v>1</v>
      </c>
      <c r="D351" s="23">
        <f t="shared" ca="1" si="10"/>
        <v>50</v>
      </c>
      <c r="E351" s="24">
        <f t="shared" ca="1" si="11"/>
        <v>0</v>
      </c>
    </row>
    <row r="352" spans="1:5" x14ac:dyDescent="0.25">
      <c r="A352" s="17">
        <f ca="1">INDEX(Stations,INT((ROWS(A$2:A352)-1)/(DATE(YEAR(Invoer!$A$5),12,31)-DATE(YEAR(Invoer!$A$5),1,1)+1))+2,1)</f>
        <v>81</v>
      </c>
      <c r="B352" t="str">
        <f ca="1">TEXT(DATE(YEAR(Invoer!$A$5),1,1)+MOD(ROWS(B$2:B352)-1,DATE(YEAR(Invoer!$A$5),12,31)-DATE(YEAR(Invoer!$A$5),1,1)+1),"jjjjmmdd")</f>
        <v>19401216</v>
      </c>
      <c r="C352" s="18">
        <v>1</v>
      </c>
      <c r="D352" s="23">
        <f t="shared" ca="1" si="10"/>
        <v>0</v>
      </c>
      <c r="E352" s="24">
        <f t="shared" ca="1" si="11"/>
        <v>0</v>
      </c>
    </row>
    <row r="353" spans="1:5" x14ac:dyDescent="0.25">
      <c r="A353" s="17">
        <f ca="1">INDEX(Stations,INT((ROWS(A$2:A353)-1)/(DATE(YEAR(Invoer!$A$5),12,31)-DATE(YEAR(Invoer!$A$5),1,1)+1))+2,1)</f>
        <v>81</v>
      </c>
      <c r="B353" t="str">
        <f ca="1">TEXT(DATE(YEAR(Invoer!$A$5),1,1)+MOD(ROWS(B$2:B353)-1,DATE(YEAR(Invoer!$A$5),12,31)-DATE(YEAR(Invoer!$A$5),1,1)+1),"jjjjmmdd")</f>
        <v>19401217</v>
      </c>
      <c r="C353" s="18">
        <v>1</v>
      </c>
      <c r="D353" s="23">
        <f t="shared" ca="1" si="10"/>
        <v>12</v>
      </c>
      <c r="E353" s="24">
        <f t="shared" ca="1" si="11"/>
        <v>0</v>
      </c>
    </row>
    <row r="354" spans="1:5" x14ac:dyDescent="0.25">
      <c r="A354" s="17">
        <f ca="1">INDEX(Stations,INT((ROWS(A$2:A354)-1)/(DATE(YEAR(Invoer!$A$5),12,31)-DATE(YEAR(Invoer!$A$5),1,1)+1))+2,1)</f>
        <v>81</v>
      </c>
      <c r="B354" t="str">
        <f ca="1">TEXT(DATE(YEAR(Invoer!$A$5),1,1)+MOD(ROWS(B$2:B354)-1,DATE(YEAR(Invoer!$A$5),12,31)-DATE(YEAR(Invoer!$A$5),1,1)+1),"jjjjmmdd")</f>
        <v>19401218</v>
      </c>
      <c r="C354" s="18">
        <v>1</v>
      </c>
      <c r="D354" s="23">
        <f t="shared" ca="1" si="10"/>
        <v>0</v>
      </c>
      <c r="E354" s="24">
        <f t="shared" ca="1" si="11"/>
        <v>0</v>
      </c>
    </row>
    <row r="355" spans="1:5" x14ac:dyDescent="0.25">
      <c r="A355" s="17">
        <f ca="1">INDEX(Stations,INT((ROWS(A$2:A355)-1)/(DATE(YEAR(Invoer!$A$5),12,31)-DATE(YEAR(Invoer!$A$5),1,1)+1))+2,1)</f>
        <v>81</v>
      </c>
      <c r="B355" t="str">
        <f ca="1">TEXT(DATE(YEAR(Invoer!$A$5),1,1)+MOD(ROWS(B$2:B355)-1,DATE(YEAR(Invoer!$A$5),12,31)-DATE(YEAR(Invoer!$A$5),1,1)+1),"jjjjmmdd")</f>
        <v>19401219</v>
      </c>
      <c r="C355" s="18">
        <v>1</v>
      </c>
      <c r="D355" s="23">
        <f t="shared" ca="1" si="10"/>
        <v>95</v>
      </c>
      <c r="E355" s="24">
        <f t="shared" ca="1" si="11"/>
        <v>0</v>
      </c>
    </row>
    <row r="356" spans="1:5" x14ac:dyDescent="0.25">
      <c r="A356" s="17">
        <f ca="1">INDEX(Stations,INT((ROWS(A$2:A356)-1)/(DATE(YEAR(Invoer!$A$5),12,31)-DATE(YEAR(Invoer!$A$5),1,1)+1))+2,1)</f>
        <v>81</v>
      </c>
      <c r="B356" t="str">
        <f ca="1">TEXT(DATE(YEAR(Invoer!$A$5),1,1)+MOD(ROWS(B$2:B356)-1,DATE(YEAR(Invoer!$A$5),12,31)-DATE(YEAR(Invoer!$A$5),1,1)+1),"jjjjmmdd")</f>
        <v>19401220</v>
      </c>
      <c r="C356" s="18">
        <v>1</v>
      </c>
      <c r="D356" s="23">
        <f t="shared" ca="1" si="10"/>
        <v>0</v>
      </c>
      <c r="E356" s="24">
        <f t="shared" ca="1" si="11"/>
        <v>0</v>
      </c>
    </row>
    <row r="357" spans="1:5" x14ac:dyDescent="0.25">
      <c r="A357" s="17">
        <f ca="1">INDEX(Stations,INT((ROWS(A$2:A357)-1)/(DATE(YEAR(Invoer!$A$5),12,31)-DATE(YEAR(Invoer!$A$5),1,1)+1))+2,1)</f>
        <v>81</v>
      </c>
      <c r="B357" t="str">
        <f ca="1">TEXT(DATE(YEAR(Invoer!$A$5),1,1)+MOD(ROWS(B$2:B357)-1,DATE(YEAR(Invoer!$A$5),12,31)-DATE(YEAR(Invoer!$A$5),1,1)+1),"jjjjmmdd")</f>
        <v>19401221</v>
      </c>
      <c r="C357" s="18">
        <v>1</v>
      </c>
      <c r="D357" s="23">
        <f t="shared" ca="1" si="10"/>
        <v>60</v>
      </c>
      <c r="E357" s="24">
        <f t="shared" ca="1" si="11"/>
        <v>0</v>
      </c>
    </row>
    <row r="358" spans="1:5" x14ac:dyDescent="0.25">
      <c r="A358" s="17">
        <f ca="1">INDEX(Stations,INT((ROWS(A$2:A358)-1)/(DATE(YEAR(Invoer!$A$5),12,31)-DATE(YEAR(Invoer!$A$5),1,1)+1))+2,1)</f>
        <v>81</v>
      </c>
      <c r="B358" t="str">
        <f ca="1">TEXT(DATE(YEAR(Invoer!$A$5),1,1)+MOD(ROWS(B$2:B358)-1,DATE(YEAR(Invoer!$A$5),12,31)-DATE(YEAR(Invoer!$A$5),1,1)+1),"jjjjmmdd")</f>
        <v>19401222</v>
      </c>
      <c r="C358" s="18">
        <v>1</v>
      </c>
      <c r="D358" s="23">
        <f t="shared" ca="1" si="10"/>
        <v>0</v>
      </c>
      <c r="E358" s="24">
        <f t="shared" ca="1" si="11"/>
        <v>0</v>
      </c>
    </row>
    <row r="359" spans="1:5" x14ac:dyDescent="0.25">
      <c r="A359" s="17">
        <f ca="1">INDEX(Stations,INT((ROWS(A$2:A359)-1)/(DATE(YEAR(Invoer!$A$5),12,31)-DATE(YEAR(Invoer!$A$5),1,1)+1))+2,1)</f>
        <v>81</v>
      </c>
      <c r="B359" t="str">
        <f ca="1">TEXT(DATE(YEAR(Invoer!$A$5),1,1)+MOD(ROWS(B$2:B359)-1,DATE(YEAR(Invoer!$A$5),12,31)-DATE(YEAR(Invoer!$A$5),1,1)+1),"jjjjmmdd")</f>
        <v>19401223</v>
      </c>
      <c r="C359" s="18">
        <v>1</v>
      </c>
      <c r="D359" s="23">
        <f t="shared" ca="1" si="10"/>
        <v>0</v>
      </c>
      <c r="E359" s="24">
        <f t="shared" ca="1" si="11"/>
        <v>0</v>
      </c>
    </row>
    <row r="360" spans="1:5" x14ac:dyDescent="0.25">
      <c r="A360" s="17">
        <f ca="1">INDEX(Stations,INT((ROWS(A$2:A360)-1)/(DATE(YEAR(Invoer!$A$5),12,31)-DATE(YEAR(Invoer!$A$5),1,1)+1))+2,1)</f>
        <v>81</v>
      </c>
      <c r="B360" t="str">
        <f ca="1">TEXT(DATE(YEAR(Invoer!$A$5),1,1)+MOD(ROWS(B$2:B360)-1,DATE(YEAR(Invoer!$A$5),12,31)-DATE(YEAR(Invoer!$A$5),1,1)+1),"jjjjmmdd")</f>
        <v>19401224</v>
      </c>
      <c r="C360" s="18">
        <v>1</v>
      </c>
      <c r="D360" s="23">
        <f t="shared" ca="1" si="10"/>
        <v>345</v>
      </c>
      <c r="E360" s="24">
        <f t="shared" ca="1" si="11"/>
        <v>0</v>
      </c>
    </row>
    <row r="361" spans="1:5" x14ac:dyDescent="0.25">
      <c r="A361" s="17">
        <f ca="1">INDEX(Stations,INT((ROWS(A$2:A361)-1)/(DATE(YEAR(Invoer!$A$5),12,31)-DATE(YEAR(Invoer!$A$5),1,1)+1))+2,1)</f>
        <v>81</v>
      </c>
      <c r="B361" t="str">
        <f ca="1">TEXT(DATE(YEAR(Invoer!$A$5),1,1)+MOD(ROWS(B$2:B361)-1,DATE(YEAR(Invoer!$A$5),12,31)-DATE(YEAR(Invoer!$A$5),1,1)+1),"jjjjmmdd")</f>
        <v>19401225</v>
      </c>
      <c r="C361" s="18">
        <v>1</v>
      </c>
      <c r="D361" s="23">
        <f t="shared" ca="1" si="10"/>
        <v>0</v>
      </c>
      <c r="E361" s="24">
        <f t="shared" ca="1" si="11"/>
        <v>0</v>
      </c>
    </row>
    <row r="362" spans="1:5" x14ac:dyDescent="0.25">
      <c r="A362" s="17">
        <f ca="1">INDEX(Stations,INT((ROWS(A$2:A362)-1)/(DATE(YEAR(Invoer!$A$5),12,31)-DATE(YEAR(Invoer!$A$5),1,1)+1))+2,1)</f>
        <v>81</v>
      </c>
      <c r="B362" t="str">
        <f ca="1">TEXT(DATE(YEAR(Invoer!$A$5),1,1)+MOD(ROWS(B$2:B362)-1,DATE(YEAR(Invoer!$A$5),12,31)-DATE(YEAR(Invoer!$A$5),1,1)+1),"jjjjmmdd")</f>
        <v>19401226</v>
      </c>
      <c r="C362" s="18">
        <v>1</v>
      </c>
      <c r="D362" s="23">
        <f t="shared" ca="1" si="10"/>
        <v>0</v>
      </c>
      <c r="E362" s="24">
        <f t="shared" ca="1" si="11"/>
        <v>0</v>
      </c>
    </row>
    <row r="363" spans="1:5" x14ac:dyDescent="0.25">
      <c r="A363" s="17">
        <f ca="1">INDEX(Stations,INT((ROWS(A$2:A363)-1)/(DATE(YEAR(Invoer!$A$5),12,31)-DATE(YEAR(Invoer!$A$5),1,1)+1))+2,1)</f>
        <v>81</v>
      </c>
      <c r="B363" t="str">
        <f ca="1">TEXT(DATE(YEAR(Invoer!$A$5),1,1)+MOD(ROWS(B$2:B363)-1,DATE(YEAR(Invoer!$A$5),12,31)-DATE(YEAR(Invoer!$A$5),1,1)+1),"jjjjmmdd")</f>
        <v>19401227</v>
      </c>
      <c r="C363" s="18">
        <v>1</v>
      </c>
      <c r="D363" s="23">
        <f t="shared" ca="1" si="10"/>
        <v>0</v>
      </c>
      <c r="E363" s="24">
        <f t="shared" ca="1" si="11"/>
        <v>0</v>
      </c>
    </row>
    <row r="364" spans="1:5" x14ac:dyDescent="0.25">
      <c r="A364" s="17">
        <f ca="1">INDEX(Stations,INT((ROWS(A$2:A364)-1)/(DATE(YEAR(Invoer!$A$5),12,31)-DATE(YEAR(Invoer!$A$5),1,1)+1))+2,1)</f>
        <v>81</v>
      </c>
      <c r="B364" t="str">
        <f ca="1">TEXT(DATE(YEAR(Invoer!$A$5),1,1)+MOD(ROWS(B$2:B364)-1,DATE(YEAR(Invoer!$A$5),12,31)-DATE(YEAR(Invoer!$A$5),1,1)+1),"jjjjmmdd")</f>
        <v>19401228</v>
      </c>
      <c r="C364" s="18">
        <v>1</v>
      </c>
      <c r="D364" s="23">
        <f t="shared" ca="1" si="10"/>
        <v>0</v>
      </c>
      <c r="E364" s="24">
        <f t="shared" ca="1" si="11"/>
        <v>0</v>
      </c>
    </row>
    <row r="365" spans="1:5" x14ac:dyDescent="0.25">
      <c r="A365" s="17">
        <f ca="1">INDEX(Stations,INT((ROWS(A$2:A365)-1)/(DATE(YEAR(Invoer!$A$5),12,31)-DATE(YEAR(Invoer!$A$5),1,1)+1))+2,1)</f>
        <v>81</v>
      </c>
      <c r="B365" t="str">
        <f ca="1">TEXT(DATE(YEAR(Invoer!$A$5),1,1)+MOD(ROWS(B$2:B365)-1,DATE(YEAR(Invoer!$A$5),12,31)-DATE(YEAR(Invoer!$A$5),1,1)+1),"jjjjmmdd")</f>
        <v>19401229</v>
      </c>
      <c r="C365" s="18">
        <v>1</v>
      </c>
      <c r="D365" s="23">
        <f t="shared" ca="1" si="10"/>
        <v>10</v>
      </c>
      <c r="E365" s="24">
        <f t="shared" ca="1" si="11"/>
        <v>0</v>
      </c>
    </row>
    <row r="366" spans="1:5" x14ac:dyDescent="0.25">
      <c r="A366" s="17">
        <f ca="1">INDEX(Stations,INT((ROWS(A$2:A366)-1)/(DATE(YEAR(Invoer!$A$5),12,31)-DATE(YEAR(Invoer!$A$5),1,1)+1))+2,1)</f>
        <v>81</v>
      </c>
      <c r="B366" t="str">
        <f ca="1">TEXT(DATE(YEAR(Invoer!$A$5),1,1)+MOD(ROWS(B$2:B366)-1,DATE(YEAR(Invoer!$A$5),12,31)-DATE(YEAR(Invoer!$A$5),1,1)+1),"jjjjmmdd")</f>
        <v>19401230</v>
      </c>
      <c r="C366" s="18">
        <v>1</v>
      </c>
      <c r="D366" s="23">
        <f t="shared" ca="1" si="10"/>
        <v>0</v>
      </c>
      <c r="E366" s="24">
        <f t="shared" ca="1" si="11"/>
        <v>0</v>
      </c>
    </row>
    <row r="367" spans="1:5" x14ac:dyDescent="0.25">
      <c r="A367" s="17">
        <f ca="1">INDEX(Stations,INT((ROWS(A$2:A367)-1)/(DATE(YEAR(Invoer!$A$5),12,31)-DATE(YEAR(Invoer!$A$5),1,1)+1))+2,1)</f>
        <v>81</v>
      </c>
      <c r="B367" t="str">
        <f ca="1">TEXT(DATE(YEAR(Invoer!$A$5),1,1)+MOD(ROWS(B$2:B367)-1,DATE(YEAR(Invoer!$A$5),12,31)-DATE(YEAR(Invoer!$A$5),1,1)+1),"jjjjmmdd")</f>
        <v>19401231</v>
      </c>
      <c r="C367" s="18">
        <v>1</v>
      </c>
      <c r="D367" s="23">
        <f t="shared" ca="1" si="10"/>
        <v>0</v>
      </c>
      <c r="E367" s="24">
        <f t="shared" ca="1" si="11"/>
        <v>0</v>
      </c>
    </row>
    <row r="368" spans="1:5" x14ac:dyDescent="0.25">
      <c r="A368" s="17">
        <f ca="1">INDEX(Stations,INT((ROWS(A$2:A368)-1)/(DATE(YEAR(Invoer!$A$5),12,31)-DATE(YEAR(Invoer!$A$5),1,1)+1))+2,1)</f>
        <v>83</v>
      </c>
      <c r="B368" t="str">
        <f ca="1">TEXT(DATE(YEAR(Invoer!$A$5),1,1)+MOD(ROWS(B$2:B368)-1,DATE(YEAR(Invoer!$A$5),12,31)-DATE(YEAR(Invoer!$A$5),1,1)+1),"jjjjmmdd")</f>
        <v>19400101</v>
      </c>
      <c r="C368" s="18">
        <v>1</v>
      </c>
      <c r="D368" s="23">
        <f t="shared" ca="1" si="10"/>
        <v>15</v>
      </c>
      <c r="E368" s="24">
        <f t="shared" ca="1" si="11"/>
        <v>0</v>
      </c>
    </row>
    <row r="369" spans="1:5" x14ac:dyDescent="0.25">
      <c r="A369" s="17">
        <f ca="1">INDEX(Stations,INT((ROWS(A$2:A369)-1)/(DATE(YEAR(Invoer!$A$5),12,31)-DATE(YEAR(Invoer!$A$5),1,1)+1))+2,1)</f>
        <v>83</v>
      </c>
      <c r="B369" t="str">
        <f ca="1">TEXT(DATE(YEAR(Invoer!$A$5),1,1)+MOD(ROWS(B$2:B369)-1,DATE(YEAR(Invoer!$A$5),12,31)-DATE(YEAR(Invoer!$A$5),1,1)+1),"jjjjmmdd")</f>
        <v>19400102</v>
      </c>
      <c r="C369" s="18">
        <v>1</v>
      </c>
      <c r="D369" s="23">
        <f t="shared" ca="1" si="10"/>
        <v>0</v>
      </c>
      <c r="E369" s="24">
        <f t="shared" ca="1" si="11"/>
        <v>0</v>
      </c>
    </row>
    <row r="370" spans="1:5" x14ac:dyDescent="0.25">
      <c r="A370" s="17">
        <f ca="1">INDEX(Stations,INT((ROWS(A$2:A370)-1)/(DATE(YEAR(Invoer!$A$5),12,31)-DATE(YEAR(Invoer!$A$5),1,1)+1))+2,1)</f>
        <v>83</v>
      </c>
      <c r="B370" t="str">
        <f ca="1">TEXT(DATE(YEAR(Invoer!$A$5),1,1)+MOD(ROWS(B$2:B370)-1,DATE(YEAR(Invoer!$A$5),12,31)-DATE(YEAR(Invoer!$A$5),1,1)+1),"jjjjmmdd")</f>
        <v>19400103</v>
      </c>
      <c r="C370" s="18">
        <v>1</v>
      </c>
      <c r="D370" s="23">
        <f t="shared" ca="1" si="10"/>
        <v>0</v>
      </c>
      <c r="E370" s="24">
        <f t="shared" ca="1" si="11"/>
        <v>0</v>
      </c>
    </row>
    <row r="371" spans="1:5" x14ac:dyDescent="0.25">
      <c r="A371" s="17">
        <f ca="1">INDEX(Stations,INT((ROWS(A$2:A371)-1)/(DATE(YEAR(Invoer!$A$5),12,31)-DATE(YEAR(Invoer!$A$5),1,1)+1))+2,1)</f>
        <v>83</v>
      </c>
      <c r="B371" t="str">
        <f ca="1">TEXT(DATE(YEAR(Invoer!$A$5),1,1)+MOD(ROWS(B$2:B371)-1,DATE(YEAR(Invoer!$A$5),12,31)-DATE(YEAR(Invoer!$A$5),1,1)+1),"jjjjmmdd")</f>
        <v>19400104</v>
      </c>
      <c r="C371" s="18">
        <v>1</v>
      </c>
      <c r="D371" s="23">
        <f t="shared" ca="1" si="10"/>
        <v>0</v>
      </c>
      <c r="E371" s="24">
        <f t="shared" ca="1" si="11"/>
        <v>0</v>
      </c>
    </row>
    <row r="372" spans="1:5" x14ac:dyDescent="0.25">
      <c r="A372" s="17">
        <f ca="1">INDEX(Stations,INT((ROWS(A$2:A372)-1)/(DATE(YEAR(Invoer!$A$5),12,31)-DATE(YEAR(Invoer!$A$5),1,1)+1))+2,1)</f>
        <v>83</v>
      </c>
      <c r="B372" t="str">
        <f ca="1">TEXT(DATE(YEAR(Invoer!$A$5),1,1)+MOD(ROWS(B$2:B372)-1,DATE(YEAR(Invoer!$A$5),12,31)-DATE(YEAR(Invoer!$A$5),1,1)+1),"jjjjmmdd")</f>
        <v>19400105</v>
      </c>
      <c r="C372" s="18">
        <v>1</v>
      </c>
      <c r="D372" s="23">
        <f t="shared" ca="1" si="10"/>
        <v>0</v>
      </c>
      <c r="E372" s="24">
        <f t="shared" ca="1" si="11"/>
        <v>0</v>
      </c>
    </row>
    <row r="373" spans="1:5" x14ac:dyDescent="0.25">
      <c r="A373" s="17">
        <f ca="1">INDEX(Stations,INT((ROWS(A$2:A373)-1)/(DATE(YEAR(Invoer!$A$5),12,31)-DATE(YEAR(Invoer!$A$5),1,1)+1))+2,1)</f>
        <v>83</v>
      </c>
      <c r="B373" t="str">
        <f ca="1">TEXT(DATE(YEAR(Invoer!$A$5),1,1)+MOD(ROWS(B$2:B373)-1,DATE(YEAR(Invoer!$A$5),12,31)-DATE(YEAR(Invoer!$A$5),1,1)+1),"jjjjmmdd")</f>
        <v>19400106</v>
      </c>
      <c r="C373" s="18">
        <v>1</v>
      </c>
      <c r="D373" s="23">
        <f t="shared" ca="1" si="10"/>
        <v>0</v>
      </c>
      <c r="E373" s="24">
        <f t="shared" ca="1" si="11"/>
        <v>0</v>
      </c>
    </row>
    <row r="374" spans="1:5" x14ac:dyDescent="0.25">
      <c r="A374" s="17">
        <f ca="1">INDEX(Stations,INT((ROWS(A$2:A374)-1)/(DATE(YEAR(Invoer!$A$5),12,31)-DATE(YEAR(Invoer!$A$5),1,1)+1))+2,1)</f>
        <v>83</v>
      </c>
      <c r="B374" t="str">
        <f ca="1">TEXT(DATE(YEAR(Invoer!$A$5),1,1)+MOD(ROWS(B$2:B374)-1,DATE(YEAR(Invoer!$A$5),12,31)-DATE(YEAR(Invoer!$A$5),1,1)+1),"jjjjmmdd")</f>
        <v>19400107</v>
      </c>
      <c r="C374" s="18">
        <v>1</v>
      </c>
      <c r="D374" s="23">
        <f t="shared" ca="1" si="10"/>
        <v>0</v>
      </c>
      <c r="E374" s="24">
        <f t="shared" ca="1" si="11"/>
        <v>0</v>
      </c>
    </row>
    <row r="375" spans="1:5" x14ac:dyDescent="0.25">
      <c r="A375" s="17">
        <f ca="1">INDEX(Stations,INT((ROWS(A$2:A375)-1)/(DATE(YEAR(Invoer!$A$5),12,31)-DATE(YEAR(Invoer!$A$5),1,1)+1))+2,1)</f>
        <v>83</v>
      </c>
      <c r="B375" t="str">
        <f ca="1">TEXT(DATE(YEAR(Invoer!$A$5),1,1)+MOD(ROWS(B$2:B375)-1,DATE(YEAR(Invoer!$A$5),12,31)-DATE(YEAR(Invoer!$A$5),1,1)+1),"jjjjmmdd")</f>
        <v>19400108</v>
      </c>
      <c r="C375" s="18">
        <v>1</v>
      </c>
      <c r="D375" s="23">
        <f t="shared" ca="1" si="10"/>
        <v>0</v>
      </c>
      <c r="E375" s="24">
        <f t="shared" ca="1" si="11"/>
        <v>0</v>
      </c>
    </row>
    <row r="376" spans="1:5" x14ac:dyDescent="0.25">
      <c r="A376" s="17">
        <f ca="1">INDEX(Stations,INT((ROWS(A$2:A376)-1)/(DATE(YEAR(Invoer!$A$5),12,31)-DATE(YEAR(Invoer!$A$5),1,1)+1))+2,1)</f>
        <v>83</v>
      </c>
      <c r="B376" t="str">
        <f ca="1">TEXT(DATE(YEAR(Invoer!$A$5),1,1)+MOD(ROWS(B$2:B376)-1,DATE(YEAR(Invoer!$A$5),12,31)-DATE(YEAR(Invoer!$A$5),1,1)+1),"jjjjmmdd")</f>
        <v>19400109</v>
      </c>
      <c r="C376" s="18">
        <v>1</v>
      </c>
      <c r="D376" s="23">
        <f t="shared" ca="1" si="10"/>
        <v>0</v>
      </c>
      <c r="E376" s="24">
        <f t="shared" ca="1" si="11"/>
        <v>0</v>
      </c>
    </row>
    <row r="377" spans="1:5" x14ac:dyDescent="0.25">
      <c r="A377" s="17">
        <f ca="1">INDEX(Stations,INT((ROWS(A$2:A377)-1)/(DATE(YEAR(Invoer!$A$5),12,31)-DATE(YEAR(Invoer!$A$5),1,1)+1))+2,1)</f>
        <v>83</v>
      </c>
      <c r="B377" t="str">
        <f ca="1">TEXT(DATE(YEAR(Invoer!$A$5),1,1)+MOD(ROWS(B$2:B377)-1,DATE(YEAR(Invoer!$A$5),12,31)-DATE(YEAR(Invoer!$A$5),1,1)+1),"jjjjmmdd")</f>
        <v>19400110</v>
      </c>
      <c r="C377" s="18">
        <v>1</v>
      </c>
      <c r="D377" s="23">
        <f t="shared" ca="1" si="10"/>
        <v>10</v>
      </c>
      <c r="E377" s="24">
        <f t="shared" ca="1" si="11"/>
        <v>0</v>
      </c>
    </row>
    <row r="378" spans="1:5" x14ac:dyDescent="0.25">
      <c r="A378" s="17">
        <f ca="1">INDEX(Stations,INT((ROWS(A$2:A378)-1)/(DATE(YEAR(Invoer!$A$5),12,31)-DATE(YEAR(Invoer!$A$5),1,1)+1))+2,1)</f>
        <v>83</v>
      </c>
      <c r="B378" t="str">
        <f ca="1">TEXT(DATE(YEAR(Invoer!$A$5),1,1)+MOD(ROWS(B$2:B378)-1,DATE(YEAR(Invoer!$A$5),12,31)-DATE(YEAR(Invoer!$A$5),1,1)+1),"jjjjmmdd")</f>
        <v>19400111</v>
      </c>
      <c r="C378" s="18">
        <v>1</v>
      </c>
      <c r="D378" s="23">
        <f t="shared" ca="1" si="10"/>
        <v>0</v>
      </c>
      <c r="E378" s="24">
        <f t="shared" ca="1" si="11"/>
        <v>0</v>
      </c>
    </row>
    <row r="379" spans="1:5" x14ac:dyDescent="0.25">
      <c r="A379" s="17">
        <f ca="1">INDEX(Stations,INT((ROWS(A$2:A379)-1)/(DATE(YEAR(Invoer!$A$5),12,31)-DATE(YEAR(Invoer!$A$5),1,1)+1))+2,1)</f>
        <v>83</v>
      </c>
      <c r="B379" t="str">
        <f ca="1">TEXT(DATE(YEAR(Invoer!$A$5),1,1)+MOD(ROWS(B$2:B379)-1,DATE(YEAR(Invoer!$A$5),12,31)-DATE(YEAR(Invoer!$A$5),1,1)+1),"jjjjmmdd")</f>
        <v>19400112</v>
      </c>
      <c r="C379" s="18">
        <v>1</v>
      </c>
      <c r="D379" s="23">
        <f t="shared" ca="1" si="10"/>
        <v>0</v>
      </c>
      <c r="E379" s="24">
        <f t="shared" ca="1" si="11"/>
        <v>0</v>
      </c>
    </row>
    <row r="380" spans="1:5" x14ac:dyDescent="0.25">
      <c r="A380" s="17">
        <f ca="1">INDEX(Stations,INT((ROWS(A$2:A380)-1)/(DATE(YEAR(Invoer!$A$5),12,31)-DATE(YEAR(Invoer!$A$5),1,1)+1))+2,1)</f>
        <v>83</v>
      </c>
      <c r="B380" t="str">
        <f ca="1">TEXT(DATE(YEAR(Invoer!$A$5),1,1)+MOD(ROWS(B$2:B380)-1,DATE(YEAR(Invoer!$A$5),12,31)-DATE(YEAR(Invoer!$A$5),1,1)+1),"jjjjmmdd")</f>
        <v>19400113</v>
      </c>
      <c r="C380" s="18">
        <v>1</v>
      </c>
      <c r="D380" s="23">
        <f t="shared" ca="1" si="10"/>
        <v>0</v>
      </c>
      <c r="E380" s="24">
        <f t="shared" ca="1" si="11"/>
        <v>0</v>
      </c>
    </row>
    <row r="381" spans="1:5" x14ac:dyDescent="0.25">
      <c r="A381" s="17">
        <f ca="1">INDEX(Stations,INT((ROWS(A$2:A381)-1)/(DATE(YEAR(Invoer!$A$5),12,31)-DATE(YEAR(Invoer!$A$5),1,1)+1))+2,1)</f>
        <v>83</v>
      </c>
      <c r="B381" t="str">
        <f ca="1">TEXT(DATE(YEAR(Invoer!$A$5),1,1)+MOD(ROWS(B$2:B381)-1,DATE(YEAR(Invoer!$A$5),12,31)-DATE(YEAR(Invoer!$A$5),1,1)+1),"jjjjmmdd")</f>
        <v>19400114</v>
      </c>
      <c r="C381" s="18">
        <v>1</v>
      </c>
      <c r="D381" s="23">
        <f t="shared" ca="1" si="10"/>
        <v>0</v>
      </c>
      <c r="E381" s="24">
        <f t="shared" ca="1" si="11"/>
        <v>0</v>
      </c>
    </row>
    <row r="382" spans="1:5" x14ac:dyDescent="0.25">
      <c r="A382" s="17">
        <f ca="1">INDEX(Stations,INT((ROWS(A$2:A382)-1)/(DATE(YEAR(Invoer!$A$5),12,31)-DATE(YEAR(Invoer!$A$5),1,1)+1))+2,1)</f>
        <v>83</v>
      </c>
      <c r="B382" t="str">
        <f ca="1">TEXT(DATE(YEAR(Invoer!$A$5),1,1)+MOD(ROWS(B$2:B382)-1,DATE(YEAR(Invoer!$A$5),12,31)-DATE(YEAR(Invoer!$A$5),1,1)+1),"jjjjmmdd")</f>
        <v>19400115</v>
      </c>
      <c r="C382" s="18">
        <v>1</v>
      </c>
      <c r="D382" s="23">
        <f t="shared" ca="1" si="10"/>
        <v>140</v>
      </c>
      <c r="E382" s="24">
        <f t="shared" ca="1" si="11"/>
        <v>0</v>
      </c>
    </row>
    <row r="383" spans="1:5" x14ac:dyDescent="0.25">
      <c r="A383" s="17">
        <f ca="1">INDEX(Stations,INT((ROWS(A$2:A383)-1)/(DATE(YEAR(Invoer!$A$5),12,31)-DATE(YEAR(Invoer!$A$5),1,1)+1))+2,1)</f>
        <v>83</v>
      </c>
      <c r="B383" t="str">
        <f ca="1">TEXT(DATE(YEAR(Invoer!$A$5),1,1)+MOD(ROWS(B$2:B383)-1,DATE(YEAR(Invoer!$A$5),12,31)-DATE(YEAR(Invoer!$A$5),1,1)+1),"jjjjmmdd")</f>
        <v>19400116</v>
      </c>
      <c r="C383" s="18">
        <v>1</v>
      </c>
      <c r="D383" s="23">
        <f t="shared" ca="1" si="10"/>
        <v>0</v>
      </c>
      <c r="E383" s="24">
        <f t="shared" ca="1" si="11"/>
        <v>0</v>
      </c>
    </row>
    <row r="384" spans="1:5" x14ac:dyDescent="0.25">
      <c r="A384" s="17">
        <f ca="1">INDEX(Stations,INT((ROWS(A$2:A384)-1)/(DATE(YEAR(Invoer!$A$5),12,31)-DATE(YEAR(Invoer!$A$5),1,1)+1))+2,1)</f>
        <v>83</v>
      </c>
      <c r="B384" t="str">
        <f ca="1">TEXT(DATE(YEAR(Invoer!$A$5),1,1)+MOD(ROWS(B$2:B384)-1,DATE(YEAR(Invoer!$A$5),12,31)-DATE(YEAR(Invoer!$A$5),1,1)+1),"jjjjmmdd")</f>
        <v>19400117</v>
      </c>
      <c r="C384" s="18">
        <v>1</v>
      </c>
      <c r="D384" s="23">
        <f t="shared" ca="1" si="10"/>
        <v>0</v>
      </c>
      <c r="E384" s="24">
        <f t="shared" ca="1" si="11"/>
        <v>0</v>
      </c>
    </row>
    <row r="385" spans="1:5" x14ac:dyDescent="0.25">
      <c r="A385" s="17">
        <f ca="1">INDEX(Stations,INT((ROWS(A$2:A385)-1)/(DATE(YEAR(Invoer!$A$5),12,31)-DATE(YEAR(Invoer!$A$5),1,1)+1))+2,1)</f>
        <v>83</v>
      </c>
      <c r="B385" t="str">
        <f ca="1">TEXT(DATE(YEAR(Invoer!$A$5),1,1)+MOD(ROWS(B$2:B385)-1,DATE(YEAR(Invoer!$A$5),12,31)-DATE(YEAR(Invoer!$A$5),1,1)+1),"jjjjmmdd")</f>
        <v>19400118</v>
      </c>
      <c r="C385" s="18">
        <v>1</v>
      </c>
      <c r="D385" s="23">
        <f t="shared" ca="1" si="10"/>
        <v>0</v>
      </c>
      <c r="E385" s="24">
        <f t="shared" ca="1" si="11"/>
        <v>0</v>
      </c>
    </row>
    <row r="386" spans="1:5" x14ac:dyDescent="0.25">
      <c r="A386" s="17">
        <f ca="1">INDEX(Stations,INT((ROWS(A$2:A386)-1)/(DATE(YEAR(Invoer!$A$5),12,31)-DATE(YEAR(Invoer!$A$5),1,1)+1))+2,1)</f>
        <v>83</v>
      </c>
      <c r="B386" t="str">
        <f ca="1">TEXT(DATE(YEAR(Invoer!$A$5),1,1)+MOD(ROWS(B$2:B386)-1,DATE(YEAR(Invoer!$A$5),12,31)-DATE(YEAR(Invoer!$A$5),1,1)+1),"jjjjmmdd")</f>
        <v>19400119</v>
      </c>
      <c r="C386" s="18">
        <v>1</v>
      </c>
      <c r="D386" s="23">
        <f t="shared" ref="D386:D449" ca="1" si="12">IF(OR(ISBLANK(VLOOKUP(DATEVALUE(LEFT(B386,4)&amp;"-"&amp;MID(B386,5,2)&amp;"-"&amp;RIGHT(B386,2)),Data,MATCH(VLOOKUP(A386,Stations,2,FALSE()),OFFSET(Data,1,0,1),0),FALSE())),ISTEXT(VLOOKUP(DATEVALUE(LEFT(B386,4)&amp;"-"&amp;MID(B386,5,2)&amp;"-"&amp;RIGHT(B386,2)),Data,MATCH(VLOOKUP(A386,Stations,2,FALSE()),OFFSET(Data,1,0,1),0),FALSE()))),"—",VLOOKUP(DATEVALUE(LEFT(B386,4)&amp;"-"&amp;MID(B386,5,2)&amp;"-"&amp;RIGHT(B386,2)),Data,MATCH(VLOOKUP(A386,Stations,2,FALSE()),OFFSET(Data,1,0,1),0),FALSE()))</f>
        <v>0</v>
      </c>
      <c r="E386" s="24">
        <f t="shared" ref="E386:E449" ca="1" si="13">IF(OR(ISBLANK(VLOOKUP(DATEVALUE(LEFT(B386,4)&amp;"-"&amp;MID(B386,5,2)&amp;"-"&amp;RIGHT(B386,2)),Data,MATCH(VLOOKUP(A386,Stations,2,FALSE()),OFFSET(Data,1,0,1),0),FALSE())),ISTEXT(VLOOKUP(DATEVALUE(LEFT(B386,4)&amp;"-"&amp;MID(B386,5,2)&amp;"-"&amp;RIGHT(B386,2)),Data,MATCH(VLOOKUP(A386,Stations,2,FALSE()),OFFSET(Data,1,0,1),0),FALSE()))),Lacking,IF(ISNA(MATCH(DATEVALUE(LEFT(B386,4)&amp;"-"&amp;MID(B386,5,2)&amp;"-"&amp;RIGHT(B386,2)),OFFSET(Catalogus,0,0,,1),0)),Ok,VLOOKUP(DATEVALUE(LEFT(B386,4)&amp;"-"&amp;MID(B386,5,2)&amp;"-"&amp;RIGHT(B386,2)),Catalogus,MATCH(VLOOKUP(A386,Stations,2,FALSE()),OFFSET(Catalogus,1,0,1),0),FALSE())))</f>
        <v>0</v>
      </c>
    </row>
    <row r="387" spans="1:5" x14ac:dyDescent="0.25">
      <c r="A387" s="17">
        <f ca="1">INDEX(Stations,INT((ROWS(A$2:A387)-1)/(DATE(YEAR(Invoer!$A$5),12,31)-DATE(YEAR(Invoer!$A$5),1,1)+1))+2,1)</f>
        <v>83</v>
      </c>
      <c r="B387" t="str">
        <f ca="1">TEXT(DATE(YEAR(Invoer!$A$5),1,1)+MOD(ROWS(B$2:B387)-1,DATE(YEAR(Invoer!$A$5),12,31)-DATE(YEAR(Invoer!$A$5),1,1)+1),"jjjjmmdd")</f>
        <v>19400120</v>
      </c>
      <c r="C387" s="18">
        <v>1</v>
      </c>
      <c r="D387" s="23">
        <f t="shared" ca="1" si="12"/>
        <v>0</v>
      </c>
      <c r="E387" s="24">
        <f t="shared" ca="1" si="13"/>
        <v>0</v>
      </c>
    </row>
    <row r="388" spans="1:5" x14ac:dyDescent="0.25">
      <c r="A388" s="17">
        <f ca="1">INDEX(Stations,INT((ROWS(A$2:A388)-1)/(DATE(YEAR(Invoer!$A$5),12,31)-DATE(YEAR(Invoer!$A$5),1,1)+1))+2,1)</f>
        <v>83</v>
      </c>
      <c r="B388" t="str">
        <f ca="1">TEXT(DATE(YEAR(Invoer!$A$5),1,1)+MOD(ROWS(B$2:B388)-1,DATE(YEAR(Invoer!$A$5),12,31)-DATE(YEAR(Invoer!$A$5),1,1)+1),"jjjjmmdd")</f>
        <v>19400121</v>
      </c>
      <c r="C388" s="18">
        <v>1</v>
      </c>
      <c r="D388" s="23">
        <f t="shared" ca="1" si="12"/>
        <v>0</v>
      </c>
      <c r="E388" s="24">
        <f t="shared" ca="1" si="13"/>
        <v>0</v>
      </c>
    </row>
    <row r="389" spans="1:5" x14ac:dyDescent="0.25">
      <c r="A389" s="17">
        <f ca="1">INDEX(Stations,INT((ROWS(A$2:A389)-1)/(DATE(YEAR(Invoer!$A$5),12,31)-DATE(YEAR(Invoer!$A$5),1,1)+1))+2,1)</f>
        <v>83</v>
      </c>
      <c r="B389" t="str">
        <f ca="1">TEXT(DATE(YEAR(Invoer!$A$5),1,1)+MOD(ROWS(B$2:B389)-1,DATE(YEAR(Invoer!$A$5),12,31)-DATE(YEAR(Invoer!$A$5),1,1)+1),"jjjjmmdd")</f>
        <v>19400122</v>
      </c>
      <c r="C389" s="18">
        <v>1</v>
      </c>
      <c r="D389" s="23">
        <f t="shared" ca="1" si="12"/>
        <v>0</v>
      </c>
      <c r="E389" s="24">
        <f t="shared" ca="1" si="13"/>
        <v>0</v>
      </c>
    </row>
    <row r="390" spans="1:5" x14ac:dyDescent="0.25">
      <c r="A390" s="17">
        <f ca="1">INDEX(Stations,INT((ROWS(A$2:A390)-1)/(DATE(YEAR(Invoer!$A$5),12,31)-DATE(YEAR(Invoer!$A$5),1,1)+1))+2,1)</f>
        <v>83</v>
      </c>
      <c r="B390" t="str">
        <f ca="1">TEXT(DATE(YEAR(Invoer!$A$5),1,1)+MOD(ROWS(B$2:B390)-1,DATE(YEAR(Invoer!$A$5),12,31)-DATE(YEAR(Invoer!$A$5),1,1)+1),"jjjjmmdd")</f>
        <v>19400123</v>
      </c>
      <c r="C390" s="18">
        <v>1</v>
      </c>
      <c r="D390" s="23">
        <f t="shared" ca="1" si="12"/>
        <v>50</v>
      </c>
      <c r="E390" s="24">
        <f t="shared" ca="1" si="13"/>
        <v>0</v>
      </c>
    </row>
    <row r="391" spans="1:5" x14ac:dyDescent="0.25">
      <c r="A391" s="17">
        <f ca="1">INDEX(Stations,INT((ROWS(A$2:A391)-1)/(DATE(YEAR(Invoer!$A$5),12,31)-DATE(YEAR(Invoer!$A$5),1,1)+1))+2,1)</f>
        <v>83</v>
      </c>
      <c r="B391" t="str">
        <f ca="1">TEXT(DATE(YEAR(Invoer!$A$5),1,1)+MOD(ROWS(B$2:B391)-1,DATE(YEAR(Invoer!$A$5),12,31)-DATE(YEAR(Invoer!$A$5),1,1)+1),"jjjjmmdd")</f>
        <v>19400124</v>
      </c>
      <c r="C391" s="18">
        <v>1</v>
      </c>
      <c r="D391" s="23">
        <f t="shared" ca="1" si="12"/>
        <v>30</v>
      </c>
      <c r="E391" s="24">
        <f t="shared" ca="1" si="13"/>
        <v>0</v>
      </c>
    </row>
    <row r="392" spans="1:5" x14ac:dyDescent="0.25">
      <c r="A392" s="17">
        <f ca="1">INDEX(Stations,INT((ROWS(A$2:A392)-1)/(DATE(YEAR(Invoer!$A$5),12,31)-DATE(YEAR(Invoer!$A$5),1,1)+1))+2,1)</f>
        <v>83</v>
      </c>
      <c r="B392" t="str">
        <f ca="1">TEXT(DATE(YEAR(Invoer!$A$5),1,1)+MOD(ROWS(B$2:B392)-1,DATE(YEAR(Invoer!$A$5),12,31)-DATE(YEAR(Invoer!$A$5),1,1)+1),"jjjjmmdd")</f>
        <v>19400125</v>
      </c>
      <c r="C392" s="18">
        <v>1</v>
      </c>
      <c r="D392" s="23">
        <f t="shared" ca="1" si="12"/>
        <v>90</v>
      </c>
      <c r="E392" s="24">
        <f t="shared" ca="1" si="13"/>
        <v>0</v>
      </c>
    </row>
    <row r="393" spans="1:5" x14ac:dyDescent="0.25">
      <c r="A393" s="17">
        <f ca="1">INDEX(Stations,INT((ROWS(A$2:A393)-1)/(DATE(YEAR(Invoer!$A$5),12,31)-DATE(YEAR(Invoer!$A$5),1,1)+1))+2,1)</f>
        <v>83</v>
      </c>
      <c r="B393" t="str">
        <f ca="1">TEXT(DATE(YEAR(Invoer!$A$5),1,1)+MOD(ROWS(B$2:B393)-1,DATE(YEAR(Invoer!$A$5),12,31)-DATE(YEAR(Invoer!$A$5),1,1)+1),"jjjjmmdd")</f>
        <v>19400126</v>
      </c>
      <c r="C393" s="18">
        <v>1</v>
      </c>
      <c r="D393" s="23">
        <f t="shared" ca="1" si="12"/>
        <v>40</v>
      </c>
      <c r="E393" s="24">
        <f t="shared" ca="1" si="13"/>
        <v>0</v>
      </c>
    </row>
    <row r="394" spans="1:5" x14ac:dyDescent="0.25">
      <c r="A394" s="17">
        <f ca="1">INDEX(Stations,INT((ROWS(A$2:A394)-1)/(DATE(YEAR(Invoer!$A$5),12,31)-DATE(YEAR(Invoer!$A$5),1,1)+1))+2,1)</f>
        <v>83</v>
      </c>
      <c r="B394" t="str">
        <f ca="1">TEXT(DATE(YEAR(Invoer!$A$5),1,1)+MOD(ROWS(B$2:B394)-1,DATE(YEAR(Invoer!$A$5),12,31)-DATE(YEAR(Invoer!$A$5),1,1)+1),"jjjjmmdd")</f>
        <v>19400127</v>
      </c>
      <c r="C394" s="18">
        <v>1</v>
      </c>
      <c r="D394" s="23">
        <f t="shared" ca="1" si="12"/>
        <v>0</v>
      </c>
      <c r="E394" s="24">
        <f t="shared" ca="1" si="13"/>
        <v>0</v>
      </c>
    </row>
    <row r="395" spans="1:5" x14ac:dyDescent="0.25">
      <c r="A395" s="17">
        <f ca="1">INDEX(Stations,INT((ROWS(A$2:A395)-1)/(DATE(YEAR(Invoer!$A$5),12,31)-DATE(YEAR(Invoer!$A$5),1,1)+1))+2,1)</f>
        <v>83</v>
      </c>
      <c r="B395" t="str">
        <f ca="1">TEXT(DATE(YEAR(Invoer!$A$5),1,1)+MOD(ROWS(B$2:B395)-1,DATE(YEAR(Invoer!$A$5),12,31)-DATE(YEAR(Invoer!$A$5),1,1)+1),"jjjjmmdd")</f>
        <v>19400128</v>
      </c>
      <c r="C395" s="18">
        <v>1</v>
      </c>
      <c r="D395" s="23">
        <f t="shared" ca="1" si="12"/>
        <v>0</v>
      </c>
      <c r="E395" s="24">
        <f t="shared" ca="1" si="13"/>
        <v>0</v>
      </c>
    </row>
    <row r="396" spans="1:5" x14ac:dyDescent="0.25">
      <c r="A396" s="17">
        <f ca="1">INDEX(Stations,INT((ROWS(A$2:A396)-1)/(DATE(YEAR(Invoer!$A$5),12,31)-DATE(YEAR(Invoer!$A$5),1,1)+1))+2,1)</f>
        <v>83</v>
      </c>
      <c r="B396" t="str">
        <f ca="1">TEXT(DATE(YEAR(Invoer!$A$5),1,1)+MOD(ROWS(B$2:B396)-1,DATE(YEAR(Invoer!$A$5),12,31)-DATE(YEAR(Invoer!$A$5),1,1)+1),"jjjjmmdd")</f>
        <v>19400129</v>
      </c>
      <c r="C396" s="18">
        <v>1</v>
      </c>
      <c r="D396" s="23">
        <f t="shared" ca="1" si="12"/>
        <v>0</v>
      </c>
      <c r="E396" s="24">
        <f t="shared" ca="1" si="13"/>
        <v>0</v>
      </c>
    </row>
    <row r="397" spans="1:5" x14ac:dyDescent="0.25">
      <c r="A397" s="17">
        <f ca="1">INDEX(Stations,INT((ROWS(A$2:A397)-1)/(DATE(YEAR(Invoer!$A$5),12,31)-DATE(YEAR(Invoer!$A$5),1,1)+1))+2,1)</f>
        <v>83</v>
      </c>
      <c r="B397" t="str">
        <f ca="1">TEXT(DATE(YEAR(Invoer!$A$5),1,1)+MOD(ROWS(B$2:B397)-1,DATE(YEAR(Invoer!$A$5),12,31)-DATE(YEAR(Invoer!$A$5),1,1)+1),"jjjjmmdd")</f>
        <v>19400130</v>
      </c>
      <c r="C397" s="18">
        <v>1</v>
      </c>
      <c r="D397" s="23">
        <f t="shared" ca="1" si="12"/>
        <v>0</v>
      </c>
      <c r="E397" s="24">
        <f t="shared" ca="1" si="13"/>
        <v>0</v>
      </c>
    </row>
    <row r="398" spans="1:5" x14ac:dyDescent="0.25">
      <c r="A398" s="17">
        <f ca="1">INDEX(Stations,INT((ROWS(A$2:A398)-1)/(DATE(YEAR(Invoer!$A$5),12,31)-DATE(YEAR(Invoer!$A$5),1,1)+1))+2,1)</f>
        <v>83</v>
      </c>
      <c r="B398" t="str">
        <f ca="1">TEXT(DATE(YEAR(Invoer!$A$5),1,1)+MOD(ROWS(B$2:B398)-1,DATE(YEAR(Invoer!$A$5),12,31)-DATE(YEAR(Invoer!$A$5),1,1)+1),"jjjjmmdd")</f>
        <v>19400131</v>
      </c>
      <c r="C398" s="18">
        <v>1</v>
      </c>
      <c r="D398" s="23">
        <f t="shared" ca="1" si="12"/>
        <v>0</v>
      </c>
      <c r="E398" s="24">
        <f t="shared" ca="1" si="13"/>
        <v>0</v>
      </c>
    </row>
    <row r="399" spans="1:5" x14ac:dyDescent="0.25">
      <c r="A399" s="17">
        <f ca="1">INDEX(Stations,INT((ROWS(A$2:A399)-1)/(DATE(YEAR(Invoer!$A$5),12,31)-DATE(YEAR(Invoer!$A$5),1,1)+1))+2,1)</f>
        <v>83</v>
      </c>
      <c r="B399" t="str">
        <f ca="1">TEXT(DATE(YEAR(Invoer!$A$5),1,1)+MOD(ROWS(B$2:B399)-1,DATE(YEAR(Invoer!$A$5),12,31)-DATE(YEAR(Invoer!$A$5),1,1)+1),"jjjjmmdd")</f>
        <v>19400201</v>
      </c>
      <c r="C399" s="18">
        <v>1</v>
      </c>
      <c r="D399" s="23">
        <f t="shared" ca="1" si="12"/>
        <v>0</v>
      </c>
      <c r="E399" s="24">
        <f t="shared" ca="1" si="13"/>
        <v>0</v>
      </c>
    </row>
    <row r="400" spans="1:5" x14ac:dyDescent="0.25">
      <c r="A400" s="17">
        <f ca="1">INDEX(Stations,INT((ROWS(A$2:A400)-1)/(DATE(YEAR(Invoer!$A$5),12,31)-DATE(YEAR(Invoer!$A$5),1,1)+1))+2,1)</f>
        <v>83</v>
      </c>
      <c r="B400" t="str">
        <f ca="1">TEXT(DATE(YEAR(Invoer!$A$5),1,1)+MOD(ROWS(B$2:B400)-1,DATE(YEAR(Invoer!$A$5),12,31)-DATE(YEAR(Invoer!$A$5),1,1)+1),"jjjjmmdd")</f>
        <v>19400202</v>
      </c>
      <c r="C400" s="18">
        <v>1</v>
      </c>
      <c r="D400" s="23">
        <f t="shared" ca="1" si="12"/>
        <v>0</v>
      </c>
      <c r="E400" s="24">
        <f t="shared" ca="1" si="13"/>
        <v>0</v>
      </c>
    </row>
    <row r="401" spans="1:5" x14ac:dyDescent="0.25">
      <c r="A401" s="17">
        <f ca="1">INDEX(Stations,INT((ROWS(A$2:A401)-1)/(DATE(YEAR(Invoer!$A$5),12,31)-DATE(YEAR(Invoer!$A$5),1,1)+1))+2,1)</f>
        <v>83</v>
      </c>
      <c r="B401" t="str">
        <f ca="1">TEXT(DATE(YEAR(Invoer!$A$5),1,1)+MOD(ROWS(B$2:B401)-1,DATE(YEAR(Invoer!$A$5),12,31)-DATE(YEAR(Invoer!$A$5),1,1)+1),"jjjjmmdd")</f>
        <v>19400203</v>
      </c>
      <c r="C401" s="18">
        <v>1</v>
      </c>
      <c r="D401" s="23">
        <f t="shared" ca="1" si="12"/>
        <v>0</v>
      </c>
      <c r="E401" s="24">
        <f t="shared" ca="1" si="13"/>
        <v>0</v>
      </c>
    </row>
    <row r="402" spans="1:5" x14ac:dyDescent="0.25">
      <c r="A402" s="17">
        <f ca="1">INDEX(Stations,INT((ROWS(A$2:A402)-1)/(DATE(YEAR(Invoer!$A$5),12,31)-DATE(YEAR(Invoer!$A$5),1,1)+1))+2,1)</f>
        <v>83</v>
      </c>
      <c r="B402" t="str">
        <f ca="1">TEXT(DATE(YEAR(Invoer!$A$5),1,1)+MOD(ROWS(B$2:B402)-1,DATE(YEAR(Invoer!$A$5),12,31)-DATE(YEAR(Invoer!$A$5),1,1)+1),"jjjjmmdd")</f>
        <v>19400204</v>
      </c>
      <c r="C402" s="18">
        <v>1</v>
      </c>
      <c r="D402" s="23">
        <f t="shared" ca="1" si="12"/>
        <v>80</v>
      </c>
      <c r="E402" s="24">
        <f t="shared" ca="1" si="13"/>
        <v>0</v>
      </c>
    </row>
    <row r="403" spans="1:5" x14ac:dyDescent="0.25">
      <c r="A403" s="17">
        <f ca="1">INDEX(Stations,INT((ROWS(A$2:A403)-1)/(DATE(YEAR(Invoer!$A$5),12,31)-DATE(YEAR(Invoer!$A$5),1,1)+1))+2,1)</f>
        <v>83</v>
      </c>
      <c r="B403" t="str">
        <f ca="1">TEXT(DATE(YEAR(Invoer!$A$5),1,1)+MOD(ROWS(B$2:B403)-1,DATE(YEAR(Invoer!$A$5),12,31)-DATE(YEAR(Invoer!$A$5),1,1)+1),"jjjjmmdd")</f>
        <v>19400205</v>
      </c>
      <c r="C403" s="18">
        <v>1</v>
      </c>
      <c r="D403" s="23">
        <f t="shared" ca="1" si="12"/>
        <v>0</v>
      </c>
      <c r="E403" s="24">
        <f t="shared" ca="1" si="13"/>
        <v>0</v>
      </c>
    </row>
    <row r="404" spans="1:5" x14ac:dyDescent="0.25">
      <c r="A404" s="17">
        <f ca="1">INDEX(Stations,INT((ROWS(A$2:A404)-1)/(DATE(YEAR(Invoer!$A$5),12,31)-DATE(YEAR(Invoer!$A$5),1,1)+1))+2,1)</f>
        <v>83</v>
      </c>
      <c r="B404" t="str">
        <f ca="1">TEXT(DATE(YEAR(Invoer!$A$5),1,1)+MOD(ROWS(B$2:B404)-1,DATE(YEAR(Invoer!$A$5),12,31)-DATE(YEAR(Invoer!$A$5),1,1)+1),"jjjjmmdd")</f>
        <v>19400206</v>
      </c>
      <c r="C404" s="18">
        <v>1</v>
      </c>
      <c r="D404" s="23">
        <f t="shared" ca="1" si="12"/>
        <v>0</v>
      </c>
      <c r="E404" s="24">
        <f t="shared" ca="1" si="13"/>
        <v>0</v>
      </c>
    </row>
    <row r="405" spans="1:5" x14ac:dyDescent="0.25">
      <c r="A405" s="17">
        <f ca="1">INDEX(Stations,INT((ROWS(A$2:A405)-1)/(DATE(YEAR(Invoer!$A$5),12,31)-DATE(YEAR(Invoer!$A$5),1,1)+1))+2,1)</f>
        <v>83</v>
      </c>
      <c r="B405" t="str">
        <f ca="1">TEXT(DATE(YEAR(Invoer!$A$5),1,1)+MOD(ROWS(B$2:B405)-1,DATE(YEAR(Invoer!$A$5),12,31)-DATE(YEAR(Invoer!$A$5),1,1)+1),"jjjjmmdd")</f>
        <v>19400207</v>
      </c>
      <c r="C405" s="18">
        <v>1</v>
      </c>
      <c r="D405" s="23">
        <f t="shared" ca="1" si="12"/>
        <v>40</v>
      </c>
      <c r="E405" s="24">
        <f t="shared" ca="1" si="13"/>
        <v>0</v>
      </c>
    </row>
    <row r="406" spans="1:5" x14ac:dyDescent="0.25">
      <c r="A406" s="17">
        <f ca="1">INDEX(Stations,INT((ROWS(A$2:A406)-1)/(DATE(YEAR(Invoer!$A$5),12,31)-DATE(YEAR(Invoer!$A$5),1,1)+1))+2,1)</f>
        <v>83</v>
      </c>
      <c r="B406" t="str">
        <f ca="1">TEXT(DATE(YEAR(Invoer!$A$5),1,1)+MOD(ROWS(B$2:B406)-1,DATE(YEAR(Invoer!$A$5),12,31)-DATE(YEAR(Invoer!$A$5),1,1)+1),"jjjjmmdd")</f>
        <v>19400208</v>
      </c>
      <c r="C406" s="18">
        <v>1</v>
      </c>
      <c r="D406" s="23">
        <f t="shared" ca="1" si="12"/>
        <v>0</v>
      </c>
      <c r="E406" s="24">
        <f t="shared" ca="1" si="13"/>
        <v>0</v>
      </c>
    </row>
    <row r="407" spans="1:5" x14ac:dyDescent="0.25">
      <c r="A407" s="17">
        <f ca="1">INDEX(Stations,INT((ROWS(A$2:A407)-1)/(DATE(YEAR(Invoer!$A$5),12,31)-DATE(YEAR(Invoer!$A$5),1,1)+1))+2,1)</f>
        <v>83</v>
      </c>
      <c r="B407" t="str">
        <f ca="1">TEXT(DATE(YEAR(Invoer!$A$5),1,1)+MOD(ROWS(B$2:B407)-1,DATE(YEAR(Invoer!$A$5),12,31)-DATE(YEAR(Invoer!$A$5),1,1)+1),"jjjjmmdd")</f>
        <v>19400209</v>
      </c>
      <c r="C407" s="18">
        <v>1</v>
      </c>
      <c r="D407" s="23">
        <f t="shared" ca="1" si="12"/>
        <v>0</v>
      </c>
      <c r="E407" s="24">
        <f t="shared" ca="1" si="13"/>
        <v>0</v>
      </c>
    </row>
    <row r="408" spans="1:5" x14ac:dyDescent="0.25">
      <c r="A408" s="17">
        <f ca="1">INDEX(Stations,INT((ROWS(A$2:A408)-1)/(DATE(YEAR(Invoer!$A$5),12,31)-DATE(YEAR(Invoer!$A$5),1,1)+1))+2,1)</f>
        <v>83</v>
      </c>
      <c r="B408" t="str">
        <f ca="1">TEXT(DATE(YEAR(Invoer!$A$5),1,1)+MOD(ROWS(B$2:B408)-1,DATE(YEAR(Invoer!$A$5),12,31)-DATE(YEAR(Invoer!$A$5),1,1)+1),"jjjjmmdd")</f>
        <v>19400210</v>
      </c>
      <c r="C408" s="18">
        <v>1</v>
      </c>
      <c r="D408" s="23">
        <f t="shared" ca="1" si="12"/>
        <v>70</v>
      </c>
      <c r="E408" s="24">
        <f t="shared" ca="1" si="13"/>
        <v>0</v>
      </c>
    </row>
    <row r="409" spans="1:5" x14ac:dyDescent="0.25">
      <c r="A409" s="17">
        <f ca="1">INDEX(Stations,INT((ROWS(A$2:A409)-1)/(DATE(YEAR(Invoer!$A$5),12,31)-DATE(YEAR(Invoer!$A$5),1,1)+1))+2,1)</f>
        <v>83</v>
      </c>
      <c r="B409" t="str">
        <f ca="1">TEXT(DATE(YEAR(Invoer!$A$5),1,1)+MOD(ROWS(B$2:B409)-1,DATE(YEAR(Invoer!$A$5),12,31)-DATE(YEAR(Invoer!$A$5),1,1)+1),"jjjjmmdd")</f>
        <v>19400211</v>
      </c>
      <c r="C409" s="18">
        <v>1</v>
      </c>
      <c r="D409" s="23">
        <f t="shared" ca="1" si="12"/>
        <v>0</v>
      </c>
      <c r="E409" s="24">
        <f t="shared" ca="1" si="13"/>
        <v>0</v>
      </c>
    </row>
    <row r="410" spans="1:5" x14ac:dyDescent="0.25">
      <c r="A410" s="17">
        <f ca="1">INDEX(Stations,INT((ROWS(A$2:A410)-1)/(DATE(YEAR(Invoer!$A$5),12,31)-DATE(YEAR(Invoer!$A$5),1,1)+1))+2,1)</f>
        <v>83</v>
      </c>
      <c r="B410" t="str">
        <f ca="1">TEXT(DATE(YEAR(Invoer!$A$5),1,1)+MOD(ROWS(B$2:B410)-1,DATE(YEAR(Invoer!$A$5),12,31)-DATE(YEAR(Invoer!$A$5),1,1)+1),"jjjjmmdd")</f>
        <v>19400212</v>
      </c>
      <c r="C410" s="18">
        <v>1</v>
      </c>
      <c r="D410" s="23">
        <f t="shared" ca="1" si="12"/>
        <v>110</v>
      </c>
      <c r="E410" s="24">
        <f t="shared" ca="1" si="13"/>
        <v>0</v>
      </c>
    </row>
    <row r="411" spans="1:5" x14ac:dyDescent="0.25">
      <c r="A411" s="17">
        <f ca="1">INDEX(Stations,INT((ROWS(A$2:A411)-1)/(DATE(YEAR(Invoer!$A$5),12,31)-DATE(YEAR(Invoer!$A$5),1,1)+1))+2,1)</f>
        <v>83</v>
      </c>
      <c r="B411" t="str">
        <f ca="1">TEXT(DATE(YEAR(Invoer!$A$5),1,1)+MOD(ROWS(B$2:B411)-1,DATE(YEAR(Invoer!$A$5),12,31)-DATE(YEAR(Invoer!$A$5),1,1)+1),"jjjjmmdd")</f>
        <v>19400213</v>
      </c>
      <c r="C411" s="18">
        <v>1</v>
      </c>
      <c r="D411" s="23">
        <f t="shared" ca="1" si="12"/>
        <v>20</v>
      </c>
      <c r="E411" s="24">
        <f t="shared" ca="1" si="13"/>
        <v>0</v>
      </c>
    </row>
    <row r="412" spans="1:5" x14ac:dyDescent="0.25">
      <c r="A412" s="17">
        <f ca="1">INDEX(Stations,INT((ROWS(A$2:A412)-1)/(DATE(YEAR(Invoer!$A$5),12,31)-DATE(YEAR(Invoer!$A$5),1,1)+1))+2,1)</f>
        <v>83</v>
      </c>
      <c r="B412" t="str">
        <f ca="1">TEXT(DATE(YEAR(Invoer!$A$5),1,1)+MOD(ROWS(B$2:B412)-1,DATE(YEAR(Invoer!$A$5),12,31)-DATE(YEAR(Invoer!$A$5),1,1)+1),"jjjjmmdd")</f>
        <v>19400214</v>
      </c>
      <c r="C412" s="18">
        <v>1</v>
      </c>
      <c r="D412" s="23">
        <f t="shared" ca="1" si="12"/>
        <v>10</v>
      </c>
      <c r="E412" s="24">
        <f t="shared" ca="1" si="13"/>
        <v>0</v>
      </c>
    </row>
    <row r="413" spans="1:5" x14ac:dyDescent="0.25">
      <c r="A413" s="17">
        <f ca="1">INDEX(Stations,INT((ROWS(A$2:A413)-1)/(DATE(YEAR(Invoer!$A$5),12,31)-DATE(YEAR(Invoer!$A$5),1,1)+1))+2,1)</f>
        <v>83</v>
      </c>
      <c r="B413" t="str">
        <f ca="1">TEXT(DATE(YEAR(Invoer!$A$5),1,1)+MOD(ROWS(B$2:B413)-1,DATE(YEAR(Invoer!$A$5),12,31)-DATE(YEAR(Invoer!$A$5),1,1)+1),"jjjjmmdd")</f>
        <v>19400215</v>
      </c>
      <c r="C413" s="18">
        <v>1</v>
      </c>
      <c r="D413" s="23">
        <f t="shared" ca="1" si="12"/>
        <v>0</v>
      </c>
      <c r="E413" s="24">
        <f t="shared" ca="1" si="13"/>
        <v>0</v>
      </c>
    </row>
    <row r="414" spans="1:5" x14ac:dyDescent="0.25">
      <c r="A414" s="17">
        <f ca="1">INDEX(Stations,INT((ROWS(A$2:A414)-1)/(DATE(YEAR(Invoer!$A$5),12,31)-DATE(YEAR(Invoer!$A$5),1,1)+1))+2,1)</f>
        <v>83</v>
      </c>
      <c r="B414" t="str">
        <f ca="1">TEXT(DATE(YEAR(Invoer!$A$5),1,1)+MOD(ROWS(B$2:B414)-1,DATE(YEAR(Invoer!$A$5),12,31)-DATE(YEAR(Invoer!$A$5),1,1)+1),"jjjjmmdd")</f>
        <v>19400216</v>
      </c>
      <c r="C414" s="18">
        <v>1</v>
      </c>
      <c r="D414" s="23">
        <f t="shared" ca="1" si="12"/>
        <v>0</v>
      </c>
      <c r="E414" s="24">
        <f t="shared" ca="1" si="13"/>
        <v>0</v>
      </c>
    </row>
    <row r="415" spans="1:5" x14ac:dyDescent="0.25">
      <c r="A415" s="17">
        <f ca="1">INDEX(Stations,INT((ROWS(A$2:A415)-1)/(DATE(YEAR(Invoer!$A$5),12,31)-DATE(YEAR(Invoer!$A$5),1,1)+1))+2,1)</f>
        <v>83</v>
      </c>
      <c r="B415" t="str">
        <f ca="1">TEXT(DATE(YEAR(Invoer!$A$5),1,1)+MOD(ROWS(B$2:B415)-1,DATE(YEAR(Invoer!$A$5),12,31)-DATE(YEAR(Invoer!$A$5),1,1)+1),"jjjjmmdd")</f>
        <v>19400217</v>
      </c>
      <c r="C415" s="18">
        <v>1</v>
      </c>
      <c r="D415" s="23">
        <f t="shared" ca="1" si="12"/>
        <v>50</v>
      </c>
      <c r="E415" s="24">
        <f t="shared" ca="1" si="13"/>
        <v>0</v>
      </c>
    </row>
    <row r="416" spans="1:5" x14ac:dyDescent="0.25">
      <c r="A416" s="17">
        <f ca="1">INDEX(Stations,INT((ROWS(A$2:A416)-1)/(DATE(YEAR(Invoer!$A$5),12,31)-DATE(YEAR(Invoer!$A$5),1,1)+1))+2,1)</f>
        <v>83</v>
      </c>
      <c r="B416" t="str">
        <f ca="1">TEXT(DATE(YEAR(Invoer!$A$5),1,1)+MOD(ROWS(B$2:B416)-1,DATE(YEAR(Invoer!$A$5),12,31)-DATE(YEAR(Invoer!$A$5),1,1)+1),"jjjjmmdd")</f>
        <v>19400218</v>
      </c>
      <c r="C416" s="18">
        <v>1</v>
      </c>
      <c r="D416" s="23">
        <f t="shared" ca="1" si="12"/>
        <v>100</v>
      </c>
      <c r="E416" s="24">
        <f t="shared" ca="1" si="13"/>
        <v>0</v>
      </c>
    </row>
    <row r="417" spans="1:5" x14ac:dyDescent="0.25">
      <c r="A417" s="17">
        <f ca="1">INDEX(Stations,INT((ROWS(A$2:A417)-1)/(DATE(YEAR(Invoer!$A$5),12,31)-DATE(YEAR(Invoer!$A$5),1,1)+1))+2,1)</f>
        <v>83</v>
      </c>
      <c r="B417" t="str">
        <f ca="1">TEXT(DATE(YEAR(Invoer!$A$5),1,1)+MOD(ROWS(B$2:B417)-1,DATE(YEAR(Invoer!$A$5),12,31)-DATE(YEAR(Invoer!$A$5),1,1)+1),"jjjjmmdd")</f>
        <v>19400219</v>
      </c>
      <c r="C417" s="18">
        <v>1</v>
      </c>
      <c r="D417" s="23">
        <f t="shared" ca="1" si="12"/>
        <v>0</v>
      </c>
      <c r="E417" s="24">
        <f t="shared" ca="1" si="13"/>
        <v>0</v>
      </c>
    </row>
    <row r="418" spans="1:5" x14ac:dyDescent="0.25">
      <c r="A418" s="17">
        <f ca="1">INDEX(Stations,INT((ROWS(A$2:A418)-1)/(DATE(YEAR(Invoer!$A$5),12,31)-DATE(YEAR(Invoer!$A$5),1,1)+1))+2,1)</f>
        <v>83</v>
      </c>
      <c r="B418" t="str">
        <f ca="1">TEXT(DATE(YEAR(Invoer!$A$5),1,1)+MOD(ROWS(B$2:B418)-1,DATE(YEAR(Invoer!$A$5),12,31)-DATE(YEAR(Invoer!$A$5),1,1)+1),"jjjjmmdd")</f>
        <v>19400220</v>
      </c>
      <c r="C418" s="18">
        <v>1</v>
      </c>
      <c r="D418" s="23">
        <f t="shared" ca="1" si="12"/>
        <v>0</v>
      </c>
      <c r="E418" s="24">
        <f t="shared" ca="1" si="13"/>
        <v>0</v>
      </c>
    </row>
    <row r="419" spans="1:5" x14ac:dyDescent="0.25">
      <c r="A419" s="17">
        <f ca="1">INDEX(Stations,INT((ROWS(A$2:A419)-1)/(DATE(YEAR(Invoer!$A$5),12,31)-DATE(YEAR(Invoer!$A$5),1,1)+1))+2,1)</f>
        <v>83</v>
      </c>
      <c r="B419" t="str">
        <f ca="1">TEXT(DATE(YEAR(Invoer!$A$5),1,1)+MOD(ROWS(B$2:B419)-1,DATE(YEAR(Invoer!$A$5),12,31)-DATE(YEAR(Invoer!$A$5),1,1)+1),"jjjjmmdd")</f>
        <v>19400221</v>
      </c>
      <c r="C419" s="18">
        <v>1</v>
      </c>
      <c r="D419" s="23">
        <f t="shared" ca="1" si="12"/>
        <v>0</v>
      </c>
      <c r="E419" s="24">
        <f t="shared" ca="1" si="13"/>
        <v>0</v>
      </c>
    </row>
    <row r="420" spans="1:5" x14ac:dyDescent="0.25">
      <c r="A420" s="17">
        <f ca="1">INDEX(Stations,INT((ROWS(A$2:A420)-1)/(DATE(YEAR(Invoer!$A$5),12,31)-DATE(YEAR(Invoer!$A$5),1,1)+1))+2,1)</f>
        <v>83</v>
      </c>
      <c r="B420" t="str">
        <f ca="1">TEXT(DATE(YEAR(Invoer!$A$5),1,1)+MOD(ROWS(B$2:B420)-1,DATE(YEAR(Invoer!$A$5),12,31)-DATE(YEAR(Invoer!$A$5),1,1)+1),"jjjjmmdd")</f>
        <v>19400222</v>
      </c>
      <c r="C420" s="18">
        <v>1</v>
      </c>
      <c r="D420" s="23">
        <f t="shared" ca="1" si="12"/>
        <v>0</v>
      </c>
      <c r="E420" s="24">
        <f t="shared" ca="1" si="13"/>
        <v>0</v>
      </c>
    </row>
    <row r="421" spans="1:5" x14ac:dyDescent="0.25">
      <c r="A421" s="17">
        <f ca="1">INDEX(Stations,INT((ROWS(A$2:A421)-1)/(DATE(YEAR(Invoer!$A$5),12,31)-DATE(YEAR(Invoer!$A$5),1,1)+1))+2,1)</f>
        <v>83</v>
      </c>
      <c r="B421" t="str">
        <f ca="1">TEXT(DATE(YEAR(Invoer!$A$5),1,1)+MOD(ROWS(B$2:B421)-1,DATE(YEAR(Invoer!$A$5),12,31)-DATE(YEAR(Invoer!$A$5),1,1)+1),"jjjjmmdd")</f>
        <v>19400223</v>
      </c>
      <c r="C421" s="18">
        <v>1</v>
      </c>
      <c r="D421" s="23">
        <f t="shared" ca="1" si="12"/>
        <v>0</v>
      </c>
      <c r="E421" s="24">
        <f t="shared" ca="1" si="13"/>
        <v>0</v>
      </c>
    </row>
    <row r="422" spans="1:5" x14ac:dyDescent="0.25">
      <c r="A422" s="17">
        <f ca="1">INDEX(Stations,INT((ROWS(A$2:A422)-1)/(DATE(YEAR(Invoer!$A$5),12,31)-DATE(YEAR(Invoer!$A$5),1,1)+1))+2,1)</f>
        <v>83</v>
      </c>
      <c r="B422" t="str">
        <f ca="1">TEXT(DATE(YEAR(Invoer!$A$5),1,1)+MOD(ROWS(B$2:B422)-1,DATE(YEAR(Invoer!$A$5),12,31)-DATE(YEAR(Invoer!$A$5),1,1)+1),"jjjjmmdd")</f>
        <v>19400224</v>
      </c>
      <c r="C422" s="18">
        <v>1</v>
      </c>
      <c r="D422" s="23">
        <f t="shared" ca="1" si="12"/>
        <v>0</v>
      </c>
      <c r="E422" s="24">
        <f t="shared" ca="1" si="13"/>
        <v>0</v>
      </c>
    </row>
    <row r="423" spans="1:5" x14ac:dyDescent="0.25">
      <c r="A423" s="17">
        <f ca="1">INDEX(Stations,INT((ROWS(A$2:A423)-1)/(DATE(YEAR(Invoer!$A$5),12,31)-DATE(YEAR(Invoer!$A$5),1,1)+1))+2,1)</f>
        <v>83</v>
      </c>
      <c r="B423" t="str">
        <f ca="1">TEXT(DATE(YEAR(Invoer!$A$5),1,1)+MOD(ROWS(B$2:B423)-1,DATE(YEAR(Invoer!$A$5),12,31)-DATE(YEAR(Invoer!$A$5),1,1)+1),"jjjjmmdd")</f>
        <v>19400225</v>
      </c>
      <c r="C423" s="18">
        <v>1</v>
      </c>
      <c r="D423" s="23">
        <f t="shared" ca="1" si="12"/>
        <v>0</v>
      </c>
      <c r="E423" s="24">
        <f t="shared" ca="1" si="13"/>
        <v>0</v>
      </c>
    </row>
    <row r="424" spans="1:5" x14ac:dyDescent="0.25">
      <c r="A424" s="17">
        <f ca="1">INDEX(Stations,INT((ROWS(A$2:A424)-1)/(DATE(YEAR(Invoer!$A$5),12,31)-DATE(YEAR(Invoer!$A$5),1,1)+1))+2,1)</f>
        <v>83</v>
      </c>
      <c r="B424" t="str">
        <f ca="1">TEXT(DATE(YEAR(Invoer!$A$5),1,1)+MOD(ROWS(B$2:B424)-1,DATE(YEAR(Invoer!$A$5),12,31)-DATE(YEAR(Invoer!$A$5),1,1)+1),"jjjjmmdd")</f>
        <v>19400226</v>
      </c>
      <c r="C424" s="18">
        <v>1</v>
      </c>
      <c r="D424" s="23">
        <f t="shared" ca="1" si="12"/>
        <v>0</v>
      </c>
      <c r="E424" s="24">
        <f t="shared" ca="1" si="13"/>
        <v>0</v>
      </c>
    </row>
    <row r="425" spans="1:5" x14ac:dyDescent="0.25">
      <c r="A425" s="17">
        <f ca="1">INDEX(Stations,INT((ROWS(A$2:A425)-1)/(DATE(YEAR(Invoer!$A$5),12,31)-DATE(YEAR(Invoer!$A$5),1,1)+1))+2,1)</f>
        <v>83</v>
      </c>
      <c r="B425" t="str">
        <f ca="1">TEXT(DATE(YEAR(Invoer!$A$5),1,1)+MOD(ROWS(B$2:B425)-1,DATE(YEAR(Invoer!$A$5),12,31)-DATE(YEAR(Invoer!$A$5),1,1)+1),"jjjjmmdd")</f>
        <v>19400227</v>
      </c>
      <c r="C425" s="18">
        <v>1</v>
      </c>
      <c r="D425" s="23">
        <f t="shared" ca="1" si="12"/>
        <v>10</v>
      </c>
      <c r="E425" s="24">
        <f t="shared" ca="1" si="13"/>
        <v>0</v>
      </c>
    </row>
    <row r="426" spans="1:5" x14ac:dyDescent="0.25">
      <c r="A426" s="17">
        <f ca="1">INDEX(Stations,INT((ROWS(A$2:A426)-1)/(DATE(YEAR(Invoer!$A$5),12,31)-DATE(YEAR(Invoer!$A$5),1,1)+1))+2,1)</f>
        <v>83</v>
      </c>
      <c r="B426" t="str">
        <f ca="1">TEXT(DATE(YEAR(Invoer!$A$5),1,1)+MOD(ROWS(B$2:B426)-1,DATE(YEAR(Invoer!$A$5),12,31)-DATE(YEAR(Invoer!$A$5),1,1)+1),"jjjjmmdd")</f>
        <v>19400228</v>
      </c>
      <c r="C426" s="18">
        <v>1</v>
      </c>
      <c r="D426" s="23">
        <f t="shared" ca="1" si="12"/>
        <v>80</v>
      </c>
      <c r="E426" s="24">
        <f t="shared" ca="1" si="13"/>
        <v>0</v>
      </c>
    </row>
    <row r="427" spans="1:5" x14ac:dyDescent="0.25">
      <c r="A427" s="17">
        <f ca="1">INDEX(Stations,INT((ROWS(A$2:A427)-1)/(DATE(YEAR(Invoer!$A$5),12,31)-DATE(YEAR(Invoer!$A$5),1,1)+1))+2,1)</f>
        <v>83</v>
      </c>
      <c r="B427" t="str">
        <f ca="1">TEXT(DATE(YEAR(Invoer!$A$5),1,1)+MOD(ROWS(B$2:B427)-1,DATE(YEAR(Invoer!$A$5),12,31)-DATE(YEAR(Invoer!$A$5),1,1)+1),"jjjjmmdd")</f>
        <v>19400229</v>
      </c>
      <c r="C427" s="18">
        <v>1</v>
      </c>
      <c r="D427" s="23">
        <f t="shared" ca="1" si="12"/>
        <v>110</v>
      </c>
      <c r="E427" s="24">
        <f t="shared" ca="1" si="13"/>
        <v>0</v>
      </c>
    </row>
    <row r="428" spans="1:5" x14ac:dyDescent="0.25">
      <c r="A428" s="17">
        <f ca="1">INDEX(Stations,INT((ROWS(A$2:A428)-1)/(DATE(YEAR(Invoer!$A$5),12,31)-DATE(YEAR(Invoer!$A$5),1,1)+1))+2,1)</f>
        <v>83</v>
      </c>
      <c r="B428" t="str">
        <f ca="1">TEXT(DATE(YEAR(Invoer!$A$5),1,1)+MOD(ROWS(B$2:B428)-1,DATE(YEAR(Invoer!$A$5),12,31)-DATE(YEAR(Invoer!$A$5),1,1)+1),"jjjjmmdd")</f>
        <v>19400301</v>
      </c>
      <c r="C428" s="18">
        <v>1</v>
      </c>
      <c r="D428" s="23">
        <f t="shared" ca="1" si="12"/>
        <v>30</v>
      </c>
      <c r="E428" s="24">
        <f t="shared" ca="1" si="13"/>
        <v>0</v>
      </c>
    </row>
    <row r="429" spans="1:5" x14ac:dyDescent="0.25">
      <c r="A429" s="17">
        <f ca="1">INDEX(Stations,INT((ROWS(A$2:A429)-1)/(DATE(YEAR(Invoer!$A$5),12,31)-DATE(YEAR(Invoer!$A$5),1,1)+1))+2,1)</f>
        <v>83</v>
      </c>
      <c r="B429" t="str">
        <f ca="1">TEXT(DATE(YEAR(Invoer!$A$5),1,1)+MOD(ROWS(B$2:B429)-1,DATE(YEAR(Invoer!$A$5),12,31)-DATE(YEAR(Invoer!$A$5),1,1)+1),"jjjjmmdd")</f>
        <v>19400302</v>
      </c>
      <c r="C429" s="18">
        <v>1</v>
      </c>
      <c r="D429" s="23">
        <f t="shared" ca="1" si="12"/>
        <v>0</v>
      </c>
      <c r="E429" s="24">
        <f t="shared" ca="1" si="13"/>
        <v>0</v>
      </c>
    </row>
    <row r="430" spans="1:5" x14ac:dyDescent="0.25">
      <c r="A430" s="17">
        <f ca="1">INDEX(Stations,INT((ROWS(A$2:A430)-1)/(DATE(YEAR(Invoer!$A$5),12,31)-DATE(YEAR(Invoer!$A$5),1,1)+1))+2,1)</f>
        <v>83</v>
      </c>
      <c r="B430" t="str">
        <f ca="1">TEXT(DATE(YEAR(Invoer!$A$5),1,1)+MOD(ROWS(B$2:B430)-1,DATE(YEAR(Invoer!$A$5),12,31)-DATE(YEAR(Invoer!$A$5),1,1)+1),"jjjjmmdd")</f>
        <v>19400303</v>
      </c>
      <c r="C430" s="18">
        <v>1</v>
      </c>
      <c r="D430" s="23">
        <f t="shared" ca="1" si="12"/>
        <v>0</v>
      </c>
      <c r="E430" s="24">
        <f t="shared" ca="1" si="13"/>
        <v>0</v>
      </c>
    </row>
    <row r="431" spans="1:5" x14ac:dyDescent="0.25">
      <c r="A431" s="17">
        <f ca="1">INDEX(Stations,INT((ROWS(A$2:A431)-1)/(DATE(YEAR(Invoer!$A$5),12,31)-DATE(YEAR(Invoer!$A$5),1,1)+1))+2,1)</f>
        <v>83</v>
      </c>
      <c r="B431" t="str">
        <f ca="1">TEXT(DATE(YEAR(Invoer!$A$5),1,1)+MOD(ROWS(B$2:B431)-1,DATE(YEAR(Invoer!$A$5),12,31)-DATE(YEAR(Invoer!$A$5),1,1)+1),"jjjjmmdd")</f>
        <v>19400304</v>
      </c>
      <c r="C431" s="18">
        <v>1</v>
      </c>
      <c r="D431" s="23">
        <f t="shared" ca="1" si="12"/>
        <v>0</v>
      </c>
      <c r="E431" s="24">
        <f t="shared" ca="1" si="13"/>
        <v>0</v>
      </c>
    </row>
    <row r="432" spans="1:5" x14ac:dyDescent="0.25">
      <c r="A432" s="17">
        <f ca="1">INDEX(Stations,INT((ROWS(A$2:A432)-1)/(DATE(YEAR(Invoer!$A$5),12,31)-DATE(YEAR(Invoer!$A$5),1,1)+1))+2,1)</f>
        <v>83</v>
      </c>
      <c r="B432" t="str">
        <f ca="1">TEXT(DATE(YEAR(Invoer!$A$5),1,1)+MOD(ROWS(B$2:B432)-1,DATE(YEAR(Invoer!$A$5),12,31)-DATE(YEAR(Invoer!$A$5),1,1)+1),"jjjjmmdd")</f>
        <v>19400305</v>
      </c>
      <c r="C432" s="18">
        <v>1</v>
      </c>
      <c r="D432" s="23">
        <f t="shared" ca="1" si="12"/>
        <v>0</v>
      </c>
      <c r="E432" s="24">
        <f t="shared" ca="1" si="13"/>
        <v>0</v>
      </c>
    </row>
    <row r="433" spans="1:5" x14ac:dyDescent="0.25">
      <c r="A433" s="17">
        <f ca="1">INDEX(Stations,INT((ROWS(A$2:A433)-1)/(DATE(YEAR(Invoer!$A$5),12,31)-DATE(YEAR(Invoer!$A$5),1,1)+1))+2,1)</f>
        <v>83</v>
      </c>
      <c r="B433" t="str">
        <f ca="1">TEXT(DATE(YEAR(Invoer!$A$5),1,1)+MOD(ROWS(B$2:B433)-1,DATE(YEAR(Invoer!$A$5),12,31)-DATE(YEAR(Invoer!$A$5),1,1)+1),"jjjjmmdd")</f>
        <v>19400306</v>
      </c>
      <c r="C433" s="18">
        <v>1</v>
      </c>
      <c r="D433" s="23">
        <f t="shared" ca="1" si="12"/>
        <v>0</v>
      </c>
      <c r="E433" s="24">
        <f t="shared" ca="1" si="13"/>
        <v>0</v>
      </c>
    </row>
    <row r="434" spans="1:5" x14ac:dyDescent="0.25">
      <c r="A434" s="17">
        <f ca="1">INDEX(Stations,INT((ROWS(A$2:A434)-1)/(DATE(YEAR(Invoer!$A$5),12,31)-DATE(YEAR(Invoer!$A$5),1,1)+1))+2,1)</f>
        <v>83</v>
      </c>
      <c r="B434" t="str">
        <f ca="1">TEXT(DATE(YEAR(Invoer!$A$5),1,1)+MOD(ROWS(B$2:B434)-1,DATE(YEAR(Invoer!$A$5),12,31)-DATE(YEAR(Invoer!$A$5),1,1)+1),"jjjjmmdd")</f>
        <v>19400307</v>
      </c>
      <c r="C434" s="18">
        <v>1</v>
      </c>
      <c r="D434" s="23">
        <f t="shared" ca="1" si="12"/>
        <v>0</v>
      </c>
      <c r="E434" s="24">
        <f t="shared" ca="1" si="13"/>
        <v>0</v>
      </c>
    </row>
    <row r="435" spans="1:5" x14ac:dyDescent="0.25">
      <c r="A435" s="17">
        <f ca="1">INDEX(Stations,INT((ROWS(A$2:A435)-1)/(DATE(YEAR(Invoer!$A$5),12,31)-DATE(YEAR(Invoer!$A$5),1,1)+1))+2,1)</f>
        <v>83</v>
      </c>
      <c r="B435" t="str">
        <f ca="1">TEXT(DATE(YEAR(Invoer!$A$5),1,1)+MOD(ROWS(B$2:B435)-1,DATE(YEAR(Invoer!$A$5),12,31)-DATE(YEAR(Invoer!$A$5),1,1)+1),"jjjjmmdd")</f>
        <v>19400308</v>
      </c>
      <c r="C435" s="18">
        <v>1</v>
      </c>
      <c r="D435" s="23">
        <f t="shared" ca="1" si="12"/>
        <v>0</v>
      </c>
      <c r="E435" s="24">
        <f t="shared" ca="1" si="13"/>
        <v>0</v>
      </c>
    </row>
    <row r="436" spans="1:5" x14ac:dyDescent="0.25">
      <c r="A436" s="17">
        <f ca="1">INDEX(Stations,INT((ROWS(A$2:A436)-1)/(DATE(YEAR(Invoer!$A$5),12,31)-DATE(YEAR(Invoer!$A$5),1,1)+1))+2,1)</f>
        <v>83</v>
      </c>
      <c r="B436" t="str">
        <f ca="1">TEXT(DATE(YEAR(Invoer!$A$5),1,1)+MOD(ROWS(B$2:B436)-1,DATE(YEAR(Invoer!$A$5),12,31)-DATE(YEAR(Invoer!$A$5),1,1)+1),"jjjjmmdd")</f>
        <v>19400309</v>
      </c>
      <c r="C436" s="18">
        <v>1</v>
      </c>
      <c r="D436" s="23">
        <f t="shared" ca="1" si="12"/>
        <v>0</v>
      </c>
      <c r="E436" s="24">
        <f t="shared" ca="1" si="13"/>
        <v>0</v>
      </c>
    </row>
    <row r="437" spans="1:5" x14ac:dyDescent="0.25">
      <c r="A437" s="17">
        <f ca="1">INDEX(Stations,INT((ROWS(A$2:A437)-1)/(DATE(YEAR(Invoer!$A$5),12,31)-DATE(YEAR(Invoer!$A$5),1,1)+1))+2,1)</f>
        <v>83</v>
      </c>
      <c r="B437" t="str">
        <f ca="1">TEXT(DATE(YEAR(Invoer!$A$5),1,1)+MOD(ROWS(B$2:B437)-1,DATE(YEAR(Invoer!$A$5),12,31)-DATE(YEAR(Invoer!$A$5),1,1)+1),"jjjjmmdd")</f>
        <v>19400310</v>
      </c>
      <c r="C437" s="18">
        <v>1</v>
      </c>
      <c r="D437" s="23">
        <f t="shared" ca="1" si="12"/>
        <v>0</v>
      </c>
      <c r="E437" s="24">
        <f t="shared" ca="1" si="13"/>
        <v>0</v>
      </c>
    </row>
    <row r="438" spans="1:5" x14ac:dyDescent="0.25">
      <c r="A438" s="17">
        <f ca="1">INDEX(Stations,INT((ROWS(A$2:A438)-1)/(DATE(YEAR(Invoer!$A$5),12,31)-DATE(YEAR(Invoer!$A$5),1,1)+1))+2,1)</f>
        <v>83</v>
      </c>
      <c r="B438" t="str">
        <f ca="1">TEXT(DATE(YEAR(Invoer!$A$5),1,1)+MOD(ROWS(B$2:B438)-1,DATE(YEAR(Invoer!$A$5),12,31)-DATE(YEAR(Invoer!$A$5),1,1)+1),"jjjjmmdd")</f>
        <v>19400311</v>
      </c>
      <c r="C438" s="18">
        <v>1</v>
      </c>
      <c r="D438" s="23">
        <f t="shared" ca="1" si="12"/>
        <v>180</v>
      </c>
      <c r="E438" s="24">
        <f t="shared" ca="1" si="13"/>
        <v>0</v>
      </c>
    </row>
    <row r="439" spans="1:5" x14ac:dyDescent="0.25">
      <c r="A439" s="17">
        <f ca="1">INDEX(Stations,INT((ROWS(A$2:A439)-1)/(DATE(YEAR(Invoer!$A$5),12,31)-DATE(YEAR(Invoer!$A$5),1,1)+1))+2,1)</f>
        <v>83</v>
      </c>
      <c r="B439" t="str">
        <f ca="1">TEXT(DATE(YEAR(Invoer!$A$5),1,1)+MOD(ROWS(B$2:B439)-1,DATE(YEAR(Invoer!$A$5),12,31)-DATE(YEAR(Invoer!$A$5),1,1)+1),"jjjjmmdd")</f>
        <v>19400312</v>
      </c>
      <c r="C439" s="18">
        <v>1</v>
      </c>
      <c r="D439" s="23">
        <f t="shared" ca="1" si="12"/>
        <v>50</v>
      </c>
      <c r="E439" s="24">
        <f t="shared" ca="1" si="13"/>
        <v>0</v>
      </c>
    </row>
    <row r="440" spans="1:5" x14ac:dyDescent="0.25">
      <c r="A440" s="17">
        <f ca="1">INDEX(Stations,INT((ROWS(A$2:A440)-1)/(DATE(YEAR(Invoer!$A$5),12,31)-DATE(YEAR(Invoer!$A$5),1,1)+1))+2,1)</f>
        <v>83</v>
      </c>
      <c r="B440" t="str">
        <f ca="1">TEXT(DATE(YEAR(Invoer!$A$5),1,1)+MOD(ROWS(B$2:B440)-1,DATE(YEAR(Invoer!$A$5),12,31)-DATE(YEAR(Invoer!$A$5),1,1)+1),"jjjjmmdd")</f>
        <v>19400313</v>
      </c>
      <c r="C440" s="18">
        <v>1</v>
      </c>
      <c r="D440" s="23">
        <f t="shared" ca="1" si="12"/>
        <v>0</v>
      </c>
      <c r="E440" s="24">
        <f t="shared" ca="1" si="13"/>
        <v>0</v>
      </c>
    </row>
    <row r="441" spans="1:5" x14ac:dyDescent="0.25">
      <c r="A441" s="17">
        <f ca="1">INDEX(Stations,INT((ROWS(A$2:A441)-1)/(DATE(YEAR(Invoer!$A$5),12,31)-DATE(YEAR(Invoer!$A$5),1,1)+1))+2,1)</f>
        <v>83</v>
      </c>
      <c r="B441" t="str">
        <f ca="1">TEXT(DATE(YEAR(Invoer!$A$5),1,1)+MOD(ROWS(B$2:B441)-1,DATE(YEAR(Invoer!$A$5),12,31)-DATE(YEAR(Invoer!$A$5),1,1)+1),"jjjjmmdd")</f>
        <v>19400314</v>
      </c>
      <c r="C441" s="18">
        <v>1</v>
      </c>
      <c r="D441" s="23">
        <f t="shared" ca="1" si="12"/>
        <v>0</v>
      </c>
      <c r="E441" s="24">
        <f t="shared" ca="1" si="13"/>
        <v>0</v>
      </c>
    </row>
    <row r="442" spans="1:5" x14ac:dyDescent="0.25">
      <c r="A442" s="17">
        <f ca="1">INDEX(Stations,INT((ROWS(A$2:A442)-1)/(DATE(YEAR(Invoer!$A$5),12,31)-DATE(YEAR(Invoer!$A$5),1,1)+1))+2,1)</f>
        <v>83</v>
      </c>
      <c r="B442" t="str">
        <f ca="1">TEXT(DATE(YEAR(Invoer!$A$5),1,1)+MOD(ROWS(B$2:B442)-1,DATE(YEAR(Invoer!$A$5),12,31)-DATE(YEAR(Invoer!$A$5),1,1)+1),"jjjjmmdd")</f>
        <v>19400315</v>
      </c>
      <c r="C442" s="18">
        <v>1</v>
      </c>
      <c r="D442" s="23">
        <f t="shared" ca="1" si="12"/>
        <v>0</v>
      </c>
      <c r="E442" s="24">
        <f t="shared" ca="1" si="13"/>
        <v>0</v>
      </c>
    </row>
    <row r="443" spans="1:5" x14ac:dyDescent="0.25">
      <c r="A443" s="17">
        <f ca="1">INDEX(Stations,INT((ROWS(A$2:A443)-1)/(DATE(YEAR(Invoer!$A$5),12,31)-DATE(YEAR(Invoer!$A$5),1,1)+1))+2,1)</f>
        <v>83</v>
      </c>
      <c r="B443" t="str">
        <f ca="1">TEXT(DATE(YEAR(Invoer!$A$5),1,1)+MOD(ROWS(B$2:B443)-1,DATE(YEAR(Invoer!$A$5),12,31)-DATE(YEAR(Invoer!$A$5),1,1)+1),"jjjjmmdd")</f>
        <v>19400316</v>
      </c>
      <c r="C443" s="18">
        <v>1</v>
      </c>
      <c r="D443" s="23">
        <f t="shared" ca="1" si="12"/>
        <v>0</v>
      </c>
      <c r="E443" s="24">
        <f t="shared" ca="1" si="13"/>
        <v>0</v>
      </c>
    </row>
    <row r="444" spans="1:5" x14ac:dyDescent="0.25">
      <c r="A444" s="17">
        <f ca="1">INDEX(Stations,INT((ROWS(A$2:A444)-1)/(DATE(YEAR(Invoer!$A$5),12,31)-DATE(YEAR(Invoer!$A$5),1,1)+1))+2,1)</f>
        <v>83</v>
      </c>
      <c r="B444" t="str">
        <f ca="1">TEXT(DATE(YEAR(Invoer!$A$5),1,1)+MOD(ROWS(B$2:B444)-1,DATE(YEAR(Invoer!$A$5),12,31)-DATE(YEAR(Invoer!$A$5),1,1)+1),"jjjjmmdd")</f>
        <v>19400317</v>
      </c>
      <c r="C444" s="18">
        <v>1</v>
      </c>
      <c r="D444" s="23">
        <f t="shared" ca="1" si="12"/>
        <v>0</v>
      </c>
      <c r="E444" s="24">
        <f t="shared" ca="1" si="13"/>
        <v>0</v>
      </c>
    </row>
    <row r="445" spans="1:5" x14ac:dyDescent="0.25">
      <c r="A445" s="17">
        <f ca="1">INDEX(Stations,INT((ROWS(A$2:A445)-1)/(DATE(YEAR(Invoer!$A$5),12,31)-DATE(YEAR(Invoer!$A$5),1,1)+1))+2,1)</f>
        <v>83</v>
      </c>
      <c r="B445" t="str">
        <f ca="1">TEXT(DATE(YEAR(Invoer!$A$5),1,1)+MOD(ROWS(B$2:B445)-1,DATE(YEAR(Invoer!$A$5),12,31)-DATE(YEAR(Invoer!$A$5),1,1)+1),"jjjjmmdd")</f>
        <v>19400318</v>
      </c>
      <c r="C445" s="18">
        <v>1</v>
      </c>
      <c r="D445" s="23">
        <f t="shared" ca="1" si="12"/>
        <v>0</v>
      </c>
      <c r="E445" s="24">
        <f t="shared" ca="1" si="13"/>
        <v>0</v>
      </c>
    </row>
    <row r="446" spans="1:5" x14ac:dyDescent="0.25">
      <c r="A446" s="17">
        <f ca="1">INDEX(Stations,INT((ROWS(A$2:A446)-1)/(DATE(YEAR(Invoer!$A$5),12,31)-DATE(YEAR(Invoer!$A$5),1,1)+1))+2,1)</f>
        <v>83</v>
      </c>
      <c r="B446" t="str">
        <f ca="1">TEXT(DATE(YEAR(Invoer!$A$5),1,1)+MOD(ROWS(B$2:B446)-1,DATE(YEAR(Invoer!$A$5),12,31)-DATE(YEAR(Invoer!$A$5),1,1)+1),"jjjjmmdd")</f>
        <v>19400319</v>
      </c>
      <c r="C446" s="18">
        <v>1</v>
      </c>
      <c r="D446" s="23">
        <f t="shared" ca="1" si="12"/>
        <v>0</v>
      </c>
      <c r="E446" s="24">
        <f t="shared" ca="1" si="13"/>
        <v>0</v>
      </c>
    </row>
    <row r="447" spans="1:5" x14ac:dyDescent="0.25">
      <c r="A447" s="17">
        <f ca="1">INDEX(Stations,INT((ROWS(A$2:A447)-1)/(DATE(YEAR(Invoer!$A$5),12,31)-DATE(YEAR(Invoer!$A$5),1,1)+1))+2,1)</f>
        <v>83</v>
      </c>
      <c r="B447" t="str">
        <f ca="1">TEXT(DATE(YEAR(Invoer!$A$5),1,1)+MOD(ROWS(B$2:B447)-1,DATE(YEAR(Invoer!$A$5),12,31)-DATE(YEAR(Invoer!$A$5),1,1)+1),"jjjjmmdd")</f>
        <v>19400320</v>
      </c>
      <c r="C447" s="18">
        <v>1</v>
      </c>
      <c r="D447" s="23">
        <f t="shared" ca="1" si="12"/>
        <v>0</v>
      </c>
      <c r="E447" s="24">
        <f t="shared" ca="1" si="13"/>
        <v>0</v>
      </c>
    </row>
    <row r="448" spans="1:5" x14ac:dyDescent="0.25">
      <c r="A448" s="17">
        <f ca="1">INDEX(Stations,INT((ROWS(A$2:A448)-1)/(DATE(YEAR(Invoer!$A$5),12,31)-DATE(YEAR(Invoer!$A$5),1,1)+1))+2,1)</f>
        <v>83</v>
      </c>
      <c r="B448" t="str">
        <f ca="1">TEXT(DATE(YEAR(Invoer!$A$5),1,1)+MOD(ROWS(B$2:B448)-1,DATE(YEAR(Invoer!$A$5),12,31)-DATE(YEAR(Invoer!$A$5),1,1)+1),"jjjjmmdd")</f>
        <v>19400321</v>
      </c>
      <c r="C448" s="18">
        <v>1</v>
      </c>
      <c r="D448" s="23">
        <f t="shared" ca="1" si="12"/>
        <v>0</v>
      </c>
      <c r="E448" s="24">
        <f t="shared" ca="1" si="13"/>
        <v>0</v>
      </c>
    </row>
    <row r="449" spans="1:5" x14ac:dyDescent="0.25">
      <c r="A449" s="17">
        <f ca="1">INDEX(Stations,INT((ROWS(A$2:A449)-1)/(DATE(YEAR(Invoer!$A$5),12,31)-DATE(YEAR(Invoer!$A$5),1,1)+1))+2,1)</f>
        <v>83</v>
      </c>
      <c r="B449" t="str">
        <f ca="1">TEXT(DATE(YEAR(Invoer!$A$5),1,1)+MOD(ROWS(B$2:B449)-1,DATE(YEAR(Invoer!$A$5),12,31)-DATE(YEAR(Invoer!$A$5),1,1)+1),"jjjjmmdd")</f>
        <v>19400322</v>
      </c>
      <c r="C449" s="18">
        <v>1</v>
      </c>
      <c r="D449" s="23">
        <f t="shared" ca="1" si="12"/>
        <v>0</v>
      </c>
      <c r="E449" s="24">
        <f t="shared" ca="1" si="13"/>
        <v>0</v>
      </c>
    </row>
    <row r="450" spans="1:5" x14ac:dyDescent="0.25">
      <c r="A450" s="17">
        <f ca="1">INDEX(Stations,INT((ROWS(A$2:A450)-1)/(DATE(YEAR(Invoer!$A$5),12,31)-DATE(YEAR(Invoer!$A$5),1,1)+1))+2,1)</f>
        <v>83</v>
      </c>
      <c r="B450" t="str">
        <f ca="1">TEXT(DATE(YEAR(Invoer!$A$5),1,1)+MOD(ROWS(B$2:B450)-1,DATE(YEAR(Invoer!$A$5),12,31)-DATE(YEAR(Invoer!$A$5),1,1)+1),"jjjjmmdd")</f>
        <v>19400323</v>
      </c>
      <c r="C450" s="18">
        <v>1</v>
      </c>
      <c r="D450" s="23">
        <f t="shared" ref="D450:D513" ca="1" si="14">IF(OR(ISBLANK(VLOOKUP(DATEVALUE(LEFT(B450,4)&amp;"-"&amp;MID(B450,5,2)&amp;"-"&amp;RIGHT(B450,2)),Data,MATCH(VLOOKUP(A450,Stations,2,FALSE()),OFFSET(Data,1,0,1),0),FALSE())),ISTEXT(VLOOKUP(DATEVALUE(LEFT(B450,4)&amp;"-"&amp;MID(B450,5,2)&amp;"-"&amp;RIGHT(B450,2)),Data,MATCH(VLOOKUP(A450,Stations,2,FALSE()),OFFSET(Data,1,0,1),0),FALSE()))),"—",VLOOKUP(DATEVALUE(LEFT(B450,4)&amp;"-"&amp;MID(B450,5,2)&amp;"-"&amp;RIGHT(B450,2)),Data,MATCH(VLOOKUP(A450,Stations,2,FALSE()),OFFSET(Data,1,0,1),0),FALSE()))</f>
        <v>0</v>
      </c>
      <c r="E450" s="24">
        <f t="shared" ref="E450:E513" ca="1" si="15">IF(OR(ISBLANK(VLOOKUP(DATEVALUE(LEFT(B450,4)&amp;"-"&amp;MID(B450,5,2)&amp;"-"&amp;RIGHT(B450,2)),Data,MATCH(VLOOKUP(A450,Stations,2,FALSE()),OFFSET(Data,1,0,1),0),FALSE())),ISTEXT(VLOOKUP(DATEVALUE(LEFT(B450,4)&amp;"-"&amp;MID(B450,5,2)&amp;"-"&amp;RIGHT(B450,2)),Data,MATCH(VLOOKUP(A450,Stations,2,FALSE()),OFFSET(Data,1,0,1),0),FALSE()))),Lacking,IF(ISNA(MATCH(DATEVALUE(LEFT(B450,4)&amp;"-"&amp;MID(B450,5,2)&amp;"-"&amp;RIGHT(B450,2)),OFFSET(Catalogus,0,0,,1),0)),Ok,VLOOKUP(DATEVALUE(LEFT(B450,4)&amp;"-"&amp;MID(B450,5,2)&amp;"-"&amp;RIGHT(B450,2)),Catalogus,MATCH(VLOOKUP(A450,Stations,2,FALSE()),OFFSET(Catalogus,1,0,1),0),FALSE())))</f>
        <v>0</v>
      </c>
    </row>
    <row r="451" spans="1:5" x14ac:dyDescent="0.25">
      <c r="A451" s="17">
        <f ca="1">INDEX(Stations,INT((ROWS(A$2:A451)-1)/(DATE(YEAR(Invoer!$A$5),12,31)-DATE(YEAR(Invoer!$A$5),1,1)+1))+2,1)</f>
        <v>83</v>
      </c>
      <c r="B451" t="str">
        <f ca="1">TEXT(DATE(YEAR(Invoer!$A$5),1,1)+MOD(ROWS(B$2:B451)-1,DATE(YEAR(Invoer!$A$5),12,31)-DATE(YEAR(Invoer!$A$5),1,1)+1),"jjjjmmdd")</f>
        <v>19400324</v>
      </c>
      <c r="C451" s="18">
        <v>1</v>
      </c>
      <c r="D451" s="23">
        <f t="shared" ca="1" si="14"/>
        <v>40</v>
      </c>
      <c r="E451" s="24">
        <f t="shared" ca="1" si="15"/>
        <v>0</v>
      </c>
    </row>
    <row r="452" spans="1:5" x14ac:dyDescent="0.25">
      <c r="A452" s="17">
        <f ca="1">INDEX(Stations,INT((ROWS(A$2:A452)-1)/(DATE(YEAR(Invoer!$A$5),12,31)-DATE(YEAR(Invoer!$A$5),1,1)+1))+2,1)</f>
        <v>83</v>
      </c>
      <c r="B452" t="str">
        <f ca="1">TEXT(DATE(YEAR(Invoer!$A$5),1,1)+MOD(ROWS(B$2:B452)-1,DATE(YEAR(Invoer!$A$5),12,31)-DATE(YEAR(Invoer!$A$5),1,1)+1),"jjjjmmdd")</f>
        <v>19400325</v>
      </c>
      <c r="C452" s="18">
        <v>1</v>
      </c>
      <c r="D452" s="23">
        <f t="shared" ca="1" si="14"/>
        <v>0</v>
      </c>
      <c r="E452" s="24">
        <f t="shared" ca="1" si="15"/>
        <v>0</v>
      </c>
    </row>
    <row r="453" spans="1:5" x14ac:dyDescent="0.25">
      <c r="A453" s="17">
        <f ca="1">INDEX(Stations,INT((ROWS(A$2:A453)-1)/(DATE(YEAR(Invoer!$A$5),12,31)-DATE(YEAR(Invoer!$A$5),1,1)+1))+2,1)</f>
        <v>83</v>
      </c>
      <c r="B453" t="str">
        <f ca="1">TEXT(DATE(YEAR(Invoer!$A$5),1,1)+MOD(ROWS(B$2:B453)-1,DATE(YEAR(Invoer!$A$5),12,31)-DATE(YEAR(Invoer!$A$5),1,1)+1),"jjjjmmdd")</f>
        <v>19400326</v>
      </c>
      <c r="C453" s="18">
        <v>1</v>
      </c>
      <c r="D453" s="23">
        <f t="shared" ca="1" si="14"/>
        <v>30</v>
      </c>
      <c r="E453" s="24">
        <f t="shared" ca="1" si="15"/>
        <v>0</v>
      </c>
    </row>
    <row r="454" spans="1:5" x14ac:dyDescent="0.25">
      <c r="A454" s="17">
        <f ca="1">INDEX(Stations,INT((ROWS(A$2:A454)-1)/(DATE(YEAR(Invoer!$A$5),12,31)-DATE(YEAR(Invoer!$A$5),1,1)+1))+2,1)</f>
        <v>83</v>
      </c>
      <c r="B454" t="str">
        <f ca="1">TEXT(DATE(YEAR(Invoer!$A$5),1,1)+MOD(ROWS(B$2:B454)-1,DATE(YEAR(Invoer!$A$5),12,31)-DATE(YEAR(Invoer!$A$5),1,1)+1),"jjjjmmdd")</f>
        <v>19400327</v>
      </c>
      <c r="C454" s="18">
        <v>1</v>
      </c>
      <c r="D454" s="23">
        <f t="shared" ca="1" si="14"/>
        <v>0</v>
      </c>
      <c r="E454" s="24">
        <f t="shared" ca="1" si="15"/>
        <v>0</v>
      </c>
    </row>
    <row r="455" spans="1:5" x14ac:dyDescent="0.25">
      <c r="A455" s="17">
        <f ca="1">INDEX(Stations,INT((ROWS(A$2:A455)-1)/(DATE(YEAR(Invoer!$A$5),12,31)-DATE(YEAR(Invoer!$A$5),1,1)+1))+2,1)</f>
        <v>83</v>
      </c>
      <c r="B455" t="str">
        <f ca="1">TEXT(DATE(YEAR(Invoer!$A$5),1,1)+MOD(ROWS(B$2:B455)-1,DATE(YEAR(Invoer!$A$5),12,31)-DATE(YEAR(Invoer!$A$5),1,1)+1),"jjjjmmdd")</f>
        <v>19400328</v>
      </c>
      <c r="C455" s="18">
        <v>1</v>
      </c>
      <c r="D455" s="23">
        <f t="shared" ca="1" si="14"/>
        <v>0</v>
      </c>
      <c r="E455" s="24">
        <f t="shared" ca="1" si="15"/>
        <v>0</v>
      </c>
    </row>
    <row r="456" spans="1:5" x14ac:dyDescent="0.25">
      <c r="A456" s="17">
        <f ca="1">INDEX(Stations,INT((ROWS(A$2:A456)-1)/(DATE(YEAR(Invoer!$A$5),12,31)-DATE(YEAR(Invoer!$A$5),1,1)+1))+2,1)</f>
        <v>83</v>
      </c>
      <c r="B456" t="str">
        <f ca="1">TEXT(DATE(YEAR(Invoer!$A$5),1,1)+MOD(ROWS(B$2:B456)-1,DATE(YEAR(Invoer!$A$5),12,31)-DATE(YEAR(Invoer!$A$5),1,1)+1),"jjjjmmdd")</f>
        <v>19400329</v>
      </c>
      <c r="C456" s="18">
        <v>1</v>
      </c>
      <c r="D456" s="23">
        <f t="shared" ca="1" si="14"/>
        <v>0</v>
      </c>
      <c r="E456" s="24">
        <f t="shared" ca="1" si="15"/>
        <v>0</v>
      </c>
    </row>
    <row r="457" spans="1:5" x14ac:dyDescent="0.25">
      <c r="A457" s="17">
        <f ca="1">INDEX(Stations,INT((ROWS(A$2:A457)-1)/(DATE(YEAR(Invoer!$A$5),12,31)-DATE(YEAR(Invoer!$A$5),1,1)+1))+2,1)</f>
        <v>83</v>
      </c>
      <c r="B457" t="str">
        <f ca="1">TEXT(DATE(YEAR(Invoer!$A$5),1,1)+MOD(ROWS(B$2:B457)-1,DATE(YEAR(Invoer!$A$5),12,31)-DATE(YEAR(Invoer!$A$5),1,1)+1),"jjjjmmdd")</f>
        <v>19400330</v>
      </c>
      <c r="C457" s="18">
        <v>1</v>
      </c>
      <c r="D457" s="23">
        <f t="shared" ca="1" si="14"/>
        <v>0</v>
      </c>
      <c r="E457" s="24">
        <f t="shared" ca="1" si="15"/>
        <v>0</v>
      </c>
    </row>
    <row r="458" spans="1:5" x14ac:dyDescent="0.25">
      <c r="A458" s="17">
        <f ca="1">INDEX(Stations,INT((ROWS(A$2:A458)-1)/(DATE(YEAR(Invoer!$A$5),12,31)-DATE(YEAR(Invoer!$A$5),1,1)+1))+2,1)</f>
        <v>83</v>
      </c>
      <c r="B458" t="str">
        <f ca="1">TEXT(DATE(YEAR(Invoer!$A$5),1,1)+MOD(ROWS(B$2:B458)-1,DATE(YEAR(Invoer!$A$5),12,31)-DATE(YEAR(Invoer!$A$5),1,1)+1),"jjjjmmdd")</f>
        <v>19400331</v>
      </c>
      <c r="C458" s="18">
        <v>1</v>
      </c>
      <c r="D458" s="23">
        <f t="shared" ca="1" si="14"/>
        <v>0</v>
      </c>
      <c r="E458" s="24">
        <f t="shared" ca="1" si="15"/>
        <v>0</v>
      </c>
    </row>
    <row r="459" spans="1:5" x14ac:dyDescent="0.25">
      <c r="A459" s="17">
        <f ca="1">INDEX(Stations,INT((ROWS(A$2:A459)-1)/(DATE(YEAR(Invoer!$A$5),12,31)-DATE(YEAR(Invoer!$A$5),1,1)+1))+2,1)</f>
        <v>83</v>
      </c>
      <c r="B459" t="str">
        <f ca="1">TEXT(DATE(YEAR(Invoer!$A$5),1,1)+MOD(ROWS(B$2:B459)-1,DATE(YEAR(Invoer!$A$5),12,31)-DATE(YEAR(Invoer!$A$5),1,1)+1),"jjjjmmdd")</f>
        <v>19400401</v>
      </c>
      <c r="C459" s="18">
        <v>1</v>
      </c>
      <c r="D459" s="23">
        <f t="shared" ca="1" si="14"/>
        <v>30</v>
      </c>
      <c r="E459" s="24">
        <f t="shared" ca="1" si="15"/>
        <v>0</v>
      </c>
    </row>
    <row r="460" spans="1:5" x14ac:dyDescent="0.25">
      <c r="A460" s="17">
        <f ca="1">INDEX(Stations,INT((ROWS(A$2:A460)-1)/(DATE(YEAR(Invoer!$A$5),12,31)-DATE(YEAR(Invoer!$A$5),1,1)+1))+2,1)</f>
        <v>83</v>
      </c>
      <c r="B460" t="str">
        <f ca="1">TEXT(DATE(YEAR(Invoer!$A$5),1,1)+MOD(ROWS(B$2:B460)-1,DATE(YEAR(Invoer!$A$5),12,31)-DATE(YEAR(Invoer!$A$5),1,1)+1),"jjjjmmdd")</f>
        <v>19400402</v>
      </c>
      <c r="C460" s="18">
        <v>1</v>
      </c>
      <c r="D460" s="23">
        <f t="shared" ca="1" si="14"/>
        <v>0</v>
      </c>
      <c r="E460" s="24">
        <f t="shared" ca="1" si="15"/>
        <v>0</v>
      </c>
    </row>
    <row r="461" spans="1:5" x14ac:dyDescent="0.25">
      <c r="A461" s="17">
        <f ca="1">INDEX(Stations,INT((ROWS(A$2:A461)-1)/(DATE(YEAR(Invoer!$A$5),12,31)-DATE(YEAR(Invoer!$A$5),1,1)+1))+2,1)</f>
        <v>83</v>
      </c>
      <c r="B461" t="str">
        <f ca="1">TEXT(DATE(YEAR(Invoer!$A$5),1,1)+MOD(ROWS(B$2:B461)-1,DATE(YEAR(Invoer!$A$5),12,31)-DATE(YEAR(Invoer!$A$5),1,1)+1),"jjjjmmdd")</f>
        <v>19400403</v>
      </c>
      <c r="C461" s="18">
        <v>1</v>
      </c>
      <c r="D461" s="23">
        <f t="shared" ca="1" si="14"/>
        <v>0</v>
      </c>
      <c r="E461" s="24">
        <f t="shared" ca="1" si="15"/>
        <v>0</v>
      </c>
    </row>
    <row r="462" spans="1:5" x14ac:dyDescent="0.25">
      <c r="A462" s="17">
        <f ca="1">INDEX(Stations,INT((ROWS(A$2:A462)-1)/(DATE(YEAR(Invoer!$A$5),12,31)-DATE(YEAR(Invoer!$A$5),1,1)+1))+2,1)</f>
        <v>83</v>
      </c>
      <c r="B462" t="str">
        <f ca="1">TEXT(DATE(YEAR(Invoer!$A$5),1,1)+MOD(ROWS(B$2:B462)-1,DATE(YEAR(Invoer!$A$5),12,31)-DATE(YEAR(Invoer!$A$5),1,1)+1),"jjjjmmdd")</f>
        <v>19400404</v>
      </c>
      <c r="C462" s="18">
        <v>1</v>
      </c>
      <c r="D462" s="23">
        <f t="shared" ca="1" si="14"/>
        <v>0</v>
      </c>
      <c r="E462" s="24">
        <f t="shared" ca="1" si="15"/>
        <v>0</v>
      </c>
    </row>
    <row r="463" spans="1:5" x14ac:dyDescent="0.25">
      <c r="A463" s="17">
        <f ca="1">INDEX(Stations,INT((ROWS(A$2:A463)-1)/(DATE(YEAR(Invoer!$A$5),12,31)-DATE(YEAR(Invoer!$A$5),1,1)+1))+2,1)</f>
        <v>83</v>
      </c>
      <c r="B463" t="str">
        <f ca="1">TEXT(DATE(YEAR(Invoer!$A$5),1,1)+MOD(ROWS(B$2:B463)-1,DATE(YEAR(Invoer!$A$5),12,31)-DATE(YEAR(Invoer!$A$5),1,1)+1),"jjjjmmdd")</f>
        <v>19400405</v>
      </c>
      <c r="C463" s="18">
        <v>1</v>
      </c>
      <c r="D463" s="23">
        <f t="shared" ca="1" si="14"/>
        <v>0</v>
      </c>
      <c r="E463" s="24">
        <f t="shared" ca="1" si="15"/>
        <v>0</v>
      </c>
    </row>
    <row r="464" spans="1:5" x14ac:dyDescent="0.25">
      <c r="A464" s="17">
        <f ca="1">INDEX(Stations,INT((ROWS(A$2:A464)-1)/(DATE(YEAR(Invoer!$A$5),12,31)-DATE(YEAR(Invoer!$A$5),1,1)+1))+2,1)</f>
        <v>83</v>
      </c>
      <c r="B464" t="str">
        <f ca="1">TEXT(DATE(YEAR(Invoer!$A$5),1,1)+MOD(ROWS(B$2:B464)-1,DATE(YEAR(Invoer!$A$5),12,31)-DATE(YEAR(Invoer!$A$5),1,1)+1),"jjjjmmdd")</f>
        <v>19400406</v>
      </c>
      <c r="C464" s="18">
        <v>1</v>
      </c>
      <c r="D464" s="23">
        <f t="shared" ca="1" si="14"/>
        <v>0</v>
      </c>
      <c r="E464" s="24">
        <f t="shared" ca="1" si="15"/>
        <v>0</v>
      </c>
    </row>
    <row r="465" spans="1:5" x14ac:dyDescent="0.25">
      <c r="A465" s="17">
        <f ca="1">INDEX(Stations,INT((ROWS(A$2:A465)-1)/(DATE(YEAR(Invoer!$A$5),12,31)-DATE(YEAR(Invoer!$A$5),1,1)+1))+2,1)</f>
        <v>83</v>
      </c>
      <c r="B465" t="str">
        <f ca="1">TEXT(DATE(YEAR(Invoer!$A$5),1,1)+MOD(ROWS(B$2:B465)-1,DATE(YEAR(Invoer!$A$5),12,31)-DATE(YEAR(Invoer!$A$5),1,1)+1),"jjjjmmdd")</f>
        <v>19400407</v>
      </c>
      <c r="C465" s="18">
        <v>1</v>
      </c>
      <c r="D465" s="23">
        <f t="shared" ca="1" si="14"/>
        <v>10</v>
      </c>
      <c r="E465" s="24">
        <f t="shared" ca="1" si="15"/>
        <v>0</v>
      </c>
    </row>
    <row r="466" spans="1:5" x14ac:dyDescent="0.25">
      <c r="A466" s="17">
        <f ca="1">INDEX(Stations,INT((ROWS(A$2:A466)-1)/(DATE(YEAR(Invoer!$A$5),12,31)-DATE(YEAR(Invoer!$A$5),1,1)+1))+2,1)</f>
        <v>83</v>
      </c>
      <c r="B466" t="str">
        <f ca="1">TEXT(DATE(YEAR(Invoer!$A$5),1,1)+MOD(ROWS(B$2:B466)-1,DATE(YEAR(Invoer!$A$5),12,31)-DATE(YEAR(Invoer!$A$5),1,1)+1),"jjjjmmdd")</f>
        <v>19400408</v>
      </c>
      <c r="C466" s="18">
        <v>1</v>
      </c>
      <c r="D466" s="23">
        <f t="shared" ca="1" si="14"/>
        <v>0</v>
      </c>
      <c r="E466" s="24">
        <f t="shared" ca="1" si="15"/>
        <v>0</v>
      </c>
    </row>
    <row r="467" spans="1:5" x14ac:dyDescent="0.25">
      <c r="A467" s="17">
        <f ca="1">INDEX(Stations,INT((ROWS(A$2:A467)-1)/(DATE(YEAR(Invoer!$A$5),12,31)-DATE(YEAR(Invoer!$A$5),1,1)+1))+2,1)</f>
        <v>83</v>
      </c>
      <c r="B467" t="str">
        <f ca="1">TEXT(DATE(YEAR(Invoer!$A$5),1,1)+MOD(ROWS(B$2:B467)-1,DATE(YEAR(Invoer!$A$5),12,31)-DATE(YEAR(Invoer!$A$5),1,1)+1),"jjjjmmdd")</f>
        <v>19400409</v>
      </c>
      <c r="C467" s="18">
        <v>1</v>
      </c>
      <c r="D467" s="23">
        <f t="shared" ca="1" si="14"/>
        <v>0</v>
      </c>
      <c r="E467" s="24">
        <f t="shared" ca="1" si="15"/>
        <v>0</v>
      </c>
    </row>
    <row r="468" spans="1:5" x14ac:dyDescent="0.25">
      <c r="A468" s="17">
        <f ca="1">INDEX(Stations,INT((ROWS(A$2:A468)-1)/(DATE(YEAR(Invoer!$A$5),12,31)-DATE(YEAR(Invoer!$A$5),1,1)+1))+2,1)</f>
        <v>83</v>
      </c>
      <c r="B468" t="str">
        <f ca="1">TEXT(DATE(YEAR(Invoer!$A$5),1,1)+MOD(ROWS(B$2:B468)-1,DATE(YEAR(Invoer!$A$5),12,31)-DATE(YEAR(Invoer!$A$5),1,1)+1),"jjjjmmdd")</f>
        <v>19400410</v>
      </c>
      <c r="C468" s="18">
        <v>1</v>
      </c>
      <c r="D468" s="23">
        <f t="shared" ca="1" si="14"/>
        <v>0</v>
      </c>
      <c r="E468" s="24">
        <f t="shared" ca="1" si="15"/>
        <v>0</v>
      </c>
    </row>
    <row r="469" spans="1:5" x14ac:dyDescent="0.25">
      <c r="A469" s="17">
        <f ca="1">INDEX(Stations,INT((ROWS(A$2:A469)-1)/(DATE(YEAR(Invoer!$A$5),12,31)-DATE(YEAR(Invoer!$A$5),1,1)+1))+2,1)</f>
        <v>83</v>
      </c>
      <c r="B469" t="str">
        <f ca="1">TEXT(DATE(YEAR(Invoer!$A$5),1,1)+MOD(ROWS(B$2:B469)-1,DATE(YEAR(Invoer!$A$5),12,31)-DATE(YEAR(Invoer!$A$5),1,1)+1),"jjjjmmdd")</f>
        <v>19400411</v>
      </c>
      <c r="C469" s="18">
        <v>1</v>
      </c>
      <c r="D469" s="23">
        <f t="shared" ca="1" si="14"/>
        <v>0</v>
      </c>
      <c r="E469" s="24">
        <f t="shared" ca="1" si="15"/>
        <v>0</v>
      </c>
    </row>
    <row r="470" spans="1:5" x14ac:dyDescent="0.25">
      <c r="A470" s="17">
        <f ca="1">INDEX(Stations,INT((ROWS(A$2:A470)-1)/(DATE(YEAR(Invoer!$A$5),12,31)-DATE(YEAR(Invoer!$A$5),1,1)+1))+2,1)</f>
        <v>83</v>
      </c>
      <c r="B470" t="str">
        <f ca="1">TEXT(DATE(YEAR(Invoer!$A$5),1,1)+MOD(ROWS(B$2:B470)-1,DATE(YEAR(Invoer!$A$5),12,31)-DATE(YEAR(Invoer!$A$5),1,1)+1),"jjjjmmdd")</f>
        <v>19400412</v>
      </c>
      <c r="C470" s="18">
        <v>1</v>
      </c>
      <c r="D470" s="23">
        <f t="shared" ca="1" si="14"/>
        <v>0</v>
      </c>
      <c r="E470" s="24">
        <f t="shared" ca="1" si="15"/>
        <v>0</v>
      </c>
    </row>
    <row r="471" spans="1:5" x14ac:dyDescent="0.25">
      <c r="A471" s="17">
        <f ca="1">INDEX(Stations,INT((ROWS(A$2:A471)-1)/(DATE(YEAR(Invoer!$A$5),12,31)-DATE(YEAR(Invoer!$A$5),1,1)+1))+2,1)</f>
        <v>83</v>
      </c>
      <c r="B471" t="str">
        <f ca="1">TEXT(DATE(YEAR(Invoer!$A$5),1,1)+MOD(ROWS(B$2:B471)-1,DATE(YEAR(Invoer!$A$5),12,31)-DATE(YEAR(Invoer!$A$5),1,1)+1),"jjjjmmdd")</f>
        <v>19400413</v>
      </c>
      <c r="C471" s="18">
        <v>1</v>
      </c>
      <c r="D471" s="23">
        <f t="shared" ca="1" si="14"/>
        <v>0</v>
      </c>
      <c r="E471" s="24">
        <f t="shared" ca="1" si="15"/>
        <v>0</v>
      </c>
    </row>
    <row r="472" spans="1:5" x14ac:dyDescent="0.25">
      <c r="A472" s="17">
        <f ca="1">INDEX(Stations,INT((ROWS(A$2:A472)-1)/(DATE(YEAR(Invoer!$A$5),12,31)-DATE(YEAR(Invoer!$A$5),1,1)+1))+2,1)</f>
        <v>83</v>
      </c>
      <c r="B472" t="str">
        <f ca="1">TEXT(DATE(YEAR(Invoer!$A$5),1,1)+MOD(ROWS(B$2:B472)-1,DATE(YEAR(Invoer!$A$5),12,31)-DATE(YEAR(Invoer!$A$5),1,1)+1),"jjjjmmdd")</f>
        <v>19400414</v>
      </c>
      <c r="C472" s="18">
        <v>1</v>
      </c>
      <c r="D472" s="23">
        <f t="shared" ca="1" si="14"/>
        <v>0</v>
      </c>
      <c r="E472" s="24">
        <f t="shared" ca="1" si="15"/>
        <v>0</v>
      </c>
    </row>
    <row r="473" spans="1:5" x14ac:dyDescent="0.25">
      <c r="A473" s="17">
        <f ca="1">INDEX(Stations,INT((ROWS(A$2:A473)-1)/(DATE(YEAR(Invoer!$A$5),12,31)-DATE(YEAR(Invoer!$A$5),1,1)+1))+2,1)</f>
        <v>83</v>
      </c>
      <c r="B473" t="str">
        <f ca="1">TEXT(DATE(YEAR(Invoer!$A$5),1,1)+MOD(ROWS(B$2:B473)-1,DATE(YEAR(Invoer!$A$5),12,31)-DATE(YEAR(Invoer!$A$5),1,1)+1),"jjjjmmdd")</f>
        <v>19400415</v>
      </c>
      <c r="C473" s="18">
        <v>1</v>
      </c>
      <c r="D473" s="23">
        <f t="shared" ca="1" si="14"/>
        <v>0</v>
      </c>
      <c r="E473" s="24">
        <f t="shared" ca="1" si="15"/>
        <v>0</v>
      </c>
    </row>
    <row r="474" spans="1:5" x14ac:dyDescent="0.25">
      <c r="A474" s="17">
        <f ca="1">INDEX(Stations,INT((ROWS(A$2:A474)-1)/(DATE(YEAR(Invoer!$A$5),12,31)-DATE(YEAR(Invoer!$A$5),1,1)+1))+2,1)</f>
        <v>83</v>
      </c>
      <c r="B474" t="str">
        <f ca="1">TEXT(DATE(YEAR(Invoer!$A$5),1,1)+MOD(ROWS(B$2:B474)-1,DATE(YEAR(Invoer!$A$5),12,31)-DATE(YEAR(Invoer!$A$5),1,1)+1),"jjjjmmdd")</f>
        <v>19400416</v>
      </c>
      <c r="C474" s="18">
        <v>1</v>
      </c>
      <c r="D474" s="23">
        <f t="shared" ca="1" si="14"/>
        <v>100</v>
      </c>
      <c r="E474" s="24">
        <f t="shared" ca="1" si="15"/>
        <v>0</v>
      </c>
    </row>
    <row r="475" spans="1:5" x14ac:dyDescent="0.25">
      <c r="A475" s="17">
        <f ca="1">INDEX(Stations,INT((ROWS(A$2:A475)-1)/(DATE(YEAR(Invoer!$A$5),12,31)-DATE(YEAR(Invoer!$A$5),1,1)+1))+2,1)</f>
        <v>83</v>
      </c>
      <c r="B475" t="str">
        <f ca="1">TEXT(DATE(YEAR(Invoer!$A$5),1,1)+MOD(ROWS(B$2:B475)-1,DATE(YEAR(Invoer!$A$5),12,31)-DATE(YEAR(Invoer!$A$5),1,1)+1),"jjjjmmdd")</f>
        <v>19400417</v>
      </c>
      <c r="C475" s="18">
        <v>1</v>
      </c>
      <c r="D475" s="23">
        <f t="shared" ca="1" si="14"/>
        <v>40</v>
      </c>
      <c r="E475" s="24">
        <f t="shared" ca="1" si="15"/>
        <v>0</v>
      </c>
    </row>
    <row r="476" spans="1:5" x14ac:dyDescent="0.25">
      <c r="A476" s="17">
        <f ca="1">INDEX(Stations,INT((ROWS(A$2:A476)-1)/(DATE(YEAR(Invoer!$A$5),12,31)-DATE(YEAR(Invoer!$A$5),1,1)+1))+2,1)</f>
        <v>83</v>
      </c>
      <c r="B476" t="str">
        <f ca="1">TEXT(DATE(YEAR(Invoer!$A$5),1,1)+MOD(ROWS(B$2:B476)-1,DATE(YEAR(Invoer!$A$5),12,31)-DATE(YEAR(Invoer!$A$5),1,1)+1),"jjjjmmdd")</f>
        <v>19400418</v>
      </c>
      <c r="C476" s="18">
        <v>1</v>
      </c>
      <c r="D476" s="23">
        <f t="shared" ca="1" si="14"/>
        <v>0</v>
      </c>
      <c r="E476" s="24">
        <f t="shared" ca="1" si="15"/>
        <v>0</v>
      </c>
    </row>
    <row r="477" spans="1:5" x14ac:dyDescent="0.25">
      <c r="A477" s="17">
        <f ca="1">INDEX(Stations,INT((ROWS(A$2:A477)-1)/(DATE(YEAR(Invoer!$A$5),12,31)-DATE(YEAR(Invoer!$A$5),1,1)+1))+2,1)</f>
        <v>83</v>
      </c>
      <c r="B477" t="str">
        <f ca="1">TEXT(DATE(YEAR(Invoer!$A$5),1,1)+MOD(ROWS(B$2:B477)-1,DATE(YEAR(Invoer!$A$5),12,31)-DATE(YEAR(Invoer!$A$5),1,1)+1),"jjjjmmdd")</f>
        <v>19400419</v>
      </c>
      <c r="C477" s="18">
        <v>1</v>
      </c>
      <c r="D477" s="23">
        <f t="shared" ca="1" si="14"/>
        <v>0</v>
      </c>
      <c r="E477" s="24">
        <f t="shared" ca="1" si="15"/>
        <v>0</v>
      </c>
    </row>
    <row r="478" spans="1:5" x14ac:dyDescent="0.25">
      <c r="A478" s="17">
        <f ca="1">INDEX(Stations,INT((ROWS(A$2:A478)-1)/(DATE(YEAR(Invoer!$A$5),12,31)-DATE(YEAR(Invoer!$A$5),1,1)+1))+2,1)</f>
        <v>83</v>
      </c>
      <c r="B478" t="str">
        <f ca="1">TEXT(DATE(YEAR(Invoer!$A$5),1,1)+MOD(ROWS(B$2:B478)-1,DATE(YEAR(Invoer!$A$5),12,31)-DATE(YEAR(Invoer!$A$5),1,1)+1),"jjjjmmdd")</f>
        <v>19400420</v>
      </c>
      <c r="C478" s="18">
        <v>1</v>
      </c>
      <c r="D478" s="23">
        <f t="shared" ca="1" si="14"/>
        <v>0</v>
      </c>
      <c r="E478" s="24">
        <f t="shared" ca="1" si="15"/>
        <v>0</v>
      </c>
    </row>
    <row r="479" spans="1:5" x14ac:dyDescent="0.25">
      <c r="A479" s="17">
        <f ca="1">INDEX(Stations,INT((ROWS(A$2:A479)-1)/(DATE(YEAR(Invoer!$A$5),12,31)-DATE(YEAR(Invoer!$A$5),1,1)+1))+2,1)</f>
        <v>83</v>
      </c>
      <c r="B479" t="str">
        <f ca="1">TEXT(DATE(YEAR(Invoer!$A$5),1,1)+MOD(ROWS(B$2:B479)-1,DATE(YEAR(Invoer!$A$5),12,31)-DATE(YEAR(Invoer!$A$5),1,1)+1),"jjjjmmdd")</f>
        <v>19400421</v>
      </c>
      <c r="C479" s="18">
        <v>1</v>
      </c>
      <c r="D479" s="23">
        <f t="shared" ca="1" si="14"/>
        <v>10</v>
      </c>
      <c r="E479" s="24">
        <f t="shared" ca="1" si="15"/>
        <v>0</v>
      </c>
    </row>
    <row r="480" spans="1:5" x14ac:dyDescent="0.25">
      <c r="A480" s="17">
        <f ca="1">INDEX(Stations,INT((ROWS(A$2:A480)-1)/(DATE(YEAR(Invoer!$A$5),12,31)-DATE(YEAR(Invoer!$A$5),1,1)+1))+2,1)</f>
        <v>83</v>
      </c>
      <c r="B480" t="str">
        <f ca="1">TEXT(DATE(YEAR(Invoer!$A$5),1,1)+MOD(ROWS(B$2:B480)-1,DATE(YEAR(Invoer!$A$5),12,31)-DATE(YEAR(Invoer!$A$5),1,1)+1),"jjjjmmdd")</f>
        <v>19400422</v>
      </c>
      <c r="C480" s="18">
        <v>1</v>
      </c>
      <c r="D480" s="23">
        <f t="shared" ca="1" si="14"/>
        <v>0</v>
      </c>
      <c r="E480" s="24">
        <f t="shared" ca="1" si="15"/>
        <v>0</v>
      </c>
    </row>
    <row r="481" spans="1:5" x14ac:dyDescent="0.25">
      <c r="A481" s="17">
        <f ca="1">INDEX(Stations,INT((ROWS(A$2:A481)-1)/(DATE(YEAR(Invoer!$A$5),12,31)-DATE(YEAR(Invoer!$A$5),1,1)+1))+2,1)</f>
        <v>83</v>
      </c>
      <c r="B481" t="str">
        <f ca="1">TEXT(DATE(YEAR(Invoer!$A$5),1,1)+MOD(ROWS(B$2:B481)-1,DATE(YEAR(Invoer!$A$5),12,31)-DATE(YEAR(Invoer!$A$5),1,1)+1),"jjjjmmdd")</f>
        <v>19400423</v>
      </c>
      <c r="C481" s="18">
        <v>1</v>
      </c>
      <c r="D481" s="23">
        <f t="shared" ca="1" si="14"/>
        <v>0</v>
      </c>
      <c r="E481" s="24">
        <f t="shared" ca="1" si="15"/>
        <v>0</v>
      </c>
    </row>
    <row r="482" spans="1:5" x14ac:dyDescent="0.25">
      <c r="A482" s="17">
        <f ca="1">INDEX(Stations,INT((ROWS(A$2:A482)-1)/(DATE(YEAR(Invoer!$A$5),12,31)-DATE(YEAR(Invoer!$A$5),1,1)+1))+2,1)</f>
        <v>83</v>
      </c>
      <c r="B482" t="str">
        <f ca="1">TEXT(DATE(YEAR(Invoer!$A$5),1,1)+MOD(ROWS(B$2:B482)-1,DATE(YEAR(Invoer!$A$5),12,31)-DATE(YEAR(Invoer!$A$5),1,1)+1),"jjjjmmdd")</f>
        <v>19400424</v>
      </c>
      <c r="C482" s="18">
        <v>1</v>
      </c>
      <c r="D482" s="23">
        <f t="shared" ca="1" si="14"/>
        <v>0</v>
      </c>
      <c r="E482" s="24">
        <f t="shared" ca="1" si="15"/>
        <v>0</v>
      </c>
    </row>
    <row r="483" spans="1:5" x14ac:dyDescent="0.25">
      <c r="A483" s="17">
        <f ca="1">INDEX(Stations,INT((ROWS(A$2:A483)-1)/(DATE(YEAR(Invoer!$A$5),12,31)-DATE(YEAR(Invoer!$A$5),1,1)+1))+2,1)</f>
        <v>83</v>
      </c>
      <c r="B483" t="str">
        <f ca="1">TEXT(DATE(YEAR(Invoer!$A$5),1,1)+MOD(ROWS(B$2:B483)-1,DATE(YEAR(Invoer!$A$5),12,31)-DATE(YEAR(Invoer!$A$5),1,1)+1),"jjjjmmdd")</f>
        <v>19400425</v>
      </c>
      <c r="C483" s="18">
        <v>1</v>
      </c>
      <c r="D483" s="23">
        <f t="shared" ca="1" si="14"/>
        <v>0</v>
      </c>
      <c r="E483" s="24">
        <f t="shared" ca="1" si="15"/>
        <v>0</v>
      </c>
    </row>
    <row r="484" spans="1:5" x14ac:dyDescent="0.25">
      <c r="A484" s="17">
        <f ca="1">INDEX(Stations,INT((ROWS(A$2:A484)-1)/(DATE(YEAR(Invoer!$A$5),12,31)-DATE(YEAR(Invoer!$A$5),1,1)+1))+2,1)</f>
        <v>83</v>
      </c>
      <c r="B484" t="str">
        <f ca="1">TEXT(DATE(YEAR(Invoer!$A$5),1,1)+MOD(ROWS(B$2:B484)-1,DATE(YEAR(Invoer!$A$5),12,31)-DATE(YEAR(Invoer!$A$5),1,1)+1),"jjjjmmdd")</f>
        <v>19400426</v>
      </c>
      <c r="C484" s="18">
        <v>1</v>
      </c>
      <c r="D484" s="23">
        <f t="shared" ca="1" si="14"/>
        <v>0</v>
      </c>
      <c r="E484" s="24">
        <f t="shared" ca="1" si="15"/>
        <v>0</v>
      </c>
    </row>
    <row r="485" spans="1:5" x14ac:dyDescent="0.25">
      <c r="A485" s="17">
        <f ca="1">INDEX(Stations,INT((ROWS(A$2:A485)-1)/(DATE(YEAR(Invoer!$A$5),12,31)-DATE(YEAR(Invoer!$A$5),1,1)+1))+2,1)</f>
        <v>83</v>
      </c>
      <c r="B485" t="str">
        <f ca="1">TEXT(DATE(YEAR(Invoer!$A$5),1,1)+MOD(ROWS(B$2:B485)-1,DATE(YEAR(Invoer!$A$5),12,31)-DATE(YEAR(Invoer!$A$5),1,1)+1),"jjjjmmdd")</f>
        <v>19400427</v>
      </c>
      <c r="C485" s="18">
        <v>1</v>
      </c>
      <c r="D485" s="23">
        <f t="shared" ca="1" si="14"/>
        <v>0</v>
      </c>
      <c r="E485" s="24">
        <f t="shared" ca="1" si="15"/>
        <v>0</v>
      </c>
    </row>
    <row r="486" spans="1:5" x14ac:dyDescent="0.25">
      <c r="A486" s="17">
        <f ca="1">INDEX(Stations,INT((ROWS(A$2:A486)-1)/(DATE(YEAR(Invoer!$A$5),12,31)-DATE(YEAR(Invoer!$A$5),1,1)+1))+2,1)</f>
        <v>83</v>
      </c>
      <c r="B486" t="str">
        <f ca="1">TEXT(DATE(YEAR(Invoer!$A$5),1,1)+MOD(ROWS(B$2:B486)-1,DATE(YEAR(Invoer!$A$5),12,31)-DATE(YEAR(Invoer!$A$5),1,1)+1),"jjjjmmdd")</f>
        <v>19400428</v>
      </c>
      <c r="C486" s="18">
        <v>1</v>
      </c>
      <c r="D486" s="23">
        <f t="shared" ca="1" si="14"/>
        <v>0</v>
      </c>
      <c r="E486" s="24">
        <f t="shared" ca="1" si="15"/>
        <v>0</v>
      </c>
    </row>
    <row r="487" spans="1:5" x14ac:dyDescent="0.25">
      <c r="A487" s="17">
        <f ca="1">INDEX(Stations,INT((ROWS(A$2:A487)-1)/(DATE(YEAR(Invoer!$A$5),12,31)-DATE(YEAR(Invoer!$A$5),1,1)+1))+2,1)</f>
        <v>83</v>
      </c>
      <c r="B487" t="str">
        <f ca="1">TEXT(DATE(YEAR(Invoer!$A$5),1,1)+MOD(ROWS(B$2:B487)-1,DATE(YEAR(Invoer!$A$5),12,31)-DATE(YEAR(Invoer!$A$5),1,1)+1),"jjjjmmdd")</f>
        <v>19400429</v>
      </c>
      <c r="C487" s="18">
        <v>1</v>
      </c>
      <c r="D487" s="23">
        <f t="shared" ca="1" si="14"/>
        <v>0</v>
      </c>
      <c r="E487" s="24">
        <f t="shared" ca="1" si="15"/>
        <v>0</v>
      </c>
    </row>
    <row r="488" spans="1:5" x14ac:dyDescent="0.25">
      <c r="A488" s="17">
        <f ca="1">INDEX(Stations,INT((ROWS(A$2:A488)-1)/(DATE(YEAR(Invoer!$A$5),12,31)-DATE(YEAR(Invoer!$A$5),1,1)+1))+2,1)</f>
        <v>83</v>
      </c>
      <c r="B488" t="str">
        <f ca="1">TEXT(DATE(YEAR(Invoer!$A$5),1,1)+MOD(ROWS(B$2:B488)-1,DATE(YEAR(Invoer!$A$5),12,31)-DATE(YEAR(Invoer!$A$5),1,1)+1),"jjjjmmdd")</f>
        <v>19400430</v>
      </c>
      <c r="C488" s="18">
        <v>1</v>
      </c>
      <c r="D488" s="23">
        <f t="shared" ca="1" si="14"/>
        <v>0</v>
      </c>
      <c r="E488" s="24">
        <f t="shared" ca="1" si="15"/>
        <v>0</v>
      </c>
    </row>
    <row r="489" spans="1:5" x14ac:dyDescent="0.25">
      <c r="A489" s="17">
        <f ca="1">INDEX(Stations,INT((ROWS(A$2:A489)-1)/(DATE(YEAR(Invoer!$A$5),12,31)-DATE(YEAR(Invoer!$A$5),1,1)+1))+2,1)</f>
        <v>83</v>
      </c>
      <c r="B489" t="str">
        <f ca="1">TEXT(DATE(YEAR(Invoer!$A$5),1,1)+MOD(ROWS(B$2:B489)-1,DATE(YEAR(Invoer!$A$5),12,31)-DATE(YEAR(Invoer!$A$5),1,1)+1),"jjjjmmdd")</f>
        <v>19400501</v>
      </c>
      <c r="C489" s="18">
        <v>1</v>
      </c>
      <c r="D489" s="23">
        <f t="shared" ca="1" si="14"/>
        <v>50</v>
      </c>
      <c r="E489" s="24">
        <f t="shared" ca="1" si="15"/>
        <v>0</v>
      </c>
    </row>
    <row r="490" spans="1:5" x14ac:dyDescent="0.25">
      <c r="A490" s="17">
        <f ca="1">INDEX(Stations,INT((ROWS(A$2:A490)-1)/(DATE(YEAR(Invoer!$A$5),12,31)-DATE(YEAR(Invoer!$A$5),1,1)+1))+2,1)</f>
        <v>83</v>
      </c>
      <c r="B490" t="str">
        <f ca="1">TEXT(DATE(YEAR(Invoer!$A$5),1,1)+MOD(ROWS(B$2:B490)-1,DATE(YEAR(Invoer!$A$5),12,31)-DATE(YEAR(Invoer!$A$5),1,1)+1),"jjjjmmdd")</f>
        <v>19400502</v>
      </c>
      <c r="C490" s="18">
        <v>1</v>
      </c>
      <c r="D490" s="23">
        <f t="shared" ca="1" si="14"/>
        <v>105</v>
      </c>
      <c r="E490" s="24">
        <f t="shared" ca="1" si="15"/>
        <v>0</v>
      </c>
    </row>
    <row r="491" spans="1:5" x14ac:dyDescent="0.25">
      <c r="A491" s="17">
        <f ca="1">INDEX(Stations,INT((ROWS(A$2:A491)-1)/(DATE(YEAR(Invoer!$A$5),12,31)-DATE(YEAR(Invoer!$A$5),1,1)+1))+2,1)</f>
        <v>83</v>
      </c>
      <c r="B491" t="str">
        <f ca="1">TEXT(DATE(YEAR(Invoer!$A$5),1,1)+MOD(ROWS(B$2:B491)-1,DATE(YEAR(Invoer!$A$5),12,31)-DATE(YEAR(Invoer!$A$5),1,1)+1),"jjjjmmdd")</f>
        <v>19400503</v>
      </c>
      <c r="C491" s="18">
        <v>1</v>
      </c>
      <c r="D491" s="23">
        <f t="shared" ca="1" si="14"/>
        <v>0</v>
      </c>
      <c r="E491" s="24">
        <f t="shared" ca="1" si="15"/>
        <v>0</v>
      </c>
    </row>
    <row r="492" spans="1:5" x14ac:dyDescent="0.25">
      <c r="A492" s="17">
        <f ca="1">INDEX(Stations,INT((ROWS(A$2:A492)-1)/(DATE(YEAR(Invoer!$A$5),12,31)-DATE(YEAR(Invoer!$A$5),1,1)+1))+2,1)</f>
        <v>83</v>
      </c>
      <c r="B492" t="str">
        <f ca="1">TEXT(DATE(YEAR(Invoer!$A$5),1,1)+MOD(ROWS(B$2:B492)-1,DATE(YEAR(Invoer!$A$5),12,31)-DATE(YEAR(Invoer!$A$5),1,1)+1),"jjjjmmdd")</f>
        <v>19400504</v>
      </c>
      <c r="C492" s="18">
        <v>1</v>
      </c>
      <c r="D492" s="23">
        <f t="shared" ca="1" si="14"/>
        <v>0</v>
      </c>
      <c r="E492" s="24">
        <f t="shared" ca="1" si="15"/>
        <v>0</v>
      </c>
    </row>
    <row r="493" spans="1:5" x14ac:dyDescent="0.25">
      <c r="A493" s="17">
        <f ca="1">INDEX(Stations,INT((ROWS(A$2:A493)-1)/(DATE(YEAR(Invoer!$A$5),12,31)-DATE(YEAR(Invoer!$A$5),1,1)+1))+2,1)</f>
        <v>83</v>
      </c>
      <c r="B493" t="str">
        <f ca="1">TEXT(DATE(YEAR(Invoer!$A$5),1,1)+MOD(ROWS(B$2:B493)-1,DATE(YEAR(Invoer!$A$5),12,31)-DATE(YEAR(Invoer!$A$5),1,1)+1),"jjjjmmdd")</f>
        <v>19400505</v>
      </c>
      <c r="C493" s="18">
        <v>1</v>
      </c>
      <c r="D493" s="23">
        <f t="shared" ca="1" si="14"/>
        <v>0</v>
      </c>
      <c r="E493" s="24">
        <f t="shared" ca="1" si="15"/>
        <v>0</v>
      </c>
    </row>
    <row r="494" spans="1:5" x14ac:dyDescent="0.25">
      <c r="A494" s="17">
        <f ca="1">INDEX(Stations,INT((ROWS(A$2:A494)-1)/(DATE(YEAR(Invoer!$A$5),12,31)-DATE(YEAR(Invoer!$A$5),1,1)+1))+2,1)</f>
        <v>83</v>
      </c>
      <c r="B494" t="str">
        <f ca="1">TEXT(DATE(YEAR(Invoer!$A$5),1,1)+MOD(ROWS(B$2:B494)-1,DATE(YEAR(Invoer!$A$5),12,31)-DATE(YEAR(Invoer!$A$5),1,1)+1),"jjjjmmdd")</f>
        <v>19400506</v>
      </c>
      <c r="C494" s="18">
        <v>1</v>
      </c>
      <c r="D494" s="23">
        <f t="shared" ca="1" si="14"/>
        <v>20</v>
      </c>
      <c r="E494" s="24">
        <f t="shared" ca="1" si="15"/>
        <v>0</v>
      </c>
    </row>
    <row r="495" spans="1:5" x14ac:dyDescent="0.25">
      <c r="A495" s="17">
        <f ca="1">INDEX(Stations,INT((ROWS(A$2:A495)-1)/(DATE(YEAR(Invoer!$A$5),12,31)-DATE(YEAR(Invoer!$A$5),1,1)+1))+2,1)</f>
        <v>83</v>
      </c>
      <c r="B495" t="str">
        <f ca="1">TEXT(DATE(YEAR(Invoer!$A$5),1,1)+MOD(ROWS(B$2:B495)-1,DATE(YEAR(Invoer!$A$5),12,31)-DATE(YEAR(Invoer!$A$5),1,1)+1),"jjjjmmdd")</f>
        <v>19400507</v>
      </c>
      <c r="C495" s="18">
        <v>1</v>
      </c>
      <c r="D495" s="23">
        <f t="shared" ca="1" si="14"/>
        <v>55</v>
      </c>
      <c r="E495" s="24">
        <f t="shared" ca="1" si="15"/>
        <v>0</v>
      </c>
    </row>
    <row r="496" spans="1:5" x14ac:dyDescent="0.25">
      <c r="A496" s="17">
        <f ca="1">INDEX(Stations,INT((ROWS(A$2:A496)-1)/(DATE(YEAR(Invoer!$A$5),12,31)-DATE(YEAR(Invoer!$A$5),1,1)+1))+2,1)</f>
        <v>83</v>
      </c>
      <c r="B496" t="str">
        <f ca="1">TEXT(DATE(YEAR(Invoer!$A$5),1,1)+MOD(ROWS(B$2:B496)-1,DATE(YEAR(Invoer!$A$5),12,31)-DATE(YEAR(Invoer!$A$5),1,1)+1),"jjjjmmdd")</f>
        <v>19400508</v>
      </c>
      <c r="C496" s="18">
        <v>1</v>
      </c>
      <c r="D496" s="23">
        <f t="shared" ca="1" si="14"/>
        <v>280</v>
      </c>
      <c r="E496" s="24">
        <f t="shared" ca="1" si="15"/>
        <v>0</v>
      </c>
    </row>
    <row r="497" spans="1:5" x14ac:dyDescent="0.25">
      <c r="A497" s="17">
        <f ca="1">INDEX(Stations,INT((ROWS(A$2:A497)-1)/(DATE(YEAR(Invoer!$A$5),12,31)-DATE(YEAR(Invoer!$A$5),1,1)+1))+2,1)</f>
        <v>83</v>
      </c>
      <c r="B497" t="str">
        <f ca="1">TEXT(DATE(YEAR(Invoer!$A$5),1,1)+MOD(ROWS(B$2:B497)-1,DATE(YEAR(Invoer!$A$5),12,31)-DATE(YEAR(Invoer!$A$5),1,1)+1),"jjjjmmdd")</f>
        <v>19400509</v>
      </c>
      <c r="C497" s="18">
        <v>1</v>
      </c>
      <c r="D497" s="23">
        <f t="shared" ca="1" si="14"/>
        <v>20</v>
      </c>
      <c r="E497" s="24">
        <f t="shared" ca="1" si="15"/>
        <v>0</v>
      </c>
    </row>
    <row r="498" spans="1:5" x14ac:dyDescent="0.25">
      <c r="A498" s="17">
        <f ca="1">INDEX(Stations,INT((ROWS(A$2:A498)-1)/(DATE(YEAR(Invoer!$A$5),12,31)-DATE(YEAR(Invoer!$A$5),1,1)+1))+2,1)</f>
        <v>83</v>
      </c>
      <c r="B498" t="str">
        <f ca="1">TEXT(DATE(YEAR(Invoer!$A$5),1,1)+MOD(ROWS(B$2:B498)-1,DATE(YEAR(Invoer!$A$5),12,31)-DATE(YEAR(Invoer!$A$5),1,1)+1),"jjjjmmdd")</f>
        <v>19400510</v>
      </c>
      <c r="C498" s="18">
        <v>1</v>
      </c>
      <c r="D498" s="23">
        <f t="shared" ca="1" si="14"/>
        <v>0</v>
      </c>
      <c r="E498" s="24">
        <f t="shared" ca="1" si="15"/>
        <v>0</v>
      </c>
    </row>
    <row r="499" spans="1:5" x14ac:dyDescent="0.25">
      <c r="A499" s="17">
        <f ca="1">INDEX(Stations,INT((ROWS(A$2:A499)-1)/(DATE(YEAR(Invoer!$A$5),12,31)-DATE(YEAR(Invoer!$A$5),1,1)+1))+2,1)</f>
        <v>83</v>
      </c>
      <c r="B499" t="str">
        <f ca="1">TEXT(DATE(YEAR(Invoer!$A$5),1,1)+MOD(ROWS(B$2:B499)-1,DATE(YEAR(Invoer!$A$5),12,31)-DATE(YEAR(Invoer!$A$5),1,1)+1),"jjjjmmdd")</f>
        <v>19400511</v>
      </c>
      <c r="C499" s="18">
        <v>1</v>
      </c>
      <c r="D499" s="23">
        <f t="shared" ca="1" si="14"/>
        <v>0</v>
      </c>
      <c r="E499" s="24">
        <f t="shared" ca="1" si="15"/>
        <v>0</v>
      </c>
    </row>
    <row r="500" spans="1:5" x14ac:dyDescent="0.25">
      <c r="A500" s="17">
        <f ca="1">INDEX(Stations,INT((ROWS(A$2:A500)-1)/(DATE(YEAR(Invoer!$A$5),12,31)-DATE(YEAR(Invoer!$A$5),1,1)+1))+2,1)</f>
        <v>83</v>
      </c>
      <c r="B500" t="str">
        <f ca="1">TEXT(DATE(YEAR(Invoer!$A$5),1,1)+MOD(ROWS(B$2:B500)-1,DATE(YEAR(Invoer!$A$5),12,31)-DATE(YEAR(Invoer!$A$5),1,1)+1),"jjjjmmdd")</f>
        <v>19400512</v>
      </c>
      <c r="C500" s="18">
        <v>1</v>
      </c>
      <c r="D500" s="23">
        <f t="shared" ca="1" si="14"/>
        <v>0</v>
      </c>
      <c r="E500" s="24">
        <f t="shared" ca="1" si="15"/>
        <v>0</v>
      </c>
    </row>
    <row r="501" spans="1:5" x14ac:dyDescent="0.25">
      <c r="A501" s="17">
        <f ca="1">INDEX(Stations,INT((ROWS(A$2:A501)-1)/(DATE(YEAR(Invoer!$A$5),12,31)-DATE(YEAR(Invoer!$A$5),1,1)+1))+2,1)</f>
        <v>83</v>
      </c>
      <c r="B501" t="str">
        <f ca="1">TEXT(DATE(YEAR(Invoer!$A$5),1,1)+MOD(ROWS(B$2:B501)-1,DATE(YEAR(Invoer!$A$5),12,31)-DATE(YEAR(Invoer!$A$5),1,1)+1),"jjjjmmdd")</f>
        <v>19400513</v>
      </c>
      <c r="C501" s="18">
        <v>1</v>
      </c>
      <c r="D501" s="23">
        <f t="shared" ca="1" si="14"/>
        <v>0</v>
      </c>
      <c r="E501" s="24">
        <f t="shared" ca="1" si="15"/>
        <v>0</v>
      </c>
    </row>
    <row r="502" spans="1:5" x14ac:dyDescent="0.25">
      <c r="A502" s="17">
        <f ca="1">INDEX(Stations,INT((ROWS(A$2:A502)-1)/(DATE(YEAR(Invoer!$A$5),12,31)-DATE(YEAR(Invoer!$A$5),1,1)+1))+2,1)</f>
        <v>83</v>
      </c>
      <c r="B502" t="str">
        <f ca="1">TEXT(DATE(YEAR(Invoer!$A$5),1,1)+MOD(ROWS(B$2:B502)-1,DATE(YEAR(Invoer!$A$5),12,31)-DATE(YEAR(Invoer!$A$5),1,1)+1),"jjjjmmdd")</f>
        <v>19400514</v>
      </c>
      <c r="C502" s="18">
        <v>1</v>
      </c>
      <c r="D502" s="23">
        <f t="shared" ca="1" si="14"/>
        <v>0</v>
      </c>
      <c r="E502" s="24">
        <f t="shared" ca="1" si="15"/>
        <v>0</v>
      </c>
    </row>
    <row r="503" spans="1:5" x14ac:dyDescent="0.25">
      <c r="A503" s="17">
        <f ca="1">INDEX(Stations,INT((ROWS(A$2:A503)-1)/(DATE(YEAR(Invoer!$A$5),12,31)-DATE(YEAR(Invoer!$A$5),1,1)+1))+2,1)</f>
        <v>83</v>
      </c>
      <c r="B503" t="str">
        <f ca="1">TEXT(DATE(YEAR(Invoer!$A$5),1,1)+MOD(ROWS(B$2:B503)-1,DATE(YEAR(Invoer!$A$5),12,31)-DATE(YEAR(Invoer!$A$5),1,1)+1),"jjjjmmdd")</f>
        <v>19400515</v>
      </c>
      <c r="C503" s="18">
        <v>1</v>
      </c>
      <c r="D503" s="23">
        <f t="shared" ca="1" si="14"/>
        <v>190</v>
      </c>
      <c r="E503" s="24">
        <f t="shared" ca="1" si="15"/>
        <v>0</v>
      </c>
    </row>
    <row r="504" spans="1:5" x14ac:dyDescent="0.25">
      <c r="A504" s="17">
        <f ca="1">INDEX(Stations,INT((ROWS(A$2:A504)-1)/(DATE(YEAR(Invoer!$A$5),12,31)-DATE(YEAR(Invoer!$A$5),1,1)+1))+2,1)</f>
        <v>83</v>
      </c>
      <c r="B504" t="str">
        <f ca="1">TEXT(DATE(YEAR(Invoer!$A$5),1,1)+MOD(ROWS(B$2:B504)-1,DATE(YEAR(Invoer!$A$5),12,31)-DATE(YEAR(Invoer!$A$5),1,1)+1),"jjjjmmdd")</f>
        <v>19400516</v>
      </c>
      <c r="C504" s="18">
        <v>1</v>
      </c>
      <c r="D504" s="23">
        <f t="shared" ca="1" si="14"/>
        <v>15</v>
      </c>
      <c r="E504" s="24">
        <f t="shared" ca="1" si="15"/>
        <v>0</v>
      </c>
    </row>
    <row r="505" spans="1:5" x14ac:dyDescent="0.25">
      <c r="A505" s="17">
        <f ca="1">INDEX(Stations,INT((ROWS(A$2:A505)-1)/(DATE(YEAR(Invoer!$A$5),12,31)-DATE(YEAR(Invoer!$A$5),1,1)+1))+2,1)</f>
        <v>83</v>
      </c>
      <c r="B505" t="str">
        <f ca="1">TEXT(DATE(YEAR(Invoer!$A$5),1,1)+MOD(ROWS(B$2:B505)-1,DATE(YEAR(Invoer!$A$5),12,31)-DATE(YEAR(Invoer!$A$5),1,1)+1),"jjjjmmdd")</f>
        <v>19400517</v>
      </c>
      <c r="C505" s="18">
        <v>1</v>
      </c>
      <c r="D505" s="23">
        <f t="shared" ca="1" si="14"/>
        <v>0</v>
      </c>
      <c r="E505" s="24">
        <f t="shared" ca="1" si="15"/>
        <v>0</v>
      </c>
    </row>
    <row r="506" spans="1:5" x14ac:dyDescent="0.25">
      <c r="A506" s="17">
        <f ca="1">INDEX(Stations,INT((ROWS(A$2:A506)-1)/(DATE(YEAR(Invoer!$A$5),12,31)-DATE(YEAR(Invoer!$A$5),1,1)+1))+2,1)</f>
        <v>83</v>
      </c>
      <c r="B506" t="str">
        <f ca="1">TEXT(DATE(YEAR(Invoer!$A$5),1,1)+MOD(ROWS(B$2:B506)-1,DATE(YEAR(Invoer!$A$5),12,31)-DATE(YEAR(Invoer!$A$5),1,1)+1),"jjjjmmdd")</f>
        <v>19400518</v>
      </c>
      <c r="C506" s="18">
        <v>1</v>
      </c>
      <c r="D506" s="23">
        <f t="shared" ca="1" si="14"/>
        <v>0</v>
      </c>
      <c r="E506" s="24">
        <f t="shared" ca="1" si="15"/>
        <v>0</v>
      </c>
    </row>
    <row r="507" spans="1:5" x14ac:dyDescent="0.25">
      <c r="A507" s="17">
        <f ca="1">INDEX(Stations,INT((ROWS(A$2:A507)-1)/(DATE(YEAR(Invoer!$A$5),12,31)-DATE(YEAR(Invoer!$A$5),1,1)+1))+2,1)</f>
        <v>83</v>
      </c>
      <c r="B507" t="str">
        <f ca="1">TEXT(DATE(YEAR(Invoer!$A$5),1,1)+MOD(ROWS(B$2:B507)-1,DATE(YEAR(Invoer!$A$5),12,31)-DATE(YEAR(Invoer!$A$5),1,1)+1),"jjjjmmdd")</f>
        <v>19400519</v>
      </c>
      <c r="C507" s="18">
        <v>1</v>
      </c>
      <c r="D507" s="23">
        <f t="shared" ca="1" si="14"/>
        <v>15</v>
      </c>
      <c r="E507" s="24">
        <f t="shared" ca="1" si="15"/>
        <v>0</v>
      </c>
    </row>
    <row r="508" spans="1:5" x14ac:dyDescent="0.25">
      <c r="A508" s="17">
        <f ca="1">INDEX(Stations,INT((ROWS(A$2:A508)-1)/(DATE(YEAR(Invoer!$A$5),12,31)-DATE(YEAR(Invoer!$A$5),1,1)+1))+2,1)</f>
        <v>83</v>
      </c>
      <c r="B508" t="str">
        <f ca="1">TEXT(DATE(YEAR(Invoer!$A$5),1,1)+MOD(ROWS(B$2:B508)-1,DATE(YEAR(Invoer!$A$5),12,31)-DATE(YEAR(Invoer!$A$5),1,1)+1),"jjjjmmdd")</f>
        <v>19400520</v>
      </c>
      <c r="C508" s="18">
        <v>1</v>
      </c>
      <c r="D508" s="23">
        <f t="shared" ca="1" si="14"/>
        <v>0</v>
      </c>
      <c r="E508" s="24">
        <f t="shared" ca="1" si="15"/>
        <v>0</v>
      </c>
    </row>
    <row r="509" spans="1:5" x14ac:dyDescent="0.25">
      <c r="A509" s="17">
        <f ca="1">INDEX(Stations,INT((ROWS(A$2:A509)-1)/(DATE(YEAR(Invoer!$A$5),12,31)-DATE(YEAR(Invoer!$A$5),1,1)+1))+2,1)</f>
        <v>83</v>
      </c>
      <c r="B509" t="str">
        <f ca="1">TEXT(DATE(YEAR(Invoer!$A$5),1,1)+MOD(ROWS(B$2:B509)-1,DATE(YEAR(Invoer!$A$5),12,31)-DATE(YEAR(Invoer!$A$5),1,1)+1),"jjjjmmdd")</f>
        <v>19400521</v>
      </c>
      <c r="C509" s="18">
        <v>1</v>
      </c>
      <c r="D509" s="23">
        <f t="shared" ca="1" si="14"/>
        <v>120</v>
      </c>
      <c r="E509" s="24">
        <f t="shared" ca="1" si="15"/>
        <v>0</v>
      </c>
    </row>
    <row r="510" spans="1:5" x14ac:dyDescent="0.25">
      <c r="A510" s="17">
        <f ca="1">INDEX(Stations,INT((ROWS(A$2:A510)-1)/(DATE(YEAR(Invoer!$A$5),12,31)-DATE(YEAR(Invoer!$A$5),1,1)+1))+2,1)</f>
        <v>83</v>
      </c>
      <c r="B510" t="str">
        <f ca="1">TEXT(DATE(YEAR(Invoer!$A$5),1,1)+MOD(ROWS(B$2:B510)-1,DATE(YEAR(Invoer!$A$5),12,31)-DATE(YEAR(Invoer!$A$5),1,1)+1),"jjjjmmdd")</f>
        <v>19400522</v>
      </c>
      <c r="C510" s="18">
        <v>1</v>
      </c>
      <c r="D510" s="23">
        <f t="shared" ca="1" si="14"/>
        <v>10</v>
      </c>
      <c r="E510" s="24">
        <f t="shared" ca="1" si="15"/>
        <v>0</v>
      </c>
    </row>
    <row r="511" spans="1:5" x14ac:dyDescent="0.25">
      <c r="A511" s="17">
        <f ca="1">INDEX(Stations,INT((ROWS(A$2:A511)-1)/(DATE(YEAR(Invoer!$A$5),12,31)-DATE(YEAR(Invoer!$A$5),1,1)+1))+2,1)</f>
        <v>83</v>
      </c>
      <c r="B511" t="str">
        <f ca="1">TEXT(DATE(YEAR(Invoer!$A$5),1,1)+MOD(ROWS(B$2:B511)-1,DATE(YEAR(Invoer!$A$5),12,31)-DATE(YEAR(Invoer!$A$5),1,1)+1),"jjjjmmdd")</f>
        <v>19400523</v>
      </c>
      <c r="C511" s="18">
        <v>1</v>
      </c>
      <c r="D511" s="23">
        <f t="shared" ca="1" si="14"/>
        <v>15</v>
      </c>
      <c r="E511" s="24">
        <f t="shared" ca="1" si="15"/>
        <v>0</v>
      </c>
    </row>
    <row r="512" spans="1:5" x14ac:dyDescent="0.25">
      <c r="A512" s="17">
        <f ca="1">INDEX(Stations,INT((ROWS(A$2:A512)-1)/(DATE(YEAR(Invoer!$A$5),12,31)-DATE(YEAR(Invoer!$A$5),1,1)+1))+2,1)</f>
        <v>83</v>
      </c>
      <c r="B512" t="str">
        <f ca="1">TEXT(DATE(YEAR(Invoer!$A$5),1,1)+MOD(ROWS(B$2:B512)-1,DATE(YEAR(Invoer!$A$5),12,31)-DATE(YEAR(Invoer!$A$5),1,1)+1),"jjjjmmdd")</f>
        <v>19400524</v>
      </c>
      <c r="C512" s="18">
        <v>1</v>
      </c>
      <c r="D512" s="23">
        <f t="shared" ca="1" si="14"/>
        <v>0</v>
      </c>
      <c r="E512" s="24">
        <f t="shared" ca="1" si="15"/>
        <v>0</v>
      </c>
    </row>
    <row r="513" spans="1:5" x14ac:dyDescent="0.25">
      <c r="A513" s="17">
        <f ca="1">INDEX(Stations,INT((ROWS(A$2:A513)-1)/(DATE(YEAR(Invoer!$A$5),12,31)-DATE(YEAR(Invoer!$A$5),1,1)+1))+2,1)</f>
        <v>83</v>
      </c>
      <c r="B513" t="str">
        <f ca="1">TEXT(DATE(YEAR(Invoer!$A$5),1,1)+MOD(ROWS(B$2:B513)-1,DATE(YEAR(Invoer!$A$5),12,31)-DATE(YEAR(Invoer!$A$5),1,1)+1),"jjjjmmdd")</f>
        <v>19400525</v>
      </c>
      <c r="C513" s="18">
        <v>1</v>
      </c>
      <c r="D513" s="23">
        <f t="shared" ca="1" si="14"/>
        <v>20</v>
      </c>
      <c r="E513" s="24">
        <f t="shared" ca="1" si="15"/>
        <v>0</v>
      </c>
    </row>
    <row r="514" spans="1:5" x14ac:dyDescent="0.25">
      <c r="A514" s="17">
        <f ca="1">INDEX(Stations,INT((ROWS(A$2:A514)-1)/(DATE(YEAR(Invoer!$A$5),12,31)-DATE(YEAR(Invoer!$A$5),1,1)+1))+2,1)</f>
        <v>83</v>
      </c>
      <c r="B514" t="str">
        <f ca="1">TEXT(DATE(YEAR(Invoer!$A$5),1,1)+MOD(ROWS(B$2:B514)-1,DATE(YEAR(Invoer!$A$5),12,31)-DATE(YEAR(Invoer!$A$5),1,1)+1),"jjjjmmdd")</f>
        <v>19400526</v>
      </c>
      <c r="C514" s="18">
        <v>1</v>
      </c>
      <c r="D514" s="23">
        <f t="shared" ref="D514:D577" ca="1" si="16">IF(OR(ISBLANK(VLOOKUP(DATEVALUE(LEFT(B514,4)&amp;"-"&amp;MID(B514,5,2)&amp;"-"&amp;RIGHT(B514,2)),Data,MATCH(VLOOKUP(A514,Stations,2,FALSE()),OFFSET(Data,1,0,1),0),FALSE())),ISTEXT(VLOOKUP(DATEVALUE(LEFT(B514,4)&amp;"-"&amp;MID(B514,5,2)&amp;"-"&amp;RIGHT(B514,2)),Data,MATCH(VLOOKUP(A514,Stations,2,FALSE()),OFFSET(Data,1,0,1),0),FALSE()))),"—",VLOOKUP(DATEVALUE(LEFT(B514,4)&amp;"-"&amp;MID(B514,5,2)&amp;"-"&amp;RIGHT(B514,2)),Data,MATCH(VLOOKUP(A514,Stations,2,FALSE()),OFFSET(Data,1,0,1),0),FALSE()))</f>
        <v>0</v>
      </c>
      <c r="E514" s="24">
        <f t="shared" ref="E514:E577" ca="1" si="17">IF(OR(ISBLANK(VLOOKUP(DATEVALUE(LEFT(B514,4)&amp;"-"&amp;MID(B514,5,2)&amp;"-"&amp;RIGHT(B514,2)),Data,MATCH(VLOOKUP(A514,Stations,2,FALSE()),OFFSET(Data,1,0,1),0),FALSE())),ISTEXT(VLOOKUP(DATEVALUE(LEFT(B514,4)&amp;"-"&amp;MID(B514,5,2)&amp;"-"&amp;RIGHT(B514,2)),Data,MATCH(VLOOKUP(A514,Stations,2,FALSE()),OFFSET(Data,1,0,1),0),FALSE()))),Lacking,IF(ISNA(MATCH(DATEVALUE(LEFT(B514,4)&amp;"-"&amp;MID(B514,5,2)&amp;"-"&amp;RIGHT(B514,2)),OFFSET(Catalogus,0,0,,1),0)),Ok,VLOOKUP(DATEVALUE(LEFT(B514,4)&amp;"-"&amp;MID(B514,5,2)&amp;"-"&amp;RIGHT(B514,2)),Catalogus,MATCH(VLOOKUP(A514,Stations,2,FALSE()),OFFSET(Catalogus,1,0,1),0),FALSE())))</f>
        <v>0</v>
      </c>
    </row>
    <row r="515" spans="1:5" x14ac:dyDescent="0.25">
      <c r="A515" s="17">
        <f ca="1">INDEX(Stations,INT((ROWS(A$2:A515)-1)/(DATE(YEAR(Invoer!$A$5),12,31)-DATE(YEAR(Invoer!$A$5),1,1)+1))+2,1)</f>
        <v>83</v>
      </c>
      <c r="B515" t="str">
        <f ca="1">TEXT(DATE(YEAR(Invoer!$A$5),1,1)+MOD(ROWS(B$2:B515)-1,DATE(YEAR(Invoer!$A$5),12,31)-DATE(YEAR(Invoer!$A$5),1,1)+1),"jjjjmmdd")</f>
        <v>19400527</v>
      </c>
      <c r="C515" s="18">
        <v>1</v>
      </c>
      <c r="D515" s="23">
        <f t="shared" ca="1" si="16"/>
        <v>0</v>
      </c>
      <c r="E515" s="24">
        <f t="shared" ca="1" si="17"/>
        <v>0</v>
      </c>
    </row>
    <row r="516" spans="1:5" x14ac:dyDescent="0.25">
      <c r="A516" s="17">
        <f ca="1">INDEX(Stations,INT((ROWS(A$2:A516)-1)/(DATE(YEAR(Invoer!$A$5),12,31)-DATE(YEAR(Invoer!$A$5),1,1)+1))+2,1)</f>
        <v>83</v>
      </c>
      <c r="B516" t="str">
        <f ca="1">TEXT(DATE(YEAR(Invoer!$A$5),1,1)+MOD(ROWS(B$2:B516)-1,DATE(YEAR(Invoer!$A$5),12,31)-DATE(YEAR(Invoer!$A$5),1,1)+1),"jjjjmmdd")</f>
        <v>19400528</v>
      </c>
      <c r="C516" s="18">
        <v>1</v>
      </c>
      <c r="D516" s="23">
        <f t="shared" ca="1" si="16"/>
        <v>0</v>
      </c>
      <c r="E516" s="24">
        <f t="shared" ca="1" si="17"/>
        <v>0</v>
      </c>
    </row>
    <row r="517" spans="1:5" x14ac:dyDescent="0.25">
      <c r="A517" s="17">
        <f ca="1">INDEX(Stations,INT((ROWS(A$2:A517)-1)/(DATE(YEAR(Invoer!$A$5),12,31)-DATE(YEAR(Invoer!$A$5),1,1)+1))+2,1)</f>
        <v>83</v>
      </c>
      <c r="B517" t="str">
        <f ca="1">TEXT(DATE(YEAR(Invoer!$A$5),1,1)+MOD(ROWS(B$2:B517)-1,DATE(YEAR(Invoer!$A$5),12,31)-DATE(YEAR(Invoer!$A$5),1,1)+1),"jjjjmmdd")</f>
        <v>19400529</v>
      </c>
      <c r="C517" s="18">
        <v>1</v>
      </c>
      <c r="D517" s="23">
        <f t="shared" ca="1" si="16"/>
        <v>0</v>
      </c>
      <c r="E517" s="24">
        <f t="shared" ca="1" si="17"/>
        <v>0</v>
      </c>
    </row>
    <row r="518" spans="1:5" x14ac:dyDescent="0.25">
      <c r="A518" s="17">
        <f ca="1">INDEX(Stations,INT((ROWS(A$2:A518)-1)/(DATE(YEAR(Invoer!$A$5),12,31)-DATE(YEAR(Invoer!$A$5),1,1)+1))+2,1)</f>
        <v>83</v>
      </c>
      <c r="B518" t="str">
        <f ca="1">TEXT(DATE(YEAR(Invoer!$A$5),1,1)+MOD(ROWS(B$2:B518)-1,DATE(YEAR(Invoer!$A$5),12,31)-DATE(YEAR(Invoer!$A$5),1,1)+1),"jjjjmmdd")</f>
        <v>19400530</v>
      </c>
      <c r="C518" s="18">
        <v>1</v>
      </c>
      <c r="D518" s="23">
        <f t="shared" ca="1" si="16"/>
        <v>0</v>
      </c>
      <c r="E518" s="24">
        <f t="shared" ca="1" si="17"/>
        <v>0</v>
      </c>
    </row>
    <row r="519" spans="1:5" x14ac:dyDescent="0.25">
      <c r="A519" s="17">
        <f ca="1">INDEX(Stations,INT((ROWS(A$2:A519)-1)/(DATE(YEAR(Invoer!$A$5),12,31)-DATE(YEAR(Invoer!$A$5),1,1)+1))+2,1)</f>
        <v>83</v>
      </c>
      <c r="B519" t="str">
        <f ca="1">TEXT(DATE(YEAR(Invoer!$A$5),1,1)+MOD(ROWS(B$2:B519)-1,DATE(YEAR(Invoer!$A$5),12,31)-DATE(YEAR(Invoer!$A$5),1,1)+1),"jjjjmmdd")</f>
        <v>19400531</v>
      </c>
      <c r="C519" s="18">
        <v>1</v>
      </c>
      <c r="D519" s="23">
        <f t="shared" ca="1" si="16"/>
        <v>0</v>
      </c>
      <c r="E519" s="24">
        <f t="shared" ca="1" si="17"/>
        <v>0</v>
      </c>
    </row>
    <row r="520" spans="1:5" x14ac:dyDescent="0.25">
      <c r="A520" s="17">
        <f ca="1">INDEX(Stations,INT((ROWS(A$2:A520)-1)/(DATE(YEAR(Invoer!$A$5),12,31)-DATE(YEAR(Invoer!$A$5),1,1)+1))+2,1)</f>
        <v>83</v>
      </c>
      <c r="B520" t="str">
        <f ca="1">TEXT(DATE(YEAR(Invoer!$A$5),1,1)+MOD(ROWS(B$2:B520)-1,DATE(YEAR(Invoer!$A$5),12,31)-DATE(YEAR(Invoer!$A$5),1,1)+1),"jjjjmmdd")</f>
        <v>19400601</v>
      </c>
      <c r="C520" s="18">
        <v>1</v>
      </c>
      <c r="D520" s="23" t="str">
        <f t="shared" ca="1" si="16"/>
        <v>—</v>
      </c>
      <c r="E520" s="24">
        <f t="shared" ca="1" si="17"/>
        <v>7</v>
      </c>
    </row>
    <row r="521" spans="1:5" x14ac:dyDescent="0.25">
      <c r="A521" s="17">
        <f ca="1">INDEX(Stations,INT((ROWS(A$2:A521)-1)/(DATE(YEAR(Invoer!$A$5),12,31)-DATE(YEAR(Invoer!$A$5),1,1)+1))+2,1)</f>
        <v>83</v>
      </c>
      <c r="B521" t="str">
        <f ca="1">TEXT(DATE(YEAR(Invoer!$A$5),1,1)+MOD(ROWS(B$2:B521)-1,DATE(YEAR(Invoer!$A$5),12,31)-DATE(YEAR(Invoer!$A$5),1,1)+1),"jjjjmmdd")</f>
        <v>19400602</v>
      </c>
      <c r="C521" s="18">
        <v>1</v>
      </c>
      <c r="D521" s="23" t="str">
        <f t="shared" ca="1" si="16"/>
        <v>—</v>
      </c>
      <c r="E521" s="24">
        <f t="shared" ca="1" si="17"/>
        <v>7</v>
      </c>
    </row>
    <row r="522" spans="1:5" x14ac:dyDescent="0.25">
      <c r="A522" s="17">
        <f ca="1">INDEX(Stations,INT((ROWS(A$2:A522)-1)/(DATE(YEAR(Invoer!$A$5),12,31)-DATE(YEAR(Invoer!$A$5),1,1)+1))+2,1)</f>
        <v>83</v>
      </c>
      <c r="B522" t="str">
        <f ca="1">TEXT(DATE(YEAR(Invoer!$A$5),1,1)+MOD(ROWS(B$2:B522)-1,DATE(YEAR(Invoer!$A$5),12,31)-DATE(YEAR(Invoer!$A$5),1,1)+1),"jjjjmmdd")</f>
        <v>19400603</v>
      </c>
      <c r="C522" s="18">
        <v>1</v>
      </c>
      <c r="D522" s="23" t="str">
        <f t="shared" ca="1" si="16"/>
        <v>—</v>
      </c>
      <c r="E522" s="24">
        <f t="shared" ca="1" si="17"/>
        <v>7</v>
      </c>
    </row>
    <row r="523" spans="1:5" x14ac:dyDescent="0.25">
      <c r="A523" s="17">
        <f ca="1">INDEX(Stations,INT((ROWS(A$2:A523)-1)/(DATE(YEAR(Invoer!$A$5),12,31)-DATE(YEAR(Invoer!$A$5),1,1)+1))+2,1)</f>
        <v>83</v>
      </c>
      <c r="B523" t="str">
        <f ca="1">TEXT(DATE(YEAR(Invoer!$A$5),1,1)+MOD(ROWS(B$2:B523)-1,DATE(YEAR(Invoer!$A$5),12,31)-DATE(YEAR(Invoer!$A$5),1,1)+1),"jjjjmmdd")</f>
        <v>19400604</v>
      </c>
      <c r="C523" s="18">
        <v>1</v>
      </c>
      <c r="D523" s="23" t="str">
        <f t="shared" ca="1" si="16"/>
        <v>—</v>
      </c>
      <c r="E523" s="24">
        <f t="shared" ca="1" si="17"/>
        <v>7</v>
      </c>
    </row>
    <row r="524" spans="1:5" x14ac:dyDescent="0.25">
      <c r="A524" s="17">
        <f ca="1">INDEX(Stations,INT((ROWS(A$2:A524)-1)/(DATE(YEAR(Invoer!$A$5),12,31)-DATE(YEAR(Invoer!$A$5),1,1)+1))+2,1)</f>
        <v>83</v>
      </c>
      <c r="B524" t="str">
        <f ca="1">TEXT(DATE(YEAR(Invoer!$A$5),1,1)+MOD(ROWS(B$2:B524)-1,DATE(YEAR(Invoer!$A$5),12,31)-DATE(YEAR(Invoer!$A$5),1,1)+1),"jjjjmmdd")</f>
        <v>19400605</v>
      </c>
      <c r="C524" s="18">
        <v>1</v>
      </c>
      <c r="D524" s="23" t="str">
        <f t="shared" ca="1" si="16"/>
        <v>—</v>
      </c>
      <c r="E524" s="24">
        <f t="shared" ca="1" si="17"/>
        <v>7</v>
      </c>
    </row>
    <row r="525" spans="1:5" x14ac:dyDescent="0.25">
      <c r="A525" s="17">
        <f ca="1">INDEX(Stations,INT((ROWS(A$2:A525)-1)/(DATE(YEAR(Invoer!$A$5),12,31)-DATE(YEAR(Invoer!$A$5),1,1)+1))+2,1)</f>
        <v>83</v>
      </c>
      <c r="B525" t="str">
        <f ca="1">TEXT(DATE(YEAR(Invoer!$A$5),1,1)+MOD(ROWS(B$2:B525)-1,DATE(YEAR(Invoer!$A$5),12,31)-DATE(YEAR(Invoer!$A$5),1,1)+1),"jjjjmmdd")</f>
        <v>19400606</v>
      </c>
      <c r="C525" s="18">
        <v>1</v>
      </c>
      <c r="D525" s="23" t="str">
        <f t="shared" ca="1" si="16"/>
        <v>—</v>
      </c>
      <c r="E525" s="24">
        <f t="shared" ca="1" si="17"/>
        <v>7</v>
      </c>
    </row>
    <row r="526" spans="1:5" x14ac:dyDescent="0.25">
      <c r="A526" s="17">
        <f ca="1">INDEX(Stations,INT((ROWS(A$2:A526)-1)/(DATE(YEAR(Invoer!$A$5),12,31)-DATE(YEAR(Invoer!$A$5),1,1)+1))+2,1)</f>
        <v>83</v>
      </c>
      <c r="B526" t="str">
        <f ca="1">TEXT(DATE(YEAR(Invoer!$A$5),1,1)+MOD(ROWS(B$2:B526)-1,DATE(YEAR(Invoer!$A$5),12,31)-DATE(YEAR(Invoer!$A$5),1,1)+1),"jjjjmmdd")</f>
        <v>19400607</v>
      </c>
      <c r="C526" s="18">
        <v>1</v>
      </c>
      <c r="D526" s="23" t="str">
        <f t="shared" ca="1" si="16"/>
        <v>—</v>
      </c>
      <c r="E526" s="24">
        <f t="shared" ca="1" si="17"/>
        <v>7</v>
      </c>
    </row>
    <row r="527" spans="1:5" x14ac:dyDescent="0.25">
      <c r="A527" s="17">
        <f ca="1">INDEX(Stations,INT((ROWS(A$2:A527)-1)/(DATE(YEAR(Invoer!$A$5),12,31)-DATE(YEAR(Invoer!$A$5),1,1)+1))+2,1)</f>
        <v>83</v>
      </c>
      <c r="B527" t="str">
        <f ca="1">TEXT(DATE(YEAR(Invoer!$A$5),1,1)+MOD(ROWS(B$2:B527)-1,DATE(YEAR(Invoer!$A$5),12,31)-DATE(YEAR(Invoer!$A$5),1,1)+1),"jjjjmmdd")</f>
        <v>19400608</v>
      </c>
      <c r="C527" s="18">
        <v>1</v>
      </c>
      <c r="D527" s="23" t="str">
        <f t="shared" ca="1" si="16"/>
        <v>—</v>
      </c>
      <c r="E527" s="24">
        <f t="shared" ca="1" si="17"/>
        <v>7</v>
      </c>
    </row>
    <row r="528" spans="1:5" x14ac:dyDescent="0.25">
      <c r="A528" s="17">
        <f ca="1">INDEX(Stations,INT((ROWS(A$2:A528)-1)/(DATE(YEAR(Invoer!$A$5),12,31)-DATE(YEAR(Invoer!$A$5),1,1)+1))+2,1)</f>
        <v>83</v>
      </c>
      <c r="B528" t="str">
        <f ca="1">TEXT(DATE(YEAR(Invoer!$A$5),1,1)+MOD(ROWS(B$2:B528)-1,DATE(YEAR(Invoer!$A$5),12,31)-DATE(YEAR(Invoer!$A$5),1,1)+1),"jjjjmmdd")</f>
        <v>19400609</v>
      </c>
      <c r="C528" s="18">
        <v>1</v>
      </c>
      <c r="D528" s="23" t="str">
        <f t="shared" ca="1" si="16"/>
        <v>—</v>
      </c>
      <c r="E528" s="24">
        <f t="shared" ca="1" si="17"/>
        <v>7</v>
      </c>
    </row>
    <row r="529" spans="1:5" x14ac:dyDescent="0.25">
      <c r="A529" s="17">
        <f ca="1">INDEX(Stations,INT((ROWS(A$2:A529)-1)/(DATE(YEAR(Invoer!$A$5),12,31)-DATE(YEAR(Invoer!$A$5),1,1)+1))+2,1)</f>
        <v>83</v>
      </c>
      <c r="B529" t="str">
        <f ca="1">TEXT(DATE(YEAR(Invoer!$A$5),1,1)+MOD(ROWS(B$2:B529)-1,DATE(YEAR(Invoer!$A$5),12,31)-DATE(YEAR(Invoer!$A$5),1,1)+1),"jjjjmmdd")</f>
        <v>19400610</v>
      </c>
      <c r="C529" s="18">
        <v>1</v>
      </c>
      <c r="D529" s="23" t="str">
        <f t="shared" ca="1" si="16"/>
        <v>—</v>
      </c>
      <c r="E529" s="24">
        <f t="shared" ca="1" si="17"/>
        <v>7</v>
      </c>
    </row>
    <row r="530" spans="1:5" x14ac:dyDescent="0.25">
      <c r="A530" s="17">
        <f ca="1">INDEX(Stations,INT((ROWS(A$2:A530)-1)/(DATE(YEAR(Invoer!$A$5),12,31)-DATE(YEAR(Invoer!$A$5),1,1)+1))+2,1)</f>
        <v>83</v>
      </c>
      <c r="B530" t="str">
        <f ca="1">TEXT(DATE(YEAR(Invoer!$A$5),1,1)+MOD(ROWS(B$2:B530)-1,DATE(YEAR(Invoer!$A$5),12,31)-DATE(YEAR(Invoer!$A$5),1,1)+1),"jjjjmmdd")</f>
        <v>19400611</v>
      </c>
      <c r="C530" s="18">
        <v>1</v>
      </c>
      <c r="D530" s="23" t="str">
        <f t="shared" ca="1" si="16"/>
        <v>—</v>
      </c>
      <c r="E530" s="24">
        <f t="shared" ca="1" si="17"/>
        <v>7</v>
      </c>
    </row>
    <row r="531" spans="1:5" x14ac:dyDescent="0.25">
      <c r="A531" s="17">
        <f ca="1">INDEX(Stations,INT((ROWS(A$2:A531)-1)/(DATE(YEAR(Invoer!$A$5),12,31)-DATE(YEAR(Invoer!$A$5),1,1)+1))+2,1)</f>
        <v>83</v>
      </c>
      <c r="B531" t="str">
        <f ca="1">TEXT(DATE(YEAR(Invoer!$A$5),1,1)+MOD(ROWS(B$2:B531)-1,DATE(YEAR(Invoer!$A$5),12,31)-DATE(YEAR(Invoer!$A$5),1,1)+1),"jjjjmmdd")</f>
        <v>19400612</v>
      </c>
      <c r="C531" s="18">
        <v>1</v>
      </c>
      <c r="D531" s="23" t="str">
        <f t="shared" ca="1" si="16"/>
        <v>—</v>
      </c>
      <c r="E531" s="24">
        <f t="shared" ca="1" si="17"/>
        <v>7</v>
      </c>
    </row>
    <row r="532" spans="1:5" x14ac:dyDescent="0.25">
      <c r="A532" s="17">
        <f ca="1">INDEX(Stations,INT((ROWS(A$2:A532)-1)/(DATE(YEAR(Invoer!$A$5),12,31)-DATE(YEAR(Invoer!$A$5),1,1)+1))+2,1)</f>
        <v>83</v>
      </c>
      <c r="B532" t="str">
        <f ca="1">TEXT(DATE(YEAR(Invoer!$A$5),1,1)+MOD(ROWS(B$2:B532)-1,DATE(YEAR(Invoer!$A$5),12,31)-DATE(YEAR(Invoer!$A$5),1,1)+1),"jjjjmmdd")</f>
        <v>19400613</v>
      </c>
      <c r="C532" s="18">
        <v>1</v>
      </c>
      <c r="D532" s="23" t="str">
        <f t="shared" ca="1" si="16"/>
        <v>—</v>
      </c>
      <c r="E532" s="24">
        <f t="shared" ca="1" si="17"/>
        <v>7</v>
      </c>
    </row>
    <row r="533" spans="1:5" x14ac:dyDescent="0.25">
      <c r="A533" s="17">
        <f ca="1">INDEX(Stations,INT((ROWS(A$2:A533)-1)/(DATE(YEAR(Invoer!$A$5),12,31)-DATE(YEAR(Invoer!$A$5),1,1)+1))+2,1)</f>
        <v>83</v>
      </c>
      <c r="B533" t="str">
        <f ca="1">TEXT(DATE(YEAR(Invoer!$A$5),1,1)+MOD(ROWS(B$2:B533)-1,DATE(YEAR(Invoer!$A$5),12,31)-DATE(YEAR(Invoer!$A$5),1,1)+1),"jjjjmmdd")</f>
        <v>19400614</v>
      </c>
      <c r="C533" s="18">
        <v>1</v>
      </c>
      <c r="D533" s="23" t="str">
        <f t="shared" ca="1" si="16"/>
        <v>—</v>
      </c>
      <c r="E533" s="24">
        <f t="shared" ca="1" si="17"/>
        <v>7</v>
      </c>
    </row>
    <row r="534" spans="1:5" x14ac:dyDescent="0.25">
      <c r="A534" s="17">
        <f ca="1">INDEX(Stations,INT((ROWS(A$2:A534)-1)/(DATE(YEAR(Invoer!$A$5),12,31)-DATE(YEAR(Invoer!$A$5),1,1)+1))+2,1)</f>
        <v>83</v>
      </c>
      <c r="B534" t="str">
        <f ca="1">TEXT(DATE(YEAR(Invoer!$A$5),1,1)+MOD(ROWS(B$2:B534)-1,DATE(YEAR(Invoer!$A$5),12,31)-DATE(YEAR(Invoer!$A$5),1,1)+1),"jjjjmmdd")</f>
        <v>19400615</v>
      </c>
      <c r="C534" s="18">
        <v>1</v>
      </c>
      <c r="D534" s="23" t="str">
        <f t="shared" ca="1" si="16"/>
        <v>—</v>
      </c>
      <c r="E534" s="24">
        <f t="shared" ca="1" si="17"/>
        <v>7</v>
      </c>
    </row>
    <row r="535" spans="1:5" x14ac:dyDescent="0.25">
      <c r="A535" s="17">
        <f ca="1">INDEX(Stations,INT((ROWS(A$2:A535)-1)/(DATE(YEAR(Invoer!$A$5),12,31)-DATE(YEAR(Invoer!$A$5),1,1)+1))+2,1)</f>
        <v>83</v>
      </c>
      <c r="B535" t="str">
        <f ca="1">TEXT(DATE(YEAR(Invoer!$A$5),1,1)+MOD(ROWS(B$2:B535)-1,DATE(YEAR(Invoer!$A$5),12,31)-DATE(YEAR(Invoer!$A$5),1,1)+1),"jjjjmmdd")</f>
        <v>19400616</v>
      </c>
      <c r="C535" s="18">
        <v>1</v>
      </c>
      <c r="D535" s="23" t="str">
        <f t="shared" ca="1" si="16"/>
        <v>—</v>
      </c>
      <c r="E535" s="24">
        <f t="shared" ca="1" si="17"/>
        <v>7</v>
      </c>
    </row>
    <row r="536" spans="1:5" x14ac:dyDescent="0.25">
      <c r="A536" s="17">
        <f ca="1">INDEX(Stations,INT((ROWS(A$2:A536)-1)/(DATE(YEAR(Invoer!$A$5),12,31)-DATE(YEAR(Invoer!$A$5),1,1)+1))+2,1)</f>
        <v>83</v>
      </c>
      <c r="B536" t="str">
        <f ca="1">TEXT(DATE(YEAR(Invoer!$A$5),1,1)+MOD(ROWS(B$2:B536)-1,DATE(YEAR(Invoer!$A$5),12,31)-DATE(YEAR(Invoer!$A$5),1,1)+1),"jjjjmmdd")</f>
        <v>19400617</v>
      </c>
      <c r="C536" s="18">
        <v>1</v>
      </c>
      <c r="D536" s="23" t="str">
        <f t="shared" ca="1" si="16"/>
        <v>—</v>
      </c>
      <c r="E536" s="24">
        <f t="shared" ca="1" si="17"/>
        <v>7</v>
      </c>
    </row>
    <row r="537" spans="1:5" x14ac:dyDescent="0.25">
      <c r="A537" s="17">
        <f ca="1">INDEX(Stations,INT((ROWS(A$2:A537)-1)/(DATE(YEAR(Invoer!$A$5),12,31)-DATE(YEAR(Invoer!$A$5),1,1)+1))+2,1)</f>
        <v>83</v>
      </c>
      <c r="B537" t="str">
        <f ca="1">TEXT(DATE(YEAR(Invoer!$A$5),1,1)+MOD(ROWS(B$2:B537)-1,DATE(YEAR(Invoer!$A$5),12,31)-DATE(YEAR(Invoer!$A$5),1,1)+1),"jjjjmmdd")</f>
        <v>19400618</v>
      </c>
      <c r="C537" s="18">
        <v>1</v>
      </c>
      <c r="D537" s="23" t="str">
        <f t="shared" ca="1" si="16"/>
        <v>—</v>
      </c>
      <c r="E537" s="24">
        <f t="shared" ca="1" si="17"/>
        <v>7</v>
      </c>
    </row>
    <row r="538" spans="1:5" x14ac:dyDescent="0.25">
      <c r="A538" s="17">
        <f ca="1">INDEX(Stations,INT((ROWS(A$2:A538)-1)/(DATE(YEAR(Invoer!$A$5),12,31)-DATE(YEAR(Invoer!$A$5),1,1)+1))+2,1)</f>
        <v>83</v>
      </c>
      <c r="B538" t="str">
        <f ca="1">TEXT(DATE(YEAR(Invoer!$A$5),1,1)+MOD(ROWS(B$2:B538)-1,DATE(YEAR(Invoer!$A$5),12,31)-DATE(YEAR(Invoer!$A$5),1,1)+1),"jjjjmmdd")</f>
        <v>19400619</v>
      </c>
      <c r="C538" s="18">
        <v>1</v>
      </c>
      <c r="D538" s="23" t="str">
        <f t="shared" ca="1" si="16"/>
        <v>—</v>
      </c>
      <c r="E538" s="24">
        <f t="shared" ca="1" si="17"/>
        <v>7</v>
      </c>
    </row>
    <row r="539" spans="1:5" x14ac:dyDescent="0.25">
      <c r="A539" s="17">
        <f ca="1">INDEX(Stations,INT((ROWS(A$2:A539)-1)/(DATE(YEAR(Invoer!$A$5),12,31)-DATE(YEAR(Invoer!$A$5),1,1)+1))+2,1)</f>
        <v>83</v>
      </c>
      <c r="B539" t="str">
        <f ca="1">TEXT(DATE(YEAR(Invoer!$A$5),1,1)+MOD(ROWS(B$2:B539)-1,DATE(YEAR(Invoer!$A$5),12,31)-DATE(YEAR(Invoer!$A$5),1,1)+1),"jjjjmmdd")</f>
        <v>19400620</v>
      </c>
      <c r="C539" s="18">
        <v>1</v>
      </c>
      <c r="D539" s="23" t="str">
        <f t="shared" ca="1" si="16"/>
        <v>—</v>
      </c>
      <c r="E539" s="24">
        <f t="shared" ca="1" si="17"/>
        <v>7</v>
      </c>
    </row>
    <row r="540" spans="1:5" x14ac:dyDescent="0.25">
      <c r="A540" s="17">
        <f ca="1">INDEX(Stations,INT((ROWS(A$2:A540)-1)/(DATE(YEAR(Invoer!$A$5),12,31)-DATE(YEAR(Invoer!$A$5),1,1)+1))+2,1)</f>
        <v>83</v>
      </c>
      <c r="B540" t="str">
        <f ca="1">TEXT(DATE(YEAR(Invoer!$A$5),1,1)+MOD(ROWS(B$2:B540)-1,DATE(YEAR(Invoer!$A$5),12,31)-DATE(YEAR(Invoer!$A$5),1,1)+1),"jjjjmmdd")</f>
        <v>19400621</v>
      </c>
      <c r="C540" s="18">
        <v>1</v>
      </c>
      <c r="D540" s="23" t="str">
        <f t="shared" ca="1" si="16"/>
        <v>—</v>
      </c>
      <c r="E540" s="24">
        <f t="shared" ca="1" si="17"/>
        <v>7</v>
      </c>
    </row>
    <row r="541" spans="1:5" x14ac:dyDescent="0.25">
      <c r="A541" s="17">
        <f ca="1">INDEX(Stations,INT((ROWS(A$2:A541)-1)/(DATE(YEAR(Invoer!$A$5),12,31)-DATE(YEAR(Invoer!$A$5),1,1)+1))+2,1)</f>
        <v>83</v>
      </c>
      <c r="B541" t="str">
        <f ca="1">TEXT(DATE(YEAR(Invoer!$A$5),1,1)+MOD(ROWS(B$2:B541)-1,DATE(YEAR(Invoer!$A$5),12,31)-DATE(YEAR(Invoer!$A$5),1,1)+1),"jjjjmmdd")</f>
        <v>19400622</v>
      </c>
      <c r="C541" s="18">
        <v>1</v>
      </c>
      <c r="D541" s="23" t="str">
        <f t="shared" ca="1" si="16"/>
        <v>—</v>
      </c>
      <c r="E541" s="24">
        <f t="shared" ca="1" si="17"/>
        <v>7</v>
      </c>
    </row>
    <row r="542" spans="1:5" x14ac:dyDescent="0.25">
      <c r="A542" s="17">
        <f ca="1">INDEX(Stations,INT((ROWS(A$2:A542)-1)/(DATE(YEAR(Invoer!$A$5),12,31)-DATE(YEAR(Invoer!$A$5),1,1)+1))+2,1)</f>
        <v>83</v>
      </c>
      <c r="B542" t="str">
        <f ca="1">TEXT(DATE(YEAR(Invoer!$A$5),1,1)+MOD(ROWS(B$2:B542)-1,DATE(YEAR(Invoer!$A$5),12,31)-DATE(YEAR(Invoer!$A$5),1,1)+1),"jjjjmmdd")</f>
        <v>19400623</v>
      </c>
      <c r="C542" s="18">
        <v>1</v>
      </c>
      <c r="D542" s="23" t="str">
        <f t="shared" ca="1" si="16"/>
        <v>—</v>
      </c>
      <c r="E542" s="24">
        <f t="shared" ca="1" si="17"/>
        <v>7</v>
      </c>
    </row>
    <row r="543" spans="1:5" x14ac:dyDescent="0.25">
      <c r="A543" s="17">
        <f ca="1">INDEX(Stations,INT((ROWS(A$2:A543)-1)/(DATE(YEAR(Invoer!$A$5),12,31)-DATE(YEAR(Invoer!$A$5),1,1)+1))+2,1)</f>
        <v>83</v>
      </c>
      <c r="B543" t="str">
        <f ca="1">TEXT(DATE(YEAR(Invoer!$A$5),1,1)+MOD(ROWS(B$2:B543)-1,DATE(YEAR(Invoer!$A$5),12,31)-DATE(YEAR(Invoer!$A$5),1,1)+1),"jjjjmmdd")</f>
        <v>19400624</v>
      </c>
      <c r="C543" s="18">
        <v>1</v>
      </c>
      <c r="D543" s="23" t="str">
        <f t="shared" ca="1" si="16"/>
        <v>—</v>
      </c>
      <c r="E543" s="24">
        <f t="shared" ca="1" si="17"/>
        <v>7</v>
      </c>
    </row>
    <row r="544" spans="1:5" x14ac:dyDescent="0.25">
      <c r="A544" s="17">
        <f ca="1">INDEX(Stations,INT((ROWS(A$2:A544)-1)/(DATE(YEAR(Invoer!$A$5),12,31)-DATE(YEAR(Invoer!$A$5),1,1)+1))+2,1)</f>
        <v>83</v>
      </c>
      <c r="B544" t="str">
        <f ca="1">TEXT(DATE(YEAR(Invoer!$A$5),1,1)+MOD(ROWS(B$2:B544)-1,DATE(YEAR(Invoer!$A$5),12,31)-DATE(YEAR(Invoer!$A$5),1,1)+1),"jjjjmmdd")</f>
        <v>19400625</v>
      </c>
      <c r="C544" s="18">
        <v>1</v>
      </c>
      <c r="D544" s="23" t="str">
        <f t="shared" ca="1" si="16"/>
        <v>—</v>
      </c>
      <c r="E544" s="24">
        <f t="shared" ca="1" si="17"/>
        <v>7</v>
      </c>
    </row>
    <row r="545" spans="1:5" x14ac:dyDescent="0.25">
      <c r="A545" s="17">
        <f ca="1">INDEX(Stations,INT((ROWS(A$2:A545)-1)/(DATE(YEAR(Invoer!$A$5),12,31)-DATE(YEAR(Invoer!$A$5),1,1)+1))+2,1)</f>
        <v>83</v>
      </c>
      <c r="B545" t="str">
        <f ca="1">TEXT(DATE(YEAR(Invoer!$A$5),1,1)+MOD(ROWS(B$2:B545)-1,DATE(YEAR(Invoer!$A$5),12,31)-DATE(YEAR(Invoer!$A$5),1,1)+1),"jjjjmmdd")</f>
        <v>19400626</v>
      </c>
      <c r="C545" s="18">
        <v>1</v>
      </c>
      <c r="D545" s="23" t="str">
        <f t="shared" ca="1" si="16"/>
        <v>—</v>
      </c>
      <c r="E545" s="24">
        <f t="shared" ca="1" si="17"/>
        <v>7</v>
      </c>
    </row>
    <row r="546" spans="1:5" x14ac:dyDescent="0.25">
      <c r="A546" s="17">
        <f ca="1">INDEX(Stations,INT((ROWS(A$2:A546)-1)/(DATE(YEAR(Invoer!$A$5),12,31)-DATE(YEAR(Invoer!$A$5),1,1)+1))+2,1)</f>
        <v>83</v>
      </c>
      <c r="B546" t="str">
        <f ca="1">TEXT(DATE(YEAR(Invoer!$A$5),1,1)+MOD(ROWS(B$2:B546)-1,DATE(YEAR(Invoer!$A$5),12,31)-DATE(YEAR(Invoer!$A$5),1,1)+1),"jjjjmmdd")</f>
        <v>19400627</v>
      </c>
      <c r="C546" s="18">
        <v>1</v>
      </c>
      <c r="D546" s="23" t="str">
        <f t="shared" ca="1" si="16"/>
        <v>—</v>
      </c>
      <c r="E546" s="24">
        <f t="shared" ca="1" si="17"/>
        <v>7</v>
      </c>
    </row>
    <row r="547" spans="1:5" x14ac:dyDescent="0.25">
      <c r="A547" s="17">
        <f ca="1">INDEX(Stations,INT((ROWS(A$2:A547)-1)/(DATE(YEAR(Invoer!$A$5),12,31)-DATE(YEAR(Invoer!$A$5),1,1)+1))+2,1)</f>
        <v>83</v>
      </c>
      <c r="B547" t="str">
        <f ca="1">TEXT(DATE(YEAR(Invoer!$A$5),1,1)+MOD(ROWS(B$2:B547)-1,DATE(YEAR(Invoer!$A$5),12,31)-DATE(YEAR(Invoer!$A$5),1,1)+1),"jjjjmmdd")</f>
        <v>19400628</v>
      </c>
      <c r="C547" s="18">
        <v>1</v>
      </c>
      <c r="D547" s="23" t="str">
        <f t="shared" ca="1" si="16"/>
        <v>—</v>
      </c>
      <c r="E547" s="24">
        <f t="shared" ca="1" si="17"/>
        <v>7</v>
      </c>
    </row>
    <row r="548" spans="1:5" x14ac:dyDescent="0.25">
      <c r="A548" s="17">
        <f ca="1">INDEX(Stations,INT((ROWS(A$2:A548)-1)/(DATE(YEAR(Invoer!$A$5),12,31)-DATE(YEAR(Invoer!$A$5),1,1)+1))+2,1)</f>
        <v>83</v>
      </c>
      <c r="B548" t="str">
        <f ca="1">TEXT(DATE(YEAR(Invoer!$A$5),1,1)+MOD(ROWS(B$2:B548)-1,DATE(YEAR(Invoer!$A$5),12,31)-DATE(YEAR(Invoer!$A$5),1,1)+1),"jjjjmmdd")</f>
        <v>19400629</v>
      </c>
      <c r="C548" s="18">
        <v>1</v>
      </c>
      <c r="D548" s="23" t="str">
        <f t="shared" ca="1" si="16"/>
        <v>—</v>
      </c>
      <c r="E548" s="24">
        <f t="shared" ca="1" si="17"/>
        <v>7</v>
      </c>
    </row>
    <row r="549" spans="1:5" x14ac:dyDescent="0.25">
      <c r="A549" s="17">
        <f ca="1">INDEX(Stations,INT((ROWS(A$2:A549)-1)/(DATE(YEAR(Invoer!$A$5),12,31)-DATE(YEAR(Invoer!$A$5),1,1)+1))+2,1)</f>
        <v>83</v>
      </c>
      <c r="B549" t="str">
        <f ca="1">TEXT(DATE(YEAR(Invoer!$A$5),1,1)+MOD(ROWS(B$2:B549)-1,DATE(YEAR(Invoer!$A$5),12,31)-DATE(YEAR(Invoer!$A$5),1,1)+1),"jjjjmmdd")</f>
        <v>19400630</v>
      </c>
      <c r="C549" s="18">
        <v>1</v>
      </c>
      <c r="D549" s="23" t="str">
        <f t="shared" ca="1" si="16"/>
        <v>—</v>
      </c>
      <c r="E549" s="24">
        <f t="shared" ca="1" si="17"/>
        <v>7</v>
      </c>
    </row>
    <row r="550" spans="1:5" x14ac:dyDescent="0.25">
      <c r="A550" s="17">
        <f ca="1">INDEX(Stations,INT((ROWS(A$2:A550)-1)/(DATE(YEAR(Invoer!$A$5),12,31)-DATE(YEAR(Invoer!$A$5),1,1)+1))+2,1)</f>
        <v>83</v>
      </c>
      <c r="B550" t="str">
        <f ca="1">TEXT(DATE(YEAR(Invoer!$A$5),1,1)+MOD(ROWS(B$2:B550)-1,DATE(YEAR(Invoer!$A$5),12,31)-DATE(YEAR(Invoer!$A$5),1,1)+1),"jjjjmmdd")</f>
        <v>19400701</v>
      </c>
      <c r="C550" s="18">
        <v>1</v>
      </c>
      <c r="D550" s="23">
        <f t="shared" ca="1" si="16"/>
        <v>0</v>
      </c>
      <c r="E550" s="24">
        <f t="shared" ca="1" si="17"/>
        <v>0</v>
      </c>
    </row>
    <row r="551" spans="1:5" x14ac:dyDescent="0.25">
      <c r="A551" s="17">
        <f ca="1">INDEX(Stations,INT((ROWS(A$2:A551)-1)/(DATE(YEAR(Invoer!$A$5),12,31)-DATE(YEAR(Invoer!$A$5),1,1)+1))+2,1)</f>
        <v>83</v>
      </c>
      <c r="B551" t="str">
        <f ca="1">TEXT(DATE(YEAR(Invoer!$A$5),1,1)+MOD(ROWS(B$2:B551)-1,DATE(YEAR(Invoer!$A$5),12,31)-DATE(YEAR(Invoer!$A$5),1,1)+1),"jjjjmmdd")</f>
        <v>19400702</v>
      </c>
      <c r="C551" s="18">
        <v>1</v>
      </c>
      <c r="D551" s="23">
        <f t="shared" ca="1" si="16"/>
        <v>0</v>
      </c>
      <c r="E551" s="24">
        <f t="shared" ca="1" si="17"/>
        <v>0</v>
      </c>
    </row>
    <row r="552" spans="1:5" x14ac:dyDescent="0.25">
      <c r="A552" s="17">
        <f ca="1">INDEX(Stations,INT((ROWS(A$2:A552)-1)/(DATE(YEAR(Invoer!$A$5),12,31)-DATE(YEAR(Invoer!$A$5),1,1)+1))+2,1)</f>
        <v>83</v>
      </c>
      <c r="B552" t="str">
        <f ca="1">TEXT(DATE(YEAR(Invoer!$A$5),1,1)+MOD(ROWS(B$2:B552)-1,DATE(YEAR(Invoer!$A$5),12,31)-DATE(YEAR(Invoer!$A$5),1,1)+1),"jjjjmmdd")</f>
        <v>19400703</v>
      </c>
      <c r="C552" s="18">
        <v>1</v>
      </c>
      <c r="D552" s="23">
        <f t="shared" ca="1" si="16"/>
        <v>0</v>
      </c>
      <c r="E552" s="24">
        <f t="shared" ca="1" si="17"/>
        <v>0</v>
      </c>
    </row>
    <row r="553" spans="1:5" x14ac:dyDescent="0.25">
      <c r="A553" s="17">
        <f ca="1">INDEX(Stations,INT((ROWS(A$2:A553)-1)/(DATE(YEAR(Invoer!$A$5),12,31)-DATE(YEAR(Invoer!$A$5),1,1)+1))+2,1)</f>
        <v>83</v>
      </c>
      <c r="B553" t="str">
        <f ca="1">TEXT(DATE(YEAR(Invoer!$A$5),1,1)+MOD(ROWS(B$2:B553)-1,DATE(YEAR(Invoer!$A$5),12,31)-DATE(YEAR(Invoer!$A$5),1,1)+1),"jjjjmmdd")</f>
        <v>19400704</v>
      </c>
      <c r="C553" s="18">
        <v>1</v>
      </c>
      <c r="D553" s="23">
        <f t="shared" ca="1" si="16"/>
        <v>0</v>
      </c>
      <c r="E553" s="24">
        <f t="shared" ca="1" si="17"/>
        <v>0</v>
      </c>
    </row>
    <row r="554" spans="1:5" x14ac:dyDescent="0.25">
      <c r="A554" s="17">
        <f ca="1">INDEX(Stations,INT((ROWS(A$2:A554)-1)/(DATE(YEAR(Invoer!$A$5),12,31)-DATE(YEAR(Invoer!$A$5),1,1)+1))+2,1)</f>
        <v>83</v>
      </c>
      <c r="B554" t="str">
        <f ca="1">TEXT(DATE(YEAR(Invoer!$A$5),1,1)+MOD(ROWS(B$2:B554)-1,DATE(YEAR(Invoer!$A$5),12,31)-DATE(YEAR(Invoer!$A$5),1,1)+1),"jjjjmmdd")</f>
        <v>19400705</v>
      </c>
      <c r="C554" s="18">
        <v>1</v>
      </c>
      <c r="D554" s="23">
        <f t="shared" ca="1" si="16"/>
        <v>65</v>
      </c>
      <c r="E554" s="24">
        <f t="shared" ca="1" si="17"/>
        <v>0</v>
      </c>
    </row>
    <row r="555" spans="1:5" x14ac:dyDescent="0.25">
      <c r="A555" s="17">
        <f ca="1">INDEX(Stations,INT((ROWS(A$2:A555)-1)/(DATE(YEAR(Invoer!$A$5),12,31)-DATE(YEAR(Invoer!$A$5),1,1)+1))+2,1)</f>
        <v>83</v>
      </c>
      <c r="B555" t="str">
        <f ca="1">TEXT(DATE(YEAR(Invoer!$A$5),1,1)+MOD(ROWS(B$2:B555)-1,DATE(YEAR(Invoer!$A$5),12,31)-DATE(YEAR(Invoer!$A$5),1,1)+1),"jjjjmmdd")</f>
        <v>19400706</v>
      </c>
      <c r="C555" s="18">
        <v>1</v>
      </c>
      <c r="D555" s="23">
        <f t="shared" ca="1" si="16"/>
        <v>75</v>
      </c>
      <c r="E555" s="24">
        <f t="shared" ca="1" si="17"/>
        <v>0</v>
      </c>
    </row>
    <row r="556" spans="1:5" x14ac:dyDescent="0.25">
      <c r="A556" s="17">
        <f ca="1">INDEX(Stations,INT((ROWS(A$2:A556)-1)/(DATE(YEAR(Invoer!$A$5),12,31)-DATE(YEAR(Invoer!$A$5),1,1)+1))+2,1)</f>
        <v>83</v>
      </c>
      <c r="B556" t="str">
        <f ca="1">TEXT(DATE(YEAR(Invoer!$A$5),1,1)+MOD(ROWS(B$2:B556)-1,DATE(YEAR(Invoer!$A$5),12,31)-DATE(YEAR(Invoer!$A$5),1,1)+1),"jjjjmmdd")</f>
        <v>19400707</v>
      </c>
      <c r="C556" s="18">
        <v>1</v>
      </c>
      <c r="D556" s="23">
        <f t="shared" ca="1" si="16"/>
        <v>20</v>
      </c>
      <c r="E556" s="24">
        <f t="shared" ca="1" si="17"/>
        <v>0</v>
      </c>
    </row>
    <row r="557" spans="1:5" x14ac:dyDescent="0.25">
      <c r="A557" s="17">
        <f ca="1">INDEX(Stations,INT((ROWS(A$2:A557)-1)/(DATE(YEAR(Invoer!$A$5),12,31)-DATE(YEAR(Invoer!$A$5),1,1)+1))+2,1)</f>
        <v>83</v>
      </c>
      <c r="B557" t="str">
        <f ca="1">TEXT(DATE(YEAR(Invoer!$A$5),1,1)+MOD(ROWS(B$2:B557)-1,DATE(YEAR(Invoer!$A$5),12,31)-DATE(YEAR(Invoer!$A$5),1,1)+1),"jjjjmmdd")</f>
        <v>19400708</v>
      </c>
      <c r="C557" s="18">
        <v>1</v>
      </c>
      <c r="D557" s="23">
        <f t="shared" ca="1" si="16"/>
        <v>0</v>
      </c>
      <c r="E557" s="24">
        <f t="shared" ca="1" si="17"/>
        <v>0</v>
      </c>
    </row>
    <row r="558" spans="1:5" x14ac:dyDescent="0.25">
      <c r="A558" s="17">
        <f ca="1">INDEX(Stations,INT((ROWS(A$2:A558)-1)/(DATE(YEAR(Invoer!$A$5),12,31)-DATE(YEAR(Invoer!$A$5),1,1)+1))+2,1)</f>
        <v>83</v>
      </c>
      <c r="B558" t="str">
        <f ca="1">TEXT(DATE(YEAR(Invoer!$A$5),1,1)+MOD(ROWS(B$2:B558)-1,DATE(YEAR(Invoer!$A$5),12,31)-DATE(YEAR(Invoer!$A$5),1,1)+1),"jjjjmmdd")</f>
        <v>19400709</v>
      </c>
      <c r="C558" s="18">
        <v>1</v>
      </c>
      <c r="D558" s="23">
        <f t="shared" ca="1" si="16"/>
        <v>0</v>
      </c>
      <c r="E558" s="24">
        <f t="shared" ca="1" si="17"/>
        <v>0</v>
      </c>
    </row>
    <row r="559" spans="1:5" x14ac:dyDescent="0.25">
      <c r="A559" s="17">
        <f ca="1">INDEX(Stations,INT((ROWS(A$2:A559)-1)/(DATE(YEAR(Invoer!$A$5),12,31)-DATE(YEAR(Invoer!$A$5),1,1)+1))+2,1)</f>
        <v>83</v>
      </c>
      <c r="B559" t="str">
        <f ca="1">TEXT(DATE(YEAR(Invoer!$A$5),1,1)+MOD(ROWS(B$2:B559)-1,DATE(YEAR(Invoer!$A$5),12,31)-DATE(YEAR(Invoer!$A$5),1,1)+1),"jjjjmmdd")</f>
        <v>19400710</v>
      </c>
      <c r="C559" s="18">
        <v>1</v>
      </c>
      <c r="D559" s="23">
        <f t="shared" ca="1" si="16"/>
        <v>80</v>
      </c>
      <c r="E559" s="24">
        <f t="shared" ca="1" si="17"/>
        <v>0</v>
      </c>
    </row>
    <row r="560" spans="1:5" x14ac:dyDescent="0.25">
      <c r="A560" s="17">
        <f ca="1">INDEX(Stations,INT((ROWS(A$2:A560)-1)/(DATE(YEAR(Invoer!$A$5),12,31)-DATE(YEAR(Invoer!$A$5),1,1)+1))+2,1)</f>
        <v>83</v>
      </c>
      <c r="B560" t="str">
        <f ca="1">TEXT(DATE(YEAR(Invoer!$A$5),1,1)+MOD(ROWS(B$2:B560)-1,DATE(YEAR(Invoer!$A$5),12,31)-DATE(YEAR(Invoer!$A$5),1,1)+1),"jjjjmmdd")</f>
        <v>19400711</v>
      </c>
      <c r="C560" s="18">
        <v>1</v>
      </c>
      <c r="D560" s="23">
        <f t="shared" ca="1" si="16"/>
        <v>20</v>
      </c>
      <c r="E560" s="24">
        <f t="shared" ca="1" si="17"/>
        <v>0</v>
      </c>
    </row>
    <row r="561" spans="1:5" x14ac:dyDescent="0.25">
      <c r="A561" s="17">
        <f ca="1">INDEX(Stations,INT((ROWS(A$2:A561)-1)/(DATE(YEAR(Invoer!$A$5),12,31)-DATE(YEAR(Invoer!$A$5),1,1)+1))+2,1)</f>
        <v>83</v>
      </c>
      <c r="B561" t="str">
        <f ca="1">TEXT(DATE(YEAR(Invoer!$A$5),1,1)+MOD(ROWS(B$2:B561)-1,DATE(YEAR(Invoer!$A$5),12,31)-DATE(YEAR(Invoer!$A$5),1,1)+1),"jjjjmmdd")</f>
        <v>19400712</v>
      </c>
      <c r="C561" s="18">
        <v>1</v>
      </c>
      <c r="D561" s="23">
        <f t="shared" ca="1" si="16"/>
        <v>10</v>
      </c>
      <c r="E561" s="24">
        <f t="shared" ca="1" si="17"/>
        <v>0</v>
      </c>
    </row>
    <row r="562" spans="1:5" x14ac:dyDescent="0.25">
      <c r="A562" s="17">
        <f ca="1">INDEX(Stations,INT((ROWS(A$2:A562)-1)/(DATE(YEAR(Invoer!$A$5),12,31)-DATE(YEAR(Invoer!$A$5),1,1)+1))+2,1)</f>
        <v>83</v>
      </c>
      <c r="B562" t="str">
        <f ca="1">TEXT(DATE(YEAR(Invoer!$A$5),1,1)+MOD(ROWS(B$2:B562)-1,DATE(YEAR(Invoer!$A$5),12,31)-DATE(YEAR(Invoer!$A$5),1,1)+1),"jjjjmmdd")</f>
        <v>19400713</v>
      </c>
      <c r="C562" s="18">
        <v>1</v>
      </c>
      <c r="D562" s="23">
        <f t="shared" ca="1" si="16"/>
        <v>0</v>
      </c>
      <c r="E562" s="24">
        <f t="shared" ca="1" si="17"/>
        <v>0</v>
      </c>
    </row>
    <row r="563" spans="1:5" x14ac:dyDescent="0.25">
      <c r="A563" s="17">
        <f ca="1">INDEX(Stations,INT((ROWS(A$2:A563)-1)/(DATE(YEAR(Invoer!$A$5),12,31)-DATE(YEAR(Invoer!$A$5),1,1)+1))+2,1)</f>
        <v>83</v>
      </c>
      <c r="B563" t="str">
        <f ca="1">TEXT(DATE(YEAR(Invoer!$A$5),1,1)+MOD(ROWS(B$2:B563)-1,DATE(YEAR(Invoer!$A$5),12,31)-DATE(YEAR(Invoer!$A$5),1,1)+1),"jjjjmmdd")</f>
        <v>19400714</v>
      </c>
      <c r="C563" s="18">
        <v>1</v>
      </c>
      <c r="D563" s="23">
        <f t="shared" ca="1" si="16"/>
        <v>30</v>
      </c>
      <c r="E563" s="24">
        <f t="shared" ca="1" si="17"/>
        <v>0</v>
      </c>
    </row>
    <row r="564" spans="1:5" x14ac:dyDescent="0.25">
      <c r="A564" s="17">
        <f ca="1">INDEX(Stations,INT((ROWS(A$2:A564)-1)/(DATE(YEAR(Invoer!$A$5),12,31)-DATE(YEAR(Invoer!$A$5),1,1)+1))+2,1)</f>
        <v>83</v>
      </c>
      <c r="B564" t="str">
        <f ca="1">TEXT(DATE(YEAR(Invoer!$A$5),1,1)+MOD(ROWS(B$2:B564)-1,DATE(YEAR(Invoer!$A$5),12,31)-DATE(YEAR(Invoer!$A$5),1,1)+1),"jjjjmmdd")</f>
        <v>19400715</v>
      </c>
      <c r="C564" s="18">
        <v>1</v>
      </c>
      <c r="D564" s="23">
        <f t="shared" ca="1" si="16"/>
        <v>50</v>
      </c>
      <c r="E564" s="24">
        <f t="shared" ca="1" si="17"/>
        <v>0</v>
      </c>
    </row>
    <row r="565" spans="1:5" x14ac:dyDescent="0.25">
      <c r="A565" s="17">
        <f ca="1">INDEX(Stations,INT((ROWS(A$2:A565)-1)/(DATE(YEAR(Invoer!$A$5),12,31)-DATE(YEAR(Invoer!$A$5),1,1)+1))+2,1)</f>
        <v>83</v>
      </c>
      <c r="B565" t="str">
        <f ca="1">TEXT(DATE(YEAR(Invoer!$A$5),1,1)+MOD(ROWS(B$2:B565)-1,DATE(YEAR(Invoer!$A$5),12,31)-DATE(YEAR(Invoer!$A$5),1,1)+1),"jjjjmmdd")</f>
        <v>19400716</v>
      </c>
      <c r="C565" s="18">
        <v>1</v>
      </c>
      <c r="D565" s="23">
        <f t="shared" ca="1" si="16"/>
        <v>75</v>
      </c>
      <c r="E565" s="24">
        <f t="shared" ca="1" si="17"/>
        <v>0</v>
      </c>
    </row>
    <row r="566" spans="1:5" x14ac:dyDescent="0.25">
      <c r="A566" s="17">
        <f ca="1">INDEX(Stations,INT((ROWS(A$2:A566)-1)/(DATE(YEAR(Invoer!$A$5),12,31)-DATE(YEAR(Invoer!$A$5),1,1)+1))+2,1)</f>
        <v>83</v>
      </c>
      <c r="B566" t="str">
        <f ca="1">TEXT(DATE(YEAR(Invoer!$A$5),1,1)+MOD(ROWS(B$2:B566)-1,DATE(YEAR(Invoer!$A$5),12,31)-DATE(YEAR(Invoer!$A$5),1,1)+1),"jjjjmmdd")</f>
        <v>19400717</v>
      </c>
      <c r="C566" s="18">
        <v>1</v>
      </c>
      <c r="D566" s="23">
        <f t="shared" ca="1" si="16"/>
        <v>0</v>
      </c>
      <c r="E566" s="24">
        <f t="shared" ca="1" si="17"/>
        <v>0</v>
      </c>
    </row>
    <row r="567" spans="1:5" x14ac:dyDescent="0.25">
      <c r="A567" s="17">
        <f ca="1">INDEX(Stations,INT((ROWS(A$2:A567)-1)/(DATE(YEAR(Invoer!$A$5),12,31)-DATE(YEAR(Invoer!$A$5),1,1)+1))+2,1)</f>
        <v>83</v>
      </c>
      <c r="B567" t="str">
        <f ca="1">TEXT(DATE(YEAR(Invoer!$A$5),1,1)+MOD(ROWS(B$2:B567)-1,DATE(YEAR(Invoer!$A$5),12,31)-DATE(YEAR(Invoer!$A$5),1,1)+1),"jjjjmmdd")</f>
        <v>19400718</v>
      </c>
      <c r="C567" s="18">
        <v>1</v>
      </c>
      <c r="D567" s="23">
        <f t="shared" ca="1" si="16"/>
        <v>0</v>
      </c>
      <c r="E567" s="24">
        <f t="shared" ca="1" si="17"/>
        <v>0</v>
      </c>
    </row>
    <row r="568" spans="1:5" x14ac:dyDescent="0.25">
      <c r="A568" s="17">
        <f ca="1">INDEX(Stations,INT((ROWS(A$2:A568)-1)/(DATE(YEAR(Invoer!$A$5),12,31)-DATE(YEAR(Invoer!$A$5),1,1)+1))+2,1)</f>
        <v>83</v>
      </c>
      <c r="B568" t="str">
        <f ca="1">TEXT(DATE(YEAR(Invoer!$A$5),1,1)+MOD(ROWS(B$2:B568)-1,DATE(YEAR(Invoer!$A$5),12,31)-DATE(YEAR(Invoer!$A$5),1,1)+1),"jjjjmmdd")</f>
        <v>19400719</v>
      </c>
      <c r="C568" s="18">
        <v>1</v>
      </c>
      <c r="D568" s="23">
        <f t="shared" ca="1" si="16"/>
        <v>20</v>
      </c>
      <c r="E568" s="24">
        <f t="shared" ca="1" si="17"/>
        <v>0</v>
      </c>
    </row>
    <row r="569" spans="1:5" x14ac:dyDescent="0.25">
      <c r="A569" s="17">
        <f ca="1">INDEX(Stations,INT((ROWS(A$2:A569)-1)/(DATE(YEAR(Invoer!$A$5),12,31)-DATE(YEAR(Invoer!$A$5),1,1)+1))+2,1)</f>
        <v>83</v>
      </c>
      <c r="B569" t="str">
        <f ca="1">TEXT(DATE(YEAR(Invoer!$A$5),1,1)+MOD(ROWS(B$2:B569)-1,DATE(YEAR(Invoer!$A$5),12,31)-DATE(YEAR(Invoer!$A$5),1,1)+1),"jjjjmmdd")</f>
        <v>19400720</v>
      </c>
      <c r="C569" s="18">
        <v>1</v>
      </c>
      <c r="D569" s="23">
        <f t="shared" ca="1" si="16"/>
        <v>0</v>
      </c>
      <c r="E569" s="24">
        <f t="shared" ca="1" si="17"/>
        <v>0</v>
      </c>
    </row>
    <row r="570" spans="1:5" x14ac:dyDescent="0.25">
      <c r="A570" s="17">
        <f ca="1">INDEX(Stations,INT((ROWS(A$2:A570)-1)/(DATE(YEAR(Invoer!$A$5),12,31)-DATE(YEAR(Invoer!$A$5),1,1)+1))+2,1)</f>
        <v>83</v>
      </c>
      <c r="B570" t="str">
        <f ca="1">TEXT(DATE(YEAR(Invoer!$A$5),1,1)+MOD(ROWS(B$2:B570)-1,DATE(YEAR(Invoer!$A$5),12,31)-DATE(YEAR(Invoer!$A$5),1,1)+1),"jjjjmmdd")</f>
        <v>19400721</v>
      </c>
      <c r="C570" s="18">
        <v>1</v>
      </c>
      <c r="D570" s="23">
        <f t="shared" ca="1" si="16"/>
        <v>50</v>
      </c>
      <c r="E570" s="24">
        <f t="shared" ca="1" si="17"/>
        <v>0</v>
      </c>
    </row>
    <row r="571" spans="1:5" x14ac:dyDescent="0.25">
      <c r="A571" s="17">
        <f ca="1">INDEX(Stations,INT((ROWS(A$2:A571)-1)/(DATE(YEAR(Invoer!$A$5),12,31)-DATE(YEAR(Invoer!$A$5),1,1)+1))+2,1)</f>
        <v>83</v>
      </c>
      <c r="B571" t="str">
        <f ca="1">TEXT(DATE(YEAR(Invoer!$A$5),1,1)+MOD(ROWS(B$2:B571)-1,DATE(YEAR(Invoer!$A$5),12,31)-DATE(YEAR(Invoer!$A$5),1,1)+1),"jjjjmmdd")</f>
        <v>19400722</v>
      </c>
      <c r="C571" s="18">
        <v>1</v>
      </c>
      <c r="D571" s="23">
        <f t="shared" ca="1" si="16"/>
        <v>35</v>
      </c>
      <c r="E571" s="24">
        <f t="shared" ca="1" si="17"/>
        <v>0</v>
      </c>
    </row>
    <row r="572" spans="1:5" x14ac:dyDescent="0.25">
      <c r="A572" s="17">
        <f ca="1">INDEX(Stations,INT((ROWS(A$2:A572)-1)/(DATE(YEAR(Invoer!$A$5),12,31)-DATE(YEAR(Invoer!$A$5),1,1)+1))+2,1)</f>
        <v>83</v>
      </c>
      <c r="B572" t="str">
        <f ca="1">TEXT(DATE(YEAR(Invoer!$A$5),1,1)+MOD(ROWS(B$2:B572)-1,DATE(YEAR(Invoer!$A$5),12,31)-DATE(YEAR(Invoer!$A$5),1,1)+1),"jjjjmmdd")</f>
        <v>19400723</v>
      </c>
      <c r="C572" s="18">
        <v>1</v>
      </c>
      <c r="D572" s="23">
        <f t="shared" ca="1" si="16"/>
        <v>60</v>
      </c>
      <c r="E572" s="24">
        <f t="shared" ca="1" si="17"/>
        <v>0</v>
      </c>
    </row>
    <row r="573" spans="1:5" x14ac:dyDescent="0.25">
      <c r="A573" s="17">
        <f ca="1">INDEX(Stations,INT((ROWS(A$2:A573)-1)/(DATE(YEAR(Invoer!$A$5),12,31)-DATE(YEAR(Invoer!$A$5),1,1)+1))+2,1)</f>
        <v>83</v>
      </c>
      <c r="B573" t="str">
        <f ca="1">TEXT(DATE(YEAR(Invoer!$A$5),1,1)+MOD(ROWS(B$2:B573)-1,DATE(YEAR(Invoer!$A$5),12,31)-DATE(YEAR(Invoer!$A$5),1,1)+1),"jjjjmmdd")</f>
        <v>19400724</v>
      </c>
      <c r="C573" s="18">
        <v>1</v>
      </c>
      <c r="D573" s="23">
        <f t="shared" ca="1" si="16"/>
        <v>0</v>
      </c>
      <c r="E573" s="24">
        <f t="shared" ca="1" si="17"/>
        <v>0</v>
      </c>
    </row>
    <row r="574" spans="1:5" x14ac:dyDescent="0.25">
      <c r="A574" s="17">
        <f ca="1">INDEX(Stations,INT((ROWS(A$2:A574)-1)/(DATE(YEAR(Invoer!$A$5),12,31)-DATE(YEAR(Invoer!$A$5),1,1)+1))+2,1)</f>
        <v>83</v>
      </c>
      <c r="B574" t="str">
        <f ca="1">TEXT(DATE(YEAR(Invoer!$A$5),1,1)+MOD(ROWS(B$2:B574)-1,DATE(YEAR(Invoer!$A$5),12,31)-DATE(YEAR(Invoer!$A$5),1,1)+1),"jjjjmmdd")</f>
        <v>19400725</v>
      </c>
      <c r="C574" s="18">
        <v>1</v>
      </c>
      <c r="D574" s="23">
        <f t="shared" ca="1" si="16"/>
        <v>0</v>
      </c>
      <c r="E574" s="24">
        <f t="shared" ca="1" si="17"/>
        <v>0</v>
      </c>
    </row>
    <row r="575" spans="1:5" x14ac:dyDescent="0.25">
      <c r="A575" s="17">
        <f ca="1">INDEX(Stations,INT((ROWS(A$2:A575)-1)/(DATE(YEAR(Invoer!$A$5),12,31)-DATE(YEAR(Invoer!$A$5),1,1)+1))+2,1)</f>
        <v>83</v>
      </c>
      <c r="B575" t="str">
        <f ca="1">TEXT(DATE(YEAR(Invoer!$A$5),1,1)+MOD(ROWS(B$2:B575)-1,DATE(YEAR(Invoer!$A$5),12,31)-DATE(YEAR(Invoer!$A$5),1,1)+1),"jjjjmmdd")</f>
        <v>19400726</v>
      </c>
      <c r="C575" s="18">
        <v>1</v>
      </c>
      <c r="D575" s="23">
        <f t="shared" ca="1" si="16"/>
        <v>0</v>
      </c>
      <c r="E575" s="24">
        <f t="shared" ca="1" si="17"/>
        <v>0</v>
      </c>
    </row>
    <row r="576" spans="1:5" x14ac:dyDescent="0.25">
      <c r="A576" s="17">
        <f ca="1">INDEX(Stations,INT((ROWS(A$2:A576)-1)/(DATE(YEAR(Invoer!$A$5),12,31)-DATE(YEAR(Invoer!$A$5),1,1)+1))+2,1)</f>
        <v>83</v>
      </c>
      <c r="B576" t="str">
        <f ca="1">TEXT(DATE(YEAR(Invoer!$A$5),1,1)+MOD(ROWS(B$2:B576)-1,DATE(YEAR(Invoer!$A$5),12,31)-DATE(YEAR(Invoer!$A$5),1,1)+1),"jjjjmmdd")</f>
        <v>19400727</v>
      </c>
      <c r="C576" s="18">
        <v>1</v>
      </c>
      <c r="D576" s="23">
        <f t="shared" ca="1" si="16"/>
        <v>0</v>
      </c>
      <c r="E576" s="24">
        <f t="shared" ca="1" si="17"/>
        <v>0</v>
      </c>
    </row>
    <row r="577" spans="1:5" x14ac:dyDescent="0.25">
      <c r="A577" s="17">
        <f ca="1">INDEX(Stations,INT((ROWS(A$2:A577)-1)/(DATE(YEAR(Invoer!$A$5),12,31)-DATE(YEAR(Invoer!$A$5),1,1)+1))+2,1)</f>
        <v>83</v>
      </c>
      <c r="B577" t="str">
        <f ca="1">TEXT(DATE(YEAR(Invoer!$A$5),1,1)+MOD(ROWS(B$2:B577)-1,DATE(YEAR(Invoer!$A$5),12,31)-DATE(YEAR(Invoer!$A$5),1,1)+1),"jjjjmmdd")</f>
        <v>19400728</v>
      </c>
      <c r="C577" s="18">
        <v>1</v>
      </c>
      <c r="D577" s="23">
        <f t="shared" ca="1" si="16"/>
        <v>0</v>
      </c>
      <c r="E577" s="24">
        <f t="shared" ca="1" si="17"/>
        <v>0</v>
      </c>
    </row>
    <row r="578" spans="1:5" x14ac:dyDescent="0.25">
      <c r="A578" s="17">
        <f ca="1">INDEX(Stations,INT((ROWS(A$2:A578)-1)/(DATE(YEAR(Invoer!$A$5),12,31)-DATE(YEAR(Invoer!$A$5),1,1)+1))+2,1)</f>
        <v>83</v>
      </c>
      <c r="B578" t="str">
        <f ca="1">TEXT(DATE(YEAR(Invoer!$A$5),1,1)+MOD(ROWS(B$2:B578)-1,DATE(YEAR(Invoer!$A$5),12,31)-DATE(YEAR(Invoer!$A$5),1,1)+1),"jjjjmmdd")</f>
        <v>19400729</v>
      </c>
      <c r="C578" s="18">
        <v>1</v>
      </c>
      <c r="D578" s="23">
        <f t="shared" ref="D578:D641" ca="1" si="18">IF(OR(ISBLANK(VLOOKUP(DATEVALUE(LEFT(B578,4)&amp;"-"&amp;MID(B578,5,2)&amp;"-"&amp;RIGHT(B578,2)),Data,MATCH(VLOOKUP(A578,Stations,2,FALSE()),OFFSET(Data,1,0,1),0),FALSE())),ISTEXT(VLOOKUP(DATEVALUE(LEFT(B578,4)&amp;"-"&amp;MID(B578,5,2)&amp;"-"&amp;RIGHT(B578,2)),Data,MATCH(VLOOKUP(A578,Stations,2,FALSE()),OFFSET(Data,1,0,1),0),FALSE()))),"—",VLOOKUP(DATEVALUE(LEFT(B578,4)&amp;"-"&amp;MID(B578,5,2)&amp;"-"&amp;RIGHT(B578,2)),Data,MATCH(VLOOKUP(A578,Stations,2,FALSE()),OFFSET(Data,1,0,1),0),FALSE()))</f>
        <v>0</v>
      </c>
      <c r="E578" s="24">
        <f t="shared" ref="E578:E641" ca="1" si="19">IF(OR(ISBLANK(VLOOKUP(DATEVALUE(LEFT(B578,4)&amp;"-"&amp;MID(B578,5,2)&amp;"-"&amp;RIGHT(B578,2)),Data,MATCH(VLOOKUP(A578,Stations,2,FALSE()),OFFSET(Data,1,0,1),0),FALSE())),ISTEXT(VLOOKUP(DATEVALUE(LEFT(B578,4)&amp;"-"&amp;MID(B578,5,2)&amp;"-"&amp;RIGHT(B578,2)),Data,MATCH(VLOOKUP(A578,Stations,2,FALSE()),OFFSET(Data,1,0,1),0),FALSE()))),Lacking,IF(ISNA(MATCH(DATEVALUE(LEFT(B578,4)&amp;"-"&amp;MID(B578,5,2)&amp;"-"&amp;RIGHT(B578,2)),OFFSET(Catalogus,0,0,,1),0)),Ok,VLOOKUP(DATEVALUE(LEFT(B578,4)&amp;"-"&amp;MID(B578,5,2)&amp;"-"&amp;RIGHT(B578,2)),Catalogus,MATCH(VLOOKUP(A578,Stations,2,FALSE()),OFFSET(Catalogus,1,0,1),0),FALSE())))</f>
        <v>0</v>
      </c>
    </row>
    <row r="579" spans="1:5" x14ac:dyDescent="0.25">
      <c r="A579" s="17">
        <f ca="1">INDEX(Stations,INT((ROWS(A$2:A579)-1)/(DATE(YEAR(Invoer!$A$5),12,31)-DATE(YEAR(Invoer!$A$5),1,1)+1))+2,1)</f>
        <v>83</v>
      </c>
      <c r="B579" t="str">
        <f ca="1">TEXT(DATE(YEAR(Invoer!$A$5),1,1)+MOD(ROWS(B$2:B579)-1,DATE(YEAR(Invoer!$A$5),12,31)-DATE(YEAR(Invoer!$A$5),1,1)+1),"jjjjmmdd")</f>
        <v>19400730</v>
      </c>
      <c r="C579" s="18">
        <v>1</v>
      </c>
      <c r="D579" s="23">
        <f t="shared" ca="1" si="18"/>
        <v>0</v>
      </c>
      <c r="E579" s="24">
        <f t="shared" ca="1" si="19"/>
        <v>0</v>
      </c>
    </row>
    <row r="580" spans="1:5" x14ac:dyDescent="0.25">
      <c r="A580" s="17">
        <f ca="1">INDEX(Stations,INT((ROWS(A$2:A580)-1)/(DATE(YEAR(Invoer!$A$5),12,31)-DATE(YEAR(Invoer!$A$5),1,1)+1))+2,1)</f>
        <v>83</v>
      </c>
      <c r="B580" t="str">
        <f ca="1">TEXT(DATE(YEAR(Invoer!$A$5),1,1)+MOD(ROWS(B$2:B580)-1,DATE(YEAR(Invoer!$A$5),12,31)-DATE(YEAR(Invoer!$A$5),1,1)+1),"jjjjmmdd")</f>
        <v>19400731</v>
      </c>
      <c r="C580" s="18">
        <v>1</v>
      </c>
      <c r="D580" s="23">
        <f t="shared" ca="1" si="18"/>
        <v>0</v>
      </c>
      <c r="E580" s="24">
        <f t="shared" ca="1" si="19"/>
        <v>0</v>
      </c>
    </row>
    <row r="581" spans="1:5" x14ac:dyDescent="0.25">
      <c r="A581" s="17">
        <f ca="1">INDEX(Stations,INT((ROWS(A$2:A581)-1)/(DATE(YEAR(Invoer!$A$5),12,31)-DATE(YEAR(Invoer!$A$5),1,1)+1))+2,1)</f>
        <v>83</v>
      </c>
      <c r="B581" t="str">
        <f ca="1">TEXT(DATE(YEAR(Invoer!$A$5),1,1)+MOD(ROWS(B$2:B581)-1,DATE(YEAR(Invoer!$A$5),12,31)-DATE(YEAR(Invoer!$A$5),1,1)+1),"jjjjmmdd")</f>
        <v>19400801</v>
      </c>
      <c r="C581" s="18">
        <v>1</v>
      </c>
      <c r="D581" s="23">
        <f t="shared" ca="1" si="18"/>
        <v>0</v>
      </c>
      <c r="E581" s="24">
        <f t="shared" ca="1" si="19"/>
        <v>0</v>
      </c>
    </row>
    <row r="582" spans="1:5" x14ac:dyDescent="0.25">
      <c r="A582" s="17">
        <f ca="1">INDEX(Stations,INT((ROWS(A$2:A582)-1)/(DATE(YEAR(Invoer!$A$5),12,31)-DATE(YEAR(Invoer!$A$5),1,1)+1))+2,1)</f>
        <v>83</v>
      </c>
      <c r="B582" t="str">
        <f ca="1">TEXT(DATE(YEAR(Invoer!$A$5),1,1)+MOD(ROWS(B$2:B582)-1,DATE(YEAR(Invoer!$A$5),12,31)-DATE(YEAR(Invoer!$A$5),1,1)+1),"jjjjmmdd")</f>
        <v>19400802</v>
      </c>
      <c r="C582" s="18">
        <v>1</v>
      </c>
      <c r="D582" s="23">
        <f t="shared" ca="1" si="18"/>
        <v>40</v>
      </c>
      <c r="E582" s="24">
        <f t="shared" ca="1" si="19"/>
        <v>0</v>
      </c>
    </row>
    <row r="583" spans="1:5" x14ac:dyDescent="0.25">
      <c r="A583" s="17">
        <f ca="1">INDEX(Stations,INT((ROWS(A$2:A583)-1)/(DATE(YEAR(Invoer!$A$5),12,31)-DATE(YEAR(Invoer!$A$5),1,1)+1))+2,1)</f>
        <v>83</v>
      </c>
      <c r="B583" t="str">
        <f ca="1">TEXT(DATE(YEAR(Invoer!$A$5),1,1)+MOD(ROWS(B$2:B583)-1,DATE(YEAR(Invoer!$A$5),12,31)-DATE(YEAR(Invoer!$A$5),1,1)+1),"jjjjmmdd")</f>
        <v>19400803</v>
      </c>
      <c r="C583" s="18">
        <v>1</v>
      </c>
      <c r="D583" s="23">
        <f t="shared" ca="1" si="18"/>
        <v>0</v>
      </c>
      <c r="E583" s="24">
        <f t="shared" ca="1" si="19"/>
        <v>0</v>
      </c>
    </row>
    <row r="584" spans="1:5" x14ac:dyDescent="0.25">
      <c r="A584" s="17">
        <f ca="1">INDEX(Stations,INT((ROWS(A$2:A584)-1)/(DATE(YEAR(Invoer!$A$5),12,31)-DATE(YEAR(Invoer!$A$5),1,1)+1))+2,1)</f>
        <v>83</v>
      </c>
      <c r="B584" t="str">
        <f ca="1">TEXT(DATE(YEAR(Invoer!$A$5),1,1)+MOD(ROWS(B$2:B584)-1,DATE(YEAR(Invoer!$A$5),12,31)-DATE(YEAR(Invoer!$A$5),1,1)+1),"jjjjmmdd")</f>
        <v>19400804</v>
      </c>
      <c r="C584" s="18">
        <v>1</v>
      </c>
      <c r="D584" s="23">
        <f t="shared" ca="1" si="18"/>
        <v>135</v>
      </c>
      <c r="E584" s="24">
        <f t="shared" ca="1" si="19"/>
        <v>0</v>
      </c>
    </row>
    <row r="585" spans="1:5" x14ac:dyDescent="0.25">
      <c r="A585" s="17">
        <f ca="1">INDEX(Stations,INT((ROWS(A$2:A585)-1)/(DATE(YEAR(Invoer!$A$5),12,31)-DATE(YEAR(Invoer!$A$5),1,1)+1))+2,1)</f>
        <v>83</v>
      </c>
      <c r="B585" t="str">
        <f ca="1">TEXT(DATE(YEAR(Invoer!$A$5),1,1)+MOD(ROWS(B$2:B585)-1,DATE(YEAR(Invoer!$A$5),12,31)-DATE(YEAR(Invoer!$A$5),1,1)+1),"jjjjmmdd")</f>
        <v>19400805</v>
      </c>
      <c r="C585" s="18">
        <v>1</v>
      </c>
      <c r="D585" s="23">
        <f t="shared" ca="1" si="18"/>
        <v>160</v>
      </c>
      <c r="E585" s="24">
        <f t="shared" ca="1" si="19"/>
        <v>0</v>
      </c>
    </row>
    <row r="586" spans="1:5" x14ac:dyDescent="0.25">
      <c r="A586" s="17">
        <f ca="1">INDEX(Stations,INT((ROWS(A$2:A586)-1)/(DATE(YEAR(Invoer!$A$5),12,31)-DATE(YEAR(Invoer!$A$5),1,1)+1))+2,1)</f>
        <v>83</v>
      </c>
      <c r="B586" t="str">
        <f ca="1">TEXT(DATE(YEAR(Invoer!$A$5),1,1)+MOD(ROWS(B$2:B586)-1,DATE(YEAR(Invoer!$A$5),12,31)-DATE(YEAR(Invoer!$A$5),1,1)+1),"jjjjmmdd")</f>
        <v>19400806</v>
      </c>
      <c r="C586" s="18">
        <v>1</v>
      </c>
      <c r="D586" s="23">
        <f t="shared" ca="1" si="18"/>
        <v>0</v>
      </c>
      <c r="E586" s="24">
        <f t="shared" ca="1" si="19"/>
        <v>0</v>
      </c>
    </row>
    <row r="587" spans="1:5" x14ac:dyDescent="0.25">
      <c r="A587" s="17">
        <f ca="1">INDEX(Stations,INT((ROWS(A$2:A587)-1)/(DATE(YEAR(Invoer!$A$5),12,31)-DATE(YEAR(Invoer!$A$5),1,1)+1))+2,1)</f>
        <v>83</v>
      </c>
      <c r="B587" t="str">
        <f ca="1">TEXT(DATE(YEAR(Invoer!$A$5),1,1)+MOD(ROWS(B$2:B587)-1,DATE(YEAR(Invoer!$A$5),12,31)-DATE(YEAR(Invoer!$A$5),1,1)+1),"jjjjmmdd")</f>
        <v>19400807</v>
      </c>
      <c r="C587" s="18">
        <v>1</v>
      </c>
      <c r="D587" s="23">
        <f t="shared" ca="1" si="18"/>
        <v>0</v>
      </c>
      <c r="E587" s="24">
        <f t="shared" ca="1" si="19"/>
        <v>0</v>
      </c>
    </row>
    <row r="588" spans="1:5" x14ac:dyDescent="0.25">
      <c r="A588" s="17">
        <f ca="1">INDEX(Stations,INT((ROWS(A$2:A588)-1)/(DATE(YEAR(Invoer!$A$5),12,31)-DATE(YEAR(Invoer!$A$5),1,1)+1))+2,1)</f>
        <v>83</v>
      </c>
      <c r="B588" t="str">
        <f ca="1">TEXT(DATE(YEAR(Invoer!$A$5),1,1)+MOD(ROWS(B$2:B588)-1,DATE(YEAR(Invoer!$A$5),12,31)-DATE(YEAR(Invoer!$A$5),1,1)+1),"jjjjmmdd")</f>
        <v>19400808</v>
      </c>
      <c r="C588" s="18">
        <v>1</v>
      </c>
      <c r="D588" s="23">
        <f t="shared" ca="1" si="18"/>
        <v>0</v>
      </c>
      <c r="E588" s="24">
        <f t="shared" ca="1" si="19"/>
        <v>0</v>
      </c>
    </row>
    <row r="589" spans="1:5" x14ac:dyDescent="0.25">
      <c r="A589" s="17">
        <f ca="1">INDEX(Stations,INT((ROWS(A$2:A589)-1)/(DATE(YEAR(Invoer!$A$5),12,31)-DATE(YEAR(Invoer!$A$5),1,1)+1))+2,1)</f>
        <v>83</v>
      </c>
      <c r="B589" t="str">
        <f ca="1">TEXT(DATE(YEAR(Invoer!$A$5),1,1)+MOD(ROWS(B$2:B589)-1,DATE(YEAR(Invoer!$A$5),12,31)-DATE(YEAR(Invoer!$A$5),1,1)+1),"jjjjmmdd")</f>
        <v>19400809</v>
      </c>
      <c r="C589" s="18">
        <v>1</v>
      </c>
      <c r="D589" s="23">
        <f t="shared" ca="1" si="18"/>
        <v>30</v>
      </c>
      <c r="E589" s="24">
        <f t="shared" ca="1" si="19"/>
        <v>0</v>
      </c>
    </row>
    <row r="590" spans="1:5" x14ac:dyDescent="0.25">
      <c r="A590" s="17">
        <f ca="1">INDEX(Stations,INT((ROWS(A$2:A590)-1)/(DATE(YEAR(Invoer!$A$5),12,31)-DATE(YEAR(Invoer!$A$5),1,1)+1))+2,1)</f>
        <v>83</v>
      </c>
      <c r="B590" t="str">
        <f ca="1">TEXT(DATE(YEAR(Invoer!$A$5),1,1)+MOD(ROWS(B$2:B590)-1,DATE(YEAR(Invoer!$A$5),12,31)-DATE(YEAR(Invoer!$A$5),1,1)+1),"jjjjmmdd")</f>
        <v>19400810</v>
      </c>
      <c r="C590" s="18">
        <v>1</v>
      </c>
      <c r="D590" s="23">
        <f t="shared" ca="1" si="18"/>
        <v>0</v>
      </c>
      <c r="E590" s="24">
        <f t="shared" ca="1" si="19"/>
        <v>0</v>
      </c>
    </row>
    <row r="591" spans="1:5" x14ac:dyDescent="0.25">
      <c r="A591" s="17">
        <f ca="1">INDEX(Stations,INT((ROWS(A$2:A591)-1)/(DATE(YEAR(Invoer!$A$5),12,31)-DATE(YEAR(Invoer!$A$5),1,1)+1))+2,1)</f>
        <v>83</v>
      </c>
      <c r="B591" t="str">
        <f ca="1">TEXT(DATE(YEAR(Invoer!$A$5),1,1)+MOD(ROWS(B$2:B591)-1,DATE(YEAR(Invoer!$A$5),12,31)-DATE(YEAR(Invoer!$A$5),1,1)+1),"jjjjmmdd")</f>
        <v>19400811</v>
      </c>
      <c r="C591" s="18">
        <v>1</v>
      </c>
      <c r="D591" s="23">
        <f t="shared" ca="1" si="18"/>
        <v>0</v>
      </c>
      <c r="E591" s="24">
        <f t="shared" ca="1" si="19"/>
        <v>0</v>
      </c>
    </row>
    <row r="592" spans="1:5" x14ac:dyDescent="0.25">
      <c r="A592" s="17">
        <f ca="1">INDEX(Stations,INT((ROWS(A$2:A592)-1)/(DATE(YEAR(Invoer!$A$5),12,31)-DATE(YEAR(Invoer!$A$5),1,1)+1))+2,1)</f>
        <v>83</v>
      </c>
      <c r="B592" t="str">
        <f ca="1">TEXT(DATE(YEAR(Invoer!$A$5),1,1)+MOD(ROWS(B$2:B592)-1,DATE(YEAR(Invoer!$A$5),12,31)-DATE(YEAR(Invoer!$A$5),1,1)+1),"jjjjmmdd")</f>
        <v>19400812</v>
      </c>
      <c r="C592" s="18">
        <v>1</v>
      </c>
      <c r="D592" s="23">
        <f t="shared" ca="1" si="18"/>
        <v>0</v>
      </c>
      <c r="E592" s="24">
        <f t="shared" ca="1" si="19"/>
        <v>0</v>
      </c>
    </row>
    <row r="593" spans="1:5" x14ac:dyDescent="0.25">
      <c r="A593" s="17">
        <f ca="1">INDEX(Stations,INT((ROWS(A$2:A593)-1)/(DATE(YEAR(Invoer!$A$5),12,31)-DATE(YEAR(Invoer!$A$5),1,1)+1))+2,1)</f>
        <v>83</v>
      </c>
      <c r="B593" t="str">
        <f ca="1">TEXT(DATE(YEAR(Invoer!$A$5),1,1)+MOD(ROWS(B$2:B593)-1,DATE(YEAR(Invoer!$A$5),12,31)-DATE(YEAR(Invoer!$A$5),1,1)+1),"jjjjmmdd")</f>
        <v>19400813</v>
      </c>
      <c r="C593" s="18">
        <v>1</v>
      </c>
      <c r="D593" s="23">
        <f t="shared" ca="1" si="18"/>
        <v>0</v>
      </c>
      <c r="E593" s="24">
        <f t="shared" ca="1" si="19"/>
        <v>0</v>
      </c>
    </row>
    <row r="594" spans="1:5" x14ac:dyDescent="0.25">
      <c r="A594" s="17">
        <f ca="1">INDEX(Stations,INT((ROWS(A$2:A594)-1)/(DATE(YEAR(Invoer!$A$5),12,31)-DATE(YEAR(Invoer!$A$5),1,1)+1))+2,1)</f>
        <v>83</v>
      </c>
      <c r="B594" t="str">
        <f ca="1">TEXT(DATE(YEAR(Invoer!$A$5),1,1)+MOD(ROWS(B$2:B594)-1,DATE(YEAR(Invoer!$A$5),12,31)-DATE(YEAR(Invoer!$A$5),1,1)+1),"jjjjmmdd")</f>
        <v>19400814</v>
      </c>
      <c r="C594" s="18">
        <v>1</v>
      </c>
      <c r="D594" s="23">
        <f t="shared" ca="1" si="18"/>
        <v>0</v>
      </c>
      <c r="E594" s="24">
        <f t="shared" ca="1" si="19"/>
        <v>0</v>
      </c>
    </row>
    <row r="595" spans="1:5" x14ac:dyDescent="0.25">
      <c r="A595" s="17">
        <f ca="1">INDEX(Stations,INT((ROWS(A$2:A595)-1)/(DATE(YEAR(Invoer!$A$5),12,31)-DATE(YEAR(Invoer!$A$5),1,1)+1))+2,1)</f>
        <v>83</v>
      </c>
      <c r="B595" t="str">
        <f ca="1">TEXT(DATE(YEAR(Invoer!$A$5),1,1)+MOD(ROWS(B$2:B595)-1,DATE(YEAR(Invoer!$A$5),12,31)-DATE(YEAR(Invoer!$A$5),1,1)+1),"jjjjmmdd")</f>
        <v>19400815</v>
      </c>
      <c r="C595" s="18">
        <v>1</v>
      </c>
      <c r="D595" s="23">
        <f t="shared" ca="1" si="18"/>
        <v>0</v>
      </c>
      <c r="E595" s="24">
        <f t="shared" ca="1" si="19"/>
        <v>0</v>
      </c>
    </row>
    <row r="596" spans="1:5" x14ac:dyDescent="0.25">
      <c r="A596" s="17">
        <f ca="1">INDEX(Stations,INT((ROWS(A$2:A596)-1)/(DATE(YEAR(Invoer!$A$5),12,31)-DATE(YEAR(Invoer!$A$5),1,1)+1))+2,1)</f>
        <v>83</v>
      </c>
      <c r="B596" t="str">
        <f ca="1">TEXT(DATE(YEAR(Invoer!$A$5),1,1)+MOD(ROWS(B$2:B596)-1,DATE(YEAR(Invoer!$A$5),12,31)-DATE(YEAR(Invoer!$A$5),1,1)+1),"jjjjmmdd")</f>
        <v>19400816</v>
      </c>
      <c r="C596" s="18">
        <v>1</v>
      </c>
      <c r="D596" s="23">
        <f t="shared" ca="1" si="18"/>
        <v>0</v>
      </c>
      <c r="E596" s="24">
        <f t="shared" ca="1" si="19"/>
        <v>0</v>
      </c>
    </row>
    <row r="597" spans="1:5" x14ac:dyDescent="0.25">
      <c r="A597" s="17">
        <f ca="1">INDEX(Stations,INT((ROWS(A$2:A597)-1)/(DATE(YEAR(Invoer!$A$5),12,31)-DATE(YEAR(Invoer!$A$5),1,1)+1))+2,1)</f>
        <v>83</v>
      </c>
      <c r="B597" t="str">
        <f ca="1">TEXT(DATE(YEAR(Invoer!$A$5),1,1)+MOD(ROWS(B$2:B597)-1,DATE(YEAR(Invoer!$A$5),12,31)-DATE(YEAR(Invoer!$A$5),1,1)+1),"jjjjmmdd")</f>
        <v>19400817</v>
      </c>
      <c r="C597" s="18">
        <v>1</v>
      </c>
      <c r="D597" s="23">
        <f t="shared" ca="1" si="18"/>
        <v>20</v>
      </c>
      <c r="E597" s="24">
        <f t="shared" ca="1" si="19"/>
        <v>0</v>
      </c>
    </row>
    <row r="598" spans="1:5" x14ac:dyDescent="0.25">
      <c r="A598" s="17">
        <f ca="1">INDEX(Stations,INT((ROWS(A$2:A598)-1)/(DATE(YEAR(Invoer!$A$5),12,31)-DATE(YEAR(Invoer!$A$5),1,1)+1))+2,1)</f>
        <v>83</v>
      </c>
      <c r="B598" t="str">
        <f ca="1">TEXT(DATE(YEAR(Invoer!$A$5),1,1)+MOD(ROWS(B$2:B598)-1,DATE(YEAR(Invoer!$A$5),12,31)-DATE(YEAR(Invoer!$A$5),1,1)+1),"jjjjmmdd")</f>
        <v>19400818</v>
      </c>
      <c r="C598" s="18">
        <v>1</v>
      </c>
      <c r="D598" s="23">
        <f t="shared" ca="1" si="18"/>
        <v>60</v>
      </c>
      <c r="E598" s="24">
        <f t="shared" ca="1" si="19"/>
        <v>0</v>
      </c>
    </row>
    <row r="599" spans="1:5" x14ac:dyDescent="0.25">
      <c r="A599" s="17">
        <f ca="1">INDEX(Stations,INT((ROWS(A$2:A599)-1)/(DATE(YEAR(Invoer!$A$5),12,31)-DATE(YEAR(Invoer!$A$5),1,1)+1))+2,1)</f>
        <v>83</v>
      </c>
      <c r="B599" t="str">
        <f ca="1">TEXT(DATE(YEAR(Invoer!$A$5),1,1)+MOD(ROWS(B$2:B599)-1,DATE(YEAR(Invoer!$A$5),12,31)-DATE(YEAR(Invoer!$A$5),1,1)+1),"jjjjmmdd")</f>
        <v>19400819</v>
      </c>
      <c r="C599" s="18">
        <v>1</v>
      </c>
      <c r="D599" s="23">
        <f t="shared" ca="1" si="18"/>
        <v>0</v>
      </c>
      <c r="E599" s="24">
        <f t="shared" ca="1" si="19"/>
        <v>0</v>
      </c>
    </row>
    <row r="600" spans="1:5" x14ac:dyDescent="0.25">
      <c r="A600" s="17">
        <f ca="1">INDEX(Stations,INT((ROWS(A$2:A600)-1)/(DATE(YEAR(Invoer!$A$5),12,31)-DATE(YEAR(Invoer!$A$5),1,1)+1))+2,1)</f>
        <v>83</v>
      </c>
      <c r="B600" t="str">
        <f ca="1">TEXT(DATE(YEAR(Invoer!$A$5),1,1)+MOD(ROWS(B$2:B600)-1,DATE(YEAR(Invoer!$A$5),12,31)-DATE(YEAR(Invoer!$A$5),1,1)+1),"jjjjmmdd")</f>
        <v>19400820</v>
      </c>
      <c r="C600" s="18">
        <v>1</v>
      </c>
      <c r="D600" s="23">
        <f t="shared" ca="1" si="18"/>
        <v>0</v>
      </c>
      <c r="E600" s="24">
        <f t="shared" ca="1" si="19"/>
        <v>0</v>
      </c>
    </row>
    <row r="601" spans="1:5" x14ac:dyDescent="0.25">
      <c r="A601" s="17">
        <f ca="1">INDEX(Stations,INT((ROWS(A$2:A601)-1)/(DATE(YEAR(Invoer!$A$5),12,31)-DATE(YEAR(Invoer!$A$5),1,1)+1))+2,1)</f>
        <v>83</v>
      </c>
      <c r="B601" t="str">
        <f ca="1">TEXT(DATE(YEAR(Invoer!$A$5),1,1)+MOD(ROWS(B$2:B601)-1,DATE(YEAR(Invoer!$A$5),12,31)-DATE(YEAR(Invoer!$A$5),1,1)+1),"jjjjmmdd")</f>
        <v>19400821</v>
      </c>
      <c r="C601" s="18">
        <v>1</v>
      </c>
      <c r="D601" s="23">
        <f t="shared" ca="1" si="18"/>
        <v>0</v>
      </c>
      <c r="E601" s="24">
        <f t="shared" ca="1" si="19"/>
        <v>0</v>
      </c>
    </row>
    <row r="602" spans="1:5" x14ac:dyDescent="0.25">
      <c r="A602" s="17">
        <f ca="1">INDEX(Stations,INT((ROWS(A$2:A602)-1)/(DATE(YEAR(Invoer!$A$5),12,31)-DATE(YEAR(Invoer!$A$5),1,1)+1))+2,1)</f>
        <v>83</v>
      </c>
      <c r="B602" t="str">
        <f ca="1">TEXT(DATE(YEAR(Invoer!$A$5),1,1)+MOD(ROWS(B$2:B602)-1,DATE(YEAR(Invoer!$A$5),12,31)-DATE(YEAR(Invoer!$A$5),1,1)+1),"jjjjmmdd")</f>
        <v>19400822</v>
      </c>
      <c r="C602" s="18">
        <v>1</v>
      </c>
      <c r="D602" s="23">
        <f t="shared" ca="1" si="18"/>
        <v>0</v>
      </c>
      <c r="E602" s="24">
        <f t="shared" ca="1" si="19"/>
        <v>0</v>
      </c>
    </row>
    <row r="603" spans="1:5" x14ac:dyDescent="0.25">
      <c r="A603" s="17">
        <f ca="1">INDEX(Stations,INT((ROWS(A$2:A603)-1)/(DATE(YEAR(Invoer!$A$5),12,31)-DATE(YEAR(Invoer!$A$5),1,1)+1))+2,1)</f>
        <v>83</v>
      </c>
      <c r="B603" t="str">
        <f ca="1">TEXT(DATE(YEAR(Invoer!$A$5),1,1)+MOD(ROWS(B$2:B603)-1,DATE(YEAR(Invoer!$A$5),12,31)-DATE(YEAR(Invoer!$A$5),1,1)+1),"jjjjmmdd")</f>
        <v>19400823</v>
      </c>
      <c r="C603" s="18">
        <v>1</v>
      </c>
      <c r="D603" s="23">
        <f t="shared" ca="1" si="18"/>
        <v>0</v>
      </c>
      <c r="E603" s="24">
        <f t="shared" ca="1" si="19"/>
        <v>0</v>
      </c>
    </row>
    <row r="604" spans="1:5" x14ac:dyDescent="0.25">
      <c r="A604" s="17">
        <f ca="1">INDEX(Stations,INT((ROWS(A$2:A604)-1)/(DATE(YEAR(Invoer!$A$5),12,31)-DATE(YEAR(Invoer!$A$5),1,1)+1))+2,1)</f>
        <v>83</v>
      </c>
      <c r="B604" t="str">
        <f ca="1">TEXT(DATE(YEAR(Invoer!$A$5),1,1)+MOD(ROWS(B$2:B604)-1,DATE(YEAR(Invoer!$A$5),12,31)-DATE(YEAR(Invoer!$A$5),1,1)+1),"jjjjmmdd")</f>
        <v>19400824</v>
      </c>
      <c r="C604" s="18">
        <v>1</v>
      </c>
      <c r="D604" s="23">
        <f t="shared" ca="1" si="18"/>
        <v>0</v>
      </c>
      <c r="E604" s="24">
        <f t="shared" ca="1" si="19"/>
        <v>0</v>
      </c>
    </row>
    <row r="605" spans="1:5" x14ac:dyDescent="0.25">
      <c r="A605" s="17">
        <f ca="1">INDEX(Stations,INT((ROWS(A$2:A605)-1)/(DATE(YEAR(Invoer!$A$5),12,31)-DATE(YEAR(Invoer!$A$5),1,1)+1))+2,1)</f>
        <v>83</v>
      </c>
      <c r="B605" t="str">
        <f ca="1">TEXT(DATE(YEAR(Invoer!$A$5),1,1)+MOD(ROWS(B$2:B605)-1,DATE(YEAR(Invoer!$A$5),12,31)-DATE(YEAR(Invoer!$A$5),1,1)+1),"jjjjmmdd")</f>
        <v>19400825</v>
      </c>
      <c r="C605" s="18">
        <v>1</v>
      </c>
      <c r="D605" s="23">
        <f t="shared" ca="1" si="18"/>
        <v>0</v>
      </c>
      <c r="E605" s="24">
        <f t="shared" ca="1" si="19"/>
        <v>0</v>
      </c>
    </row>
    <row r="606" spans="1:5" x14ac:dyDescent="0.25">
      <c r="A606" s="17">
        <f ca="1">INDEX(Stations,INT((ROWS(A$2:A606)-1)/(DATE(YEAR(Invoer!$A$5),12,31)-DATE(YEAR(Invoer!$A$5),1,1)+1))+2,1)</f>
        <v>83</v>
      </c>
      <c r="B606" t="str">
        <f ca="1">TEXT(DATE(YEAR(Invoer!$A$5),1,1)+MOD(ROWS(B$2:B606)-1,DATE(YEAR(Invoer!$A$5),12,31)-DATE(YEAR(Invoer!$A$5),1,1)+1),"jjjjmmdd")</f>
        <v>19400826</v>
      </c>
      <c r="C606" s="18">
        <v>1</v>
      </c>
      <c r="D606" s="23">
        <f t="shared" ca="1" si="18"/>
        <v>0</v>
      </c>
      <c r="E606" s="24">
        <f t="shared" ca="1" si="19"/>
        <v>0</v>
      </c>
    </row>
    <row r="607" spans="1:5" x14ac:dyDescent="0.25">
      <c r="A607" s="17">
        <f ca="1">INDEX(Stations,INT((ROWS(A$2:A607)-1)/(DATE(YEAR(Invoer!$A$5),12,31)-DATE(YEAR(Invoer!$A$5),1,1)+1))+2,1)</f>
        <v>83</v>
      </c>
      <c r="B607" t="str">
        <f ca="1">TEXT(DATE(YEAR(Invoer!$A$5),1,1)+MOD(ROWS(B$2:B607)-1,DATE(YEAR(Invoer!$A$5),12,31)-DATE(YEAR(Invoer!$A$5),1,1)+1),"jjjjmmdd")</f>
        <v>19400827</v>
      </c>
      <c r="C607" s="18">
        <v>1</v>
      </c>
      <c r="D607" s="23">
        <f t="shared" ca="1" si="18"/>
        <v>20</v>
      </c>
      <c r="E607" s="24">
        <f t="shared" ca="1" si="19"/>
        <v>0</v>
      </c>
    </row>
    <row r="608" spans="1:5" x14ac:dyDescent="0.25">
      <c r="A608" s="17">
        <f ca="1">INDEX(Stations,INT((ROWS(A$2:A608)-1)/(DATE(YEAR(Invoer!$A$5),12,31)-DATE(YEAR(Invoer!$A$5),1,1)+1))+2,1)</f>
        <v>83</v>
      </c>
      <c r="B608" t="str">
        <f ca="1">TEXT(DATE(YEAR(Invoer!$A$5),1,1)+MOD(ROWS(B$2:B608)-1,DATE(YEAR(Invoer!$A$5),12,31)-DATE(YEAR(Invoer!$A$5),1,1)+1),"jjjjmmdd")</f>
        <v>19400828</v>
      </c>
      <c r="C608" s="18">
        <v>1</v>
      </c>
      <c r="D608" s="23">
        <f t="shared" ca="1" si="18"/>
        <v>0</v>
      </c>
      <c r="E608" s="24">
        <f t="shared" ca="1" si="19"/>
        <v>0</v>
      </c>
    </row>
    <row r="609" spans="1:5" x14ac:dyDescent="0.25">
      <c r="A609" s="17">
        <f ca="1">INDEX(Stations,INT((ROWS(A$2:A609)-1)/(DATE(YEAR(Invoer!$A$5),12,31)-DATE(YEAR(Invoer!$A$5),1,1)+1))+2,1)</f>
        <v>83</v>
      </c>
      <c r="B609" t="str">
        <f ca="1">TEXT(DATE(YEAR(Invoer!$A$5),1,1)+MOD(ROWS(B$2:B609)-1,DATE(YEAR(Invoer!$A$5),12,31)-DATE(YEAR(Invoer!$A$5),1,1)+1),"jjjjmmdd")</f>
        <v>19400829</v>
      </c>
      <c r="C609" s="18">
        <v>1</v>
      </c>
      <c r="D609" s="23">
        <f t="shared" ca="1" si="18"/>
        <v>0</v>
      </c>
      <c r="E609" s="24">
        <f t="shared" ca="1" si="19"/>
        <v>0</v>
      </c>
    </row>
    <row r="610" spans="1:5" x14ac:dyDescent="0.25">
      <c r="A610" s="17">
        <f ca="1">INDEX(Stations,INT((ROWS(A$2:A610)-1)/(DATE(YEAR(Invoer!$A$5),12,31)-DATE(YEAR(Invoer!$A$5),1,1)+1))+2,1)</f>
        <v>83</v>
      </c>
      <c r="B610" t="str">
        <f ca="1">TEXT(DATE(YEAR(Invoer!$A$5),1,1)+MOD(ROWS(B$2:B610)-1,DATE(YEAR(Invoer!$A$5),12,31)-DATE(YEAR(Invoer!$A$5),1,1)+1),"jjjjmmdd")</f>
        <v>19400830</v>
      </c>
      <c r="C610" s="18">
        <v>1</v>
      </c>
      <c r="D610" s="23">
        <f t="shared" ca="1" si="18"/>
        <v>0</v>
      </c>
      <c r="E610" s="24">
        <f t="shared" ca="1" si="19"/>
        <v>0</v>
      </c>
    </row>
    <row r="611" spans="1:5" x14ac:dyDescent="0.25">
      <c r="A611" s="17">
        <f ca="1">INDEX(Stations,INT((ROWS(A$2:A611)-1)/(DATE(YEAR(Invoer!$A$5),12,31)-DATE(YEAR(Invoer!$A$5),1,1)+1))+2,1)</f>
        <v>83</v>
      </c>
      <c r="B611" t="str">
        <f ca="1">TEXT(DATE(YEAR(Invoer!$A$5),1,1)+MOD(ROWS(B$2:B611)-1,DATE(YEAR(Invoer!$A$5),12,31)-DATE(YEAR(Invoer!$A$5),1,1)+1),"jjjjmmdd")</f>
        <v>19400831</v>
      </c>
      <c r="C611" s="18">
        <v>1</v>
      </c>
      <c r="D611" s="23">
        <f t="shared" ca="1" si="18"/>
        <v>270</v>
      </c>
      <c r="E611" s="24">
        <f t="shared" ca="1" si="19"/>
        <v>0</v>
      </c>
    </row>
    <row r="612" spans="1:5" x14ac:dyDescent="0.25">
      <c r="A612" s="17">
        <f ca="1">INDEX(Stations,INT((ROWS(A$2:A612)-1)/(DATE(YEAR(Invoer!$A$5),12,31)-DATE(YEAR(Invoer!$A$5),1,1)+1))+2,1)</f>
        <v>83</v>
      </c>
      <c r="B612" t="str">
        <f ca="1">TEXT(DATE(YEAR(Invoer!$A$5),1,1)+MOD(ROWS(B$2:B612)-1,DATE(YEAR(Invoer!$A$5),12,31)-DATE(YEAR(Invoer!$A$5),1,1)+1),"jjjjmmdd")</f>
        <v>19400901</v>
      </c>
      <c r="C612" s="18">
        <v>1</v>
      </c>
      <c r="D612" s="23">
        <f t="shared" ca="1" si="18"/>
        <v>0</v>
      </c>
      <c r="E612" s="24">
        <f t="shared" ca="1" si="19"/>
        <v>0</v>
      </c>
    </row>
    <row r="613" spans="1:5" x14ac:dyDescent="0.25">
      <c r="A613" s="17">
        <f ca="1">INDEX(Stations,INT((ROWS(A$2:A613)-1)/(DATE(YEAR(Invoer!$A$5),12,31)-DATE(YEAR(Invoer!$A$5),1,1)+1))+2,1)</f>
        <v>83</v>
      </c>
      <c r="B613" t="str">
        <f ca="1">TEXT(DATE(YEAR(Invoer!$A$5),1,1)+MOD(ROWS(B$2:B613)-1,DATE(YEAR(Invoer!$A$5),12,31)-DATE(YEAR(Invoer!$A$5),1,1)+1),"jjjjmmdd")</f>
        <v>19400902</v>
      </c>
      <c r="C613" s="18">
        <v>1</v>
      </c>
      <c r="D613" s="23">
        <f t="shared" ca="1" si="18"/>
        <v>0</v>
      </c>
      <c r="E613" s="24">
        <f t="shared" ca="1" si="19"/>
        <v>0</v>
      </c>
    </row>
    <row r="614" spans="1:5" x14ac:dyDescent="0.25">
      <c r="A614" s="17">
        <f ca="1">INDEX(Stations,INT((ROWS(A$2:A614)-1)/(DATE(YEAR(Invoer!$A$5),12,31)-DATE(YEAR(Invoer!$A$5),1,1)+1))+2,1)</f>
        <v>83</v>
      </c>
      <c r="B614" t="str">
        <f ca="1">TEXT(DATE(YEAR(Invoer!$A$5),1,1)+MOD(ROWS(B$2:B614)-1,DATE(YEAR(Invoer!$A$5),12,31)-DATE(YEAR(Invoer!$A$5),1,1)+1),"jjjjmmdd")</f>
        <v>19400903</v>
      </c>
      <c r="C614" s="18">
        <v>1</v>
      </c>
      <c r="D614" s="23">
        <f t="shared" ca="1" si="18"/>
        <v>0</v>
      </c>
      <c r="E614" s="24">
        <f t="shared" ca="1" si="19"/>
        <v>0</v>
      </c>
    </row>
    <row r="615" spans="1:5" x14ac:dyDescent="0.25">
      <c r="A615" s="17">
        <f ca="1">INDEX(Stations,INT((ROWS(A$2:A615)-1)/(DATE(YEAR(Invoer!$A$5),12,31)-DATE(YEAR(Invoer!$A$5),1,1)+1))+2,1)</f>
        <v>83</v>
      </c>
      <c r="B615" t="str">
        <f ca="1">TEXT(DATE(YEAR(Invoer!$A$5),1,1)+MOD(ROWS(B$2:B615)-1,DATE(YEAR(Invoer!$A$5),12,31)-DATE(YEAR(Invoer!$A$5),1,1)+1),"jjjjmmdd")</f>
        <v>19400904</v>
      </c>
      <c r="C615" s="18">
        <v>1</v>
      </c>
      <c r="D615" s="23">
        <f t="shared" ca="1" si="18"/>
        <v>30</v>
      </c>
      <c r="E615" s="24">
        <f t="shared" ca="1" si="19"/>
        <v>0</v>
      </c>
    </row>
    <row r="616" spans="1:5" x14ac:dyDescent="0.25">
      <c r="A616" s="17">
        <f ca="1">INDEX(Stations,INT((ROWS(A$2:A616)-1)/(DATE(YEAR(Invoer!$A$5),12,31)-DATE(YEAR(Invoer!$A$5),1,1)+1))+2,1)</f>
        <v>83</v>
      </c>
      <c r="B616" t="str">
        <f ca="1">TEXT(DATE(YEAR(Invoer!$A$5),1,1)+MOD(ROWS(B$2:B616)-1,DATE(YEAR(Invoer!$A$5),12,31)-DATE(YEAR(Invoer!$A$5),1,1)+1),"jjjjmmdd")</f>
        <v>19400905</v>
      </c>
      <c r="C616" s="18">
        <v>1</v>
      </c>
      <c r="D616" s="23">
        <f t="shared" ca="1" si="18"/>
        <v>150</v>
      </c>
      <c r="E616" s="24">
        <f t="shared" ca="1" si="19"/>
        <v>0</v>
      </c>
    </row>
    <row r="617" spans="1:5" x14ac:dyDescent="0.25">
      <c r="A617" s="17">
        <f ca="1">INDEX(Stations,INT((ROWS(A$2:A617)-1)/(DATE(YEAR(Invoer!$A$5),12,31)-DATE(YEAR(Invoer!$A$5),1,1)+1))+2,1)</f>
        <v>83</v>
      </c>
      <c r="B617" t="str">
        <f ca="1">TEXT(DATE(YEAR(Invoer!$A$5),1,1)+MOD(ROWS(B$2:B617)-1,DATE(YEAR(Invoer!$A$5),12,31)-DATE(YEAR(Invoer!$A$5),1,1)+1),"jjjjmmdd")</f>
        <v>19400906</v>
      </c>
      <c r="C617" s="18">
        <v>1</v>
      </c>
      <c r="D617" s="23">
        <f t="shared" ca="1" si="18"/>
        <v>110</v>
      </c>
      <c r="E617" s="24">
        <f t="shared" ca="1" si="19"/>
        <v>0</v>
      </c>
    </row>
    <row r="618" spans="1:5" x14ac:dyDescent="0.25">
      <c r="A618" s="17">
        <f ca="1">INDEX(Stations,INT((ROWS(A$2:A618)-1)/(DATE(YEAR(Invoer!$A$5),12,31)-DATE(YEAR(Invoer!$A$5),1,1)+1))+2,1)</f>
        <v>83</v>
      </c>
      <c r="B618" t="str">
        <f ca="1">TEXT(DATE(YEAR(Invoer!$A$5),1,1)+MOD(ROWS(B$2:B618)-1,DATE(YEAR(Invoer!$A$5),12,31)-DATE(YEAR(Invoer!$A$5),1,1)+1),"jjjjmmdd")</f>
        <v>19400907</v>
      </c>
      <c r="C618" s="18">
        <v>1</v>
      </c>
      <c r="D618" s="23">
        <f t="shared" ca="1" si="18"/>
        <v>0</v>
      </c>
      <c r="E618" s="24">
        <f t="shared" ca="1" si="19"/>
        <v>0</v>
      </c>
    </row>
    <row r="619" spans="1:5" x14ac:dyDescent="0.25">
      <c r="A619" s="17">
        <f ca="1">INDEX(Stations,INT((ROWS(A$2:A619)-1)/(DATE(YEAR(Invoer!$A$5),12,31)-DATE(YEAR(Invoer!$A$5),1,1)+1))+2,1)</f>
        <v>83</v>
      </c>
      <c r="B619" t="str">
        <f ca="1">TEXT(DATE(YEAR(Invoer!$A$5),1,1)+MOD(ROWS(B$2:B619)-1,DATE(YEAR(Invoer!$A$5),12,31)-DATE(YEAR(Invoer!$A$5),1,1)+1),"jjjjmmdd")</f>
        <v>19400908</v>
      </c>
      <c r="C619" s="18">
        <v>1</v>
      </c>
      <c r="D619" s="23">
        <f t="shared" ca="1" si="18"/>
        <v>0</v>
      </c>
      <c r="E619" s="24">
        <f t="shared" ca="1" si="19"/>
        <v>0</v>
      </c>
    </row>
    <row r="620" spans="1:5" x14ac:dyDescent="0.25">
      <c r="A620" s="17">
        <f ca="1">INDEX(Stations,INT((ROWS(A$2:A620)-1)/(DATE(YEAR(Invoer!$A$5),12,31)-DATE(YEAR(Invoer!$A$5),1,1)+1))+2,1)</f>
        <v>83</v>
      </c>
      <c r="B620" t="str">
        <f ca="1">TEXT(DATE(YEAR(Invoer!$A$5),1,1)+MOD(ROWS(B$2:B620)-1,DATE(YEAR(Invoer!$A$5),12,31)-DATE(YEAR(Invoer!$A$5),1,1)+1),"jjjjmmdd")</f>
        <v>19400909</v>
      </c>
      <c r="C620" s="18">
        <v>1</v>
      </c>
      <c r="D620" s="23">
        <f t="shared" ca="1" si="18"/>
        <v>0</v>
      </c>
      <c r="E620" s="24">
        <f t="shared" ca="1" si="19"/>
        <v>0</v>
      </c>
    </row>
    <row r="621" spans="1:5" x14ac:dyDescent="0.25">
      <c r="A621" s="17">
        <f ca="1">INDEX(Stations,INT((ROWS(A$2:A621)-1)/(DATE(YEAR(Invoer!$A$5),12,31)-DATE(YEAR(Invoer!$A$5),1,1)+1))+2,1)</f>
        <v>83</v>
      </c>
      <c r="B621" t="str">
        <f ca="1">TEXT(DATE(YEAR(Invoer!$A$5),1,1)+MOD(ROWS(B$2:B621)-1,DATE(YEAR(Invoer!$A$5),12,31)-DATE(YEAR(Invoer!$A$5),1,1)+1),"jjjjmmdd")</f>
        <v>19400910</v>
      </c>
      <c r="C621" s="18">
        <v>1</v>
      </c>
      <c r="D621" s="23">
        <f t="shared" ca="1" si="18"/>
        <v>0</v>
      </c>
      <c r="E621" s="24">
        <f t="shared" ca="1" si="19"/>
        <v>0</v>
      </c>
    </row>
    <row r="622" spans="1:5" x14ac:dyDescent="0.25">
      <c r="A622" s="17">
        <f ca="1">INDEX(Stations,INT((ROWS(A$2:A622)-1)/(DATE(YEAR(Invoer!$A$5),12,31)-DATE(YEAR(Invoer!$A$5),1,1)+1))+2,1)</f>
        <v>83</v>
      </c>
      <c r="B622" t="str">
        <f ca="1">TEXT(DATE(YEAR(Invoer!$A$5),1,1)+MOD(ROWS(B$2:B622)-1,DATE(YEAR(Invoer!$A$5),12,31)-DATE(YEAR(Invoer!$A$5),1,1)+1),"jjjjmmdd")</f>
        <v>19400911</v>
      </c>
      <c r="C622" s="18">
        <v>1</v>
      </c>
      <c r="D622" s="23">
        <f t="shared" ca="1" si="18"/>
        <v>0</v>
      </c>
      <c r="E622" s="24">
        <f t="shared" ca="1" si="19"/>
        <v>0</v>
      </c>
    </row>
    <row r="623" spans="1:5" x14ac:dyDescent="0.25">
      <c r="A623" s="17">
        <f ca="1">INDEX(Stations,INT((ROWS(A$2:A623)-1)/(DATE(YEAR(Invoer!$A$5),12,31)-DATE(YEAR(Invoer!$A$5),1,1)+1))+2,1)</f>
        <v>83</v>
      </c>
      <c r="B623" t="str">
        <f ca="1">TEXT(DATE(YEAR(Invoer!$A$5),1,1)+MOD(ROWS(B$2:B623)-1,DATE(YEAR(Invoer!$A$5),12,31)-DATE(YEAR(Invoer!$A$5),1,1)+1),"jjjjmmdd")</f>
        <v>19400912</v>
      </c>
      <c r="C623" s="18">
        <v>1</v>
      </c>
      <c r="D623" s="23">
        <f t="shared" ca="1" si="18"/>
        <v>0</v>
      </c>
      <c r="E623" s="24">
        <f t="shared" ca="1" si="19"/>
        <v>0</v>
      </c>
    </row>
    <row r="624" spans="1:5" x14ac:dyDescent="0.25">
      <c r="A624" s="17">
        <f ca="1">INDEX(Stations,INT((ROWS(A$2:A624)-1)/(DATE(YEAR(Invoer!$A$5),12,31)-DATE(YEAR(Invoer!$A$5),1,1)+1))+2,1)</f>
        <v>83</v>
      </c>
      <c r="B624" t="str">
        <f ca="1">TEXT(DATE(YEAR(Invoer!$A$5),1,1)+MOD(ROWS(B$2:B624)-1,DATE(YEAR(Invoer!$A$5),12,31)-DATE(YEAR(Invoer!$A$5),1,1)+1),"jjjjmmdd")</f>
        <v>19400913</v>
      </c>
      <c r="C624" s="18">
        <v>1</v>
      </c>
      <c r="D624" s="23">
        <f t="shared" ca="1" si="18"/>
        <v>0</v>
      </c>
      <c r="E624" s="24">
        <f t="shared" ca="1" si="19"/>
        <v>0</v>
      </c>
    </row>
    <row r="625" spans="1:5" x14ac:dyDescent="0.25">
      <c r="A625" s="17">
        <f ca="1">INDEX(Stations,INT((ROWS(A$2:A625)-1)/(DATE(YEAR(Invoer!$A$5),12,31)-DATE(YEAR(Invoer!$A$5),1,1)+1))+2,1)</f>
        <v>83</v>
      </c>
      <c r="B625" t="str">
        <f ca="1">TEXT(DATE(YEAR(Invoer!$A$5),1,1)+MOD(ROWS(B$2:B625)-1,DATE(YEAR(Invoer!$A$5),12,31)-DATE(YEAR(Invoer!$A$5),1,1)+1),"jjjjmmdd")</f>
        <v>19400914</v>
      </c>
      <c r="C625" s="18">
        <v>1</v>
      </c>
      <c r="D625" s="23">
        <f t="shared" ca="1" si="18"/>
        <v>0</v>
      </c>
      <c r="E625" s="24">
        <f t="shared" ca="1" si="19"/>
        <v>0</v>
      </c>
    </row>
    <row r="626" spans="1:5" x14ac:dyDescent="0.25">
      <c r="A626" s="17">
        <f ca="1">INDEX(Stations,INT((ROWS(A$2:A626)-1)/(DATE(YEAR(Invoer!$A$5),12,31)-DATE(YEAR(Invoer!$A$5),1,1)+1))+2,1)</f>
        <v>83</v>
      </c>
      <c r="B626" t="str">
        <f ca="1">TEXT(DATE(YEAR(Invoer!$A$5),1,1)+MOD(ROWS(B$2:B626)-1,DATE(YEAR(Invoer!$A$5),12,31)-DATE(YEAR(Invoer!$A$5),1,1)+1),"jjjjmmdd")</f>
        <v>19400915</v>
      </c>
      <c r="C626" s="18">
        <v>1</v>
      </c>
      <c r="D626" s="23">
        <f t="shared" ca="1" si="18"/>
        <v>0</v>
      </c>
      <c r="E626" s="24">
        <f t="shared" ca="1" si="19"/>
        <v>0</v>
      </c>
    </row>
    <row r="627" spans="1:5" x14ac:dyDescent="0.25">
      <c r="A627" s="17">
        <f ca="1">INDEX(Stations,INT((ROWS(A$2:A627)-1)/(DATE(YEAR(Invoer!$A$5),12,31)-DATE(YEAR(Invoer!$A$5),1,1)+1))+2,1)</f>
        <v>83</v>
      </c>
      <c r="B627" t="str">
        <f ca="1">TEXT(DATE(YEAR(Invoer!$A$5),1,1)+MOD(ROWS(B$2:B627)-1,DATE(YEAR(Invoer!$A$5),12,31)-DATE(YEAR(Invoer!$A$5),1,1)+1),"jjjjmmdd")</f>
        <v>19400916</v>
      </c>
      <c r="C627" s="18">
        <v>1</v>
      </c>
      <c r="D627" s="23">
        <f t="shared" ca="1" si="18"/>
        <v>0</v>
      </c>
      <c r="E627" s="24">
        <f t="shared" ca="1" si="19"/>
        <v>0</v>
      </c>
    </row>
    <row r="628" spans="1:5" x14ac:dyDescent="0.25">
      <c r="A628" s="17">
        <f ca="1">INDEX(Stations,INT((ROWS(A$2:A628)-1)/(DATE(YEAR(Invoer!$A$5),12,31)-DATE(YEAR(Invoer!$A$5),1,1)+1))+2,1)</f>
        <v>83</v>
      </c>
      <c r="B628" t="str">
        <f ca="1">TEXT(DATE(YEAR(Invoer!$A$5),1,1)+MOD(ROWS(B$2:B628)-1,DATE(YEAR(Invoer!$A$5),12,31)-DATE(YEAR(Invoer!$A$5),1,1)+1),"jjjjmmdd")</f>
        <v>19400917</v>
      </c>
      <c r="C628" s="18">
        <v>1</v>
      </c>
      <c r="D628" s="23">
        <f t="shared" ca="1" si="18"/>
        <v>75</v>
      </c>
      <c r="E628" s="24">
        <f t="shared" ca="1" si="19"/>
        <v>0</v>
      </c>
    </row>
    <row r="629" spans="1:5" x14ac:dyDescent="0.25">
      <c r="A629" s="17">
        <f ca="1">INDEX(Stations,INT((ROWS(A$2:A629)-1)/(DATE(YEAR(Invoer!$A$5),12,31)-DATE(YEAR(Invoer!$A$5),1,1)+1))+2,1)</f>
        <v>83</v>
      </c>
      <c r="B629" t="str">
        <f ca="1">TEXT(DATE(YEAR(Invoer!$A$5),1,1)+MOD(ROWS(B$2:B629)-1,DATE(YEAR(Invoer!$A$5),12,31)-DATE(YEAR(Invoer!$A$5),1,1)+1),"jjjjmmdd")</f>
        <v>19400918</v>
      </c>
      <c r="C629" s="18">
        <v>1</v>
      </c>
      <c r="D629" s="23">
        <f t="shared" ca="1" si="18"/>
        <v>300</v>
      </c>
      <c r="E629" s="24">
        <f t="shared" ca="1" si="19"/>
        <v>0</v>
      </c>
    </row>
    <row r="630" spans="1:5" x14ac:dyDescent="0.25">
      <c r="A630" s="17">
        <f ca="1">INDEX(Stations,INT((ROWS(A$2:A630)-1)/(DATE(YEAR(Invoer!$A$5),12,31)-DATE(YEAR(Invoer!$A$5),1,1)+1))+2,1)</f>
        <v>83</v>
      </c>
      <c r="B630" t="str">
        <f ca="1">TEXT(DATE(YEAR(Invoer!$A$5),1,1)+MOD(ROWS(B$2:B630)-1,DATE(YEAR(Invoer!$A$5),12,31)-DATE(YEAR(Invoer!$A$5),1,1)+1),"jjjjmmdd")</f>
        <v>19400919</v>
      </c>
      <c r="C630" s="18">
        <v>1</v>
      </c>
      <c r="D630" s="23">
        <f t="shared" ca="1" si="18"/>
        <v>0</v>
      </c>
      <c r="E630" s="24">
        <f t="shared" ca="1" si="19"/>
        <v>0</v>
      </c>
    </row>
    <row r="631" spans="1:5" x14ac:dyDescent="0.25">
      <c r="A631" s="17">
        <f ca="1">INDEX(Stations,INT((ROWS(A$2:A631)-1)/(DATE(YEAR(Invoer!$A$5),12,31)-DATE(YEAR(Invoer!$A$5),1,1)+1))+2,1)</f>
        <v>83</v>
      </c>
      <c r="B631" t="str">
        <f ca="1">TEXT(DATE(YEAR(Invoer!$A$5),1,1)+MOD(ROWS(B$2:B631)-1,DATE(YEAR(Invoer!$A$5),12,31)-DATE(YEAR(Invoer!$A$5),1,1)+1),"jjjjmmdd")</f>
        <v>19400920</v>
      </c>
      <c r="C631" s="18">
        <v>1</v>
      </c>
      <c r="D631" s="23">
        <f t="shared" ca="1" si="18"/>
        <v>0</v>
      </c>
      <c r="E631" s="24">
        <f t="shared" ca="1" si="19"/>
        <v>0</v>
      </c>
    </row>
    <row r="632" spans="1:5" x14ac:dyDescent="0.25">
      <c r="A632" s="17">
        <f ca="1">INDEX(Stations,INT((ROWS(A$2:A632)-1)/(DATE(YEAR(Invoer!$A$5),12,31)-DATE(YEAR(Invoer!$A$5),1,1)+1))+2,1)</f>
        <v>83</v>
      </c>
      <c r="B632" t="str">
        <f ca="1">TEXT(DATE(YEAR(Invoer!$A$5),1,1)+MOD(ROWS(B$2:B632)-1,DATE(YEAR(Invoer!$A$5),12,31)-DATE(YEAR(Invoer!$A$5),1,1)+1),"jjjjmmdd")</f>
        <v>19400921</v>
      </c>
      <c r="C632" s="18">
        <v>1</v>
      </c>
      <c r="D632" s="23">
        <f t="shared" ca="1" si="18"/>
        <v>60</v>
      </c>
      <c r="E632" s="24">
        <f t="shared" ca="1" si="19"/>
        <v>0</v>
      </c>
    </row>
    <row r="633" spans="1:5" x14ac:dyDescent="0.25">
      <c r="A633" s="17">
        <f ca="1">INDEX(Stations,INT((ROWS(A$2:A633)-1)/(DATE(YEAR(Invoer!$A$5),12,31)-DATE(YEAR(Invoer!$A$5),1,1)+1))+2,1)</f>
        <v>83</v>
      </c>
      <c r="B633" t="str">
        <f ca="1">TEXT(DATE(YEAR(Invoer!$A$5),1,1)+MOD(ROWS(B$2:B633)-1,DATE(YEAR(Invoer!$A$5),12,31)-DATE(YEAR(Invoer!$A$5),1,1)+1),"jjjjmmdd")</f>
        <v>19400922</v>
      </c>
      <c r="C633" s="18">
        <v>1</v>
      </c>
      <c r="D633" s="23">
        <f t="shared" ca="1" si="18"/>
        <v>0</v>
      </c>
      <c r="E633" s="24">
        <f t="shared" ca="1" si="19"/>
        <v>0</v>
      </c>
    </row>
    <row r="634" spans="1:5" x14ac:dyDescent="0.25">
      <c r="A634" s="17">
        <f ca="1">INDEX(Stations,INT((ROWS(A$2:A634)-1)/(DATE(YEAR(Invoer!$A$5),12,31)-DATE(YEAR(Invoer!$A$5),1,1)+1))+2,1)</f>
        <v>83</v>
      </c>
      <c r="B634" t="str">
        <f ca="1">TEXT(DATE(YEAR(Invoer!$A$5),1,1)+MOD(ROWS(B$2:B634)-1,DATE(YEAR(Invoer!$A$5),12,31)-DATE(YEAR(Invoer!$A$5),1,1)+1),"jjjjmmdd")</f>
        <v>19400923</v>
      </c>
      <c r="C634" s="18">
        <v>1</v>
      </c>
      <c r="D634" s="23">
        <f t="shared" ca="1" si="18"/>
        <v>30</v>
      </c>
      <c r="E634" s="24">
        <f t="shared" ca="1" si="19"/>
        <v>0</v>
      </c>
    </row>
    <row r="635" spans="1:5" x14ac:dyDescent="0.25">
      <c r="A635" s="17">
        <f ca="1">INDEX(Stations,INT((ROWS(A$2:A635)-1)/(DATE(YEAR(Invoer!$A$5),12,31)-DATE(YEAR(Invoer!$A$5),1,1)+1))+2,1)</f>
        <v>83</v>
      </c>
      <c r="B635" t="str">
        <f ca="1">TEXT(DATE(YEAR(Invoer!$A$5),1,1)+MOD(ROWS(B$2:B635)-1,DATE(YEAR(Invoer!$A$5),12,31)-DATE(YEAR(Invoer!$A$5),1,1)+1),"jjjjmmdd")</f>
        <v>19400924</v>
      </c>
      <c r="C635" s="18">
        <v>1</v>
      </c>
      <c r="D635" s="23">
        <f t="shared" ca="1" si="18"/>
        <v>0</v>
      </c>
      <c r="E635" s="24">
        <f t="shared" ca="1" si="19"/>
        <v>0</v>
      </c>
    </row>
    <row r="636" spans="1:5" x14ac:dyDescent="0.25">
      <c r="A636" s="17">
        <f ca="1">INDEX(Stations,INT((ROWS(A$2:A636)-1)/(DATE(YEAR(Invoer!$A$5),12,31)-DATE(YEAR(Invoer!$A$5),1,1)+1))+2,1)</f>
        <v>83</v>
      </c>
      <c r="B636" t="str">
        <f ca="1">TEXT(DATE(YEAR(Invoer!$A$5),1,1)+MOD(ROWS(B$2:B636)-1,DATE(YEAR(Invoer!$A$5),12,31)-DATE(YEAR(Invoer!$A$5),1,1)+1),"jjjjmmdd")</f>
        <v>19400925</v>
      </c>
      <c r="C636" s="18">
        <v>1</v>
      </c>
      <c r="D636" s="23">
        <f t="shared" ca="1" si="18"/>
        <v>20</v>
      </c>
      <c r="E636" s="24">
        <f t="shared" ca="1" si="19"/>
        <v>0</v>
      </c>
    </row>
    <row r="637" spans="1:5" x14ac:dyDescent="0.25">
      <c r="A637" s="17">
        <f ca="1">INDEX(Stations,INT((ROWS(A$2:A637)-1)/(DATE(YEAR(Invoer!$A$5),12,31)-DATE(YEAR(Invoer!$A$5),1,1)+1))+2,1)</f>
        <v>83</v>
      </c>
      <c r="B637" t="str">
        <f ca="1">TEXT(DATE(YEAR(Invoer!$A$5),1,1)+MOD(ROWS(B$2:B637)-1,DATE(YEAR(Invoer!$A$5),12,31)-DATE(YEAR(Invoer!$A$5),1,1)+1),"jjjjmmdd")</f>
        <v>19400926</v>
      </c>
      <c r="C637" s="18">
        <v>1</v>
      </c>
      <c r="D637" s="23">
        <f t="shared" ca="1" si="18"/>
        <v>0</v>
      </c>
      <c r="E637" s="24">
        <f t="shared" ca="1" si="19"/>
        <v>0</v>
      </c>
    </row>
    <row r="638" spans="1:5" x14ac:dyDescent="0.25">
      <c r="A638" s="17">
        <f ca="1">INDEX(Stations,INT((ROWS(A$2:A638)-1)/(DATE(YEAR(Invoer!$A$5),12,31)-DATE(YEAR(Invoer!$A$5),1,1)+1))+2,1)</f>
        <v>83</v>
      </c>
      <c r="B638" t="str">
        <f ca="1">TEXT(DATE(YEAR(Invoer!$A$5),1,1)+MOD(ROWS(B$2:B638)-1,DATE(YEAR(Invoer!$A$5),12,31)-DATE(YEAR(Invoer!$A$5),1,1)+1),"jjjjmmdd")</f>
        <v>19400927</v>
      </c>
      <c r="C638" s="18">
        <v>1</v>
      </c>
      <c r="D638" s="23">
        <f t="shared" ca="1" si="18"/>
        <v>0</v>
      </c>
      <c r="E638" s="24">
        <f t="shared" ca="1" si="19"/>
        <v>0</v>
      </c>
    </row>
    <row r="639" spans="1:5" x14ac:dyDescent="0.25">
      <c r="A639" s="17">
        <f ca="1">INDEX(Stations,INT((ROWS(A$2:A639)-1)/(DATE(YEAR(Invoer!$A$5),12,31)-DATE(YEAR(Invoer!$A$5),1,1)+1))+2,1)</f>
        <v>83</v>
      </c>
      <c r="B639" t="str">
        <f ca="1">TEXT(DATE(YEAR(Invoer!$A$5),1,1)+MOD(ROWS(B$2:B639)-1,DATE(YEAR(Invoer!$A$5),12,31)-DATE(YEAR(Invoer!$A$5),1,1)+1),"jjjjmmdd")</f>
        <v>19400928</v>
      </c>
      <c r="C639" s="18">
        <v>1</v>
      </c>
      <c r="D639" s="23">
        <f t="shared" ca="1" si="18"/>
        <v>0</v>
      </c>
      <c r="E639" s="24">
        <f t="shared" ca="1" si="19"/>
        <v>0</v>
      </c>
    </row>
    <row r="640" spans="1:5" x14ac:dyDescent="0.25">
      <c r="A640" s="17">
        <f ca="1">INDEX(Stations,INT((ROWS(A$2:A640)-1)/(DATE(YEAR(Invoer!$A$5),12,31)-DATE(YEAR(Invoer!$A$5),1,1)+1))+2,1)</f>
        <v>83</v>
      </c>
      <c r="B640" t="str">
        <f ca="1">TEXT(DATE(YEAR(Invoer!$A$5),1,1)+MOD(ROWS(B$2:B640)-1,DATE(YEAR(Invoer!$A$5),12,31)-DATE(YEAR(Invoer!$A$5),1,1)+1),"jjjjmmdd")</f>
        <v>19400929</v>
      </c>
      <c r="C640" s="18">
        <v>1</v>
      </c>
      <c r="D640" s="23">
        <f t="shared" ca="1" si="18"/>
        <v>520</v>
      </c>
      <c r="E640" s="24">
        <f t="shared" ca="1" si="19"/>
        <v>0</v>
      </c>
    </row>
    <row r="641" spans="1:5" x14ac:dyDescent="0.25">
      <c r="A641" s="17">
        <f ca="1">INDEX(Stations,INT((ROWS(A$2:A641)-1)/(DATE(YEAR(Invoer!$A$5),12,31)-DATE(YEAR(Invoer!$A$5),1,1)+1))+2,1)</f>
        <v>83</v>
      </c>
      <c r="B641" t="str">
        <f ca="1">TEXT(DATE(YEAR(Invoer!$A$5),1,1)+MOD(ROWS(B$2:B641)-1,DATE(YEAR(Invoer!$A$5),12,31)-DATE(YEAR(Invoer!$A$5),1,1)+1),"jjjjmmdd")</f>
        <v>19400930</v>
      </c>
      <c r="C641" s="18">
        <v>1</v>
      </c>
      <c r="D641" s="23">
        <f t="shared" ca="1" si="18"/>
        <v>0</v>
      </c>
      <c r="E641" s="24">
        <f t="shared" ca="1" si="19"/>
        <v>0</v>
      </c>
    </row>
    <row r="642" spans="1:5" x14ac:dyDescent="0.25">
      <c r="A642" s="17">
        <f ca="1">INDEX(Stations,INT((ROWS(A$2:A642)-1)/(DATE(YEAR(Invoer!$A$5),12,31)-DATE(YEAR(Invoer!$A$5),1,1)+1))+2,1)</f>
        <v>83</v>
      </c>
      <c r="B642" t="str">
        <f ca="1">TEXT(DATE(YEAR(Invoer!$A$5),1,1)+MOD(ROWS(B$2:B642)-1,DATE(YEAR(Invoer!$A$5),12,31)-DATE(YEAR(Invoer!$A$5),1,1)+1),"jjjjmmdd")</f>
        <v>19401001</v>
      </c>
      <c r="C642" s="18">
        <v>1</v>
      </c>
      <c r="D642" s="23">
        <f t="shared" ref="D642:D705" ca="1" si="20">IF(OR(ISBLANK(VLOOKUP(DATEVALUE(LEFT(B642,4)&amp;"-"&amp;MID(B642,5,2)&amp;"-"&amp;RIGHT(B642,2)),Data,MATCH(VLOOKUP(A642,Stations,2,FALSE()),OFFSET(Data,1,0,1),0),FALSE())),ISTEXT(VLOOKUP(DATEVALUE(LEFT(B642,4)&amp;"-"&amp;MID(B642,5,2)&amp;"-"&amp;RIGHT(B642,2)),Data,MATCH(VLOOKUP(A642,Stations,2,FALSE()),OFFSET(Data,1,0,1),0),FALSE()))),"—",VLOOKUP(DATEVALUE(LEFT(B642,4)&amp;"-"&amp;MID(B642,5,2)&amp;"-"&amp;RIGHT(B642,2)),Data,MATCH(VLOOKUP(A642,Stations,2,FALSE()),OFFSET(Data,1,0,1),0),FALSE()))</f>
        <v>0</v>
      </c>
      <c r="E642" s="24">
        <f t="shared" ref="E642:E705" ca="1" si="21">IF(OR(ISBLANK(VLOOKUP(DATEVALUE(LEFT(B642,4)&amp;"-"&amp;MID(B642,5,2)&amp;"-"&amp;RIGHT(B642,2)),Data,MATCH(VLOOKUP(A642,Stations,2,FALSE()),OFFSET(Data,1,0,1),0),FALSE())),ISTEXT(VLOOKUP(DATEVALUE(LEFT(B642,4)&amp;"-"&amp;MID(B642,5,2)&amp;"-"&amp;RIGHT(B642,2)),Data,MATCH(VLOOKUP(A642,Stations,2,FALSE()),OFFSET(Data,1,0,1),0),FALSE()))),Lacking,IF(ISNA(MATCH(DATEVALUE(LEFT(B642,4)&amp;"-"&amp;MID(B642,5,2)&amp;"-"&amp;RIGHT(B642,2)),OFFSET(Catalogus,0,0,,1),0)),Ok,VLOOKUP(DATEVALUE(LEFT(B642,4)&amp;"-"&amp;MID(B642,5,2)&amp;"-"&amp;RIGHT(B642,2)),Catalogus,MATCH(VLOOKUP(A642,Stations,2,FALSE()),OFFSET(Catalogus,1,0,1),0),FALSE())))</f>
        <v>0</v>
      </c>
    </row>
    <row r="643" spans="1:5" x14ac:dyDescent="0.25">
      <c r="A643" s="17">
        <f ca="1">INDEX(Stations,INT((ROWS(A$2:A643)-1)/(DATE(YEAR(Invoer!$A$5),12,31)-DATE(YEAR(Invoer!$A$5),1,1)+1))+2,1)</f>
        <v>83</v>
      </c>
      <c r="B643" t="str">
        <f ca="1">TEXT(DATE(YEAR(Invoer!$A$5),1,1)+MOD(ROWS(B$2:B643)-1,DATE(YEAR(Invoer!$A$5),12,31)-DATE(YEAR(Invoer!$A$5),1,1)+1),"jjjjmmdd")</f>
        <v>19401002</v>
      </c>
      <c r="C643" s="18">
        <v>1</v>
      </c>
      <c r="D643" s="23">
        <f t="shared" ca="1" si="20"/>
        <v>60</v>
      </c>
      <c r="E643" s="24">
        <f t="shared" ca="1" si="21"/>
        <v>0</v>
      </c>
    </row>
    <row r="644" spans="1:5" x14ac:dyDescent="0.25">
      <c r="A644" s="17">
        <f ca="1">INDEX(Stations,INT((ROWS(A$2:A644)-1)/(DATE(YEAR(Invoer!$A$5),12,31)-DATE(YEAR(Invoer!$A$5),1,1)+1))+2,1)</f>
        <v>83</v>
      </c>
      <c r="B644" t="str">
        <f ca="1">TEXT(DATE(YEAR(Invoer!$A$5),1,1)+MOD(ROWS(B$2:B644)-1,DATE(YEAR(Invoer!$A$5),12,31)-DATE(YEAR(Invoer!$A$5),1,1)+1),"jjjjmmdd")</f>
        <v>19401003</v>
      </c>
      <c r="C644" s="18">
        <v>1</v>
      </c>
      <c r="D644" s="23">
        <f t="shared" ca="1" si="20"/>
        <v>0</v>
      </c>
      <c r="E644" s="24">
        <f t="shared" ca="1" si="21"/>
        <v>0</v>
      </c>
    </row>
    <row r="645" spans="1:5" x14ac:dyDescent="0.25">
      <c r="A645" s="17">
        <f ca="1">INDEX(Stations,INT((ROWS(A$2:A645)-1)/(DATE(YEAR(Invoer!$A$5),12,31)-DATE(YEAR(Invoer!$A$5),1,1)+1))+2,1)</f>
        <v>83</v>
      </c>
      <c r="B645" t="str">
        <f ca="1">TEXT(DATE(YEAR(Invoer!$A$5),1,1)+MOD(ROWS(B$2:B645)-1,DATE(YEAR(Invoer!$A$5),12,31)-DATE(YEAR(Invoer!$A$5),1,1)+1),"jjjjmmdd")</f>
        <v>19401004</v>
      </c>
      <c r="C645" s="18">
        <v>1</v>
      </c>
      <c r="D645" s="23">
        <f t="shared" ca="1" si="20"/>
        <v>0</v>
      </c>
      <c r="E645" s="24">
        <f t="shared" ca="1" si="21"/>
        <v>0</v>
      </c>
    </row>
    <row r="646" spans="1:5" x14ac:dyDescent="0.25">
      <c r="A646" s="17">
        <f ca="1">INDEX(Stations,INT((ROWS(A$2:A646)-1)/(DATE(YEAR(Invoer!$A$5),12,31)-DATE(YEAR(Invoer!$A$5),1,1)+1))+2,1)</f>
        <v>83</v>
      </c>
      <c r="B646" t="str">
        <f ca="1">TEXT(DATE(YEAR(Invoer!$A$5),1,1)+MOD(ROWS(B$2:B646)-1,DATE(YEAR(Invoer!$A$5),12,31)-DATE(YEAR(Invoer!$A$5),1,1)+1),"jjjjmmdd")</f>
        <v>19401005</v>
      </c>
      <c r="C646" s="18">
        <v>1</v>
      </c>
      <c r="D646" s="23">
        <f t="shared" ca="1" si="20"/>
        <v>0</v>
      </c>
      <c r="E646" s="24">
        <f t="shared" ca="1" si="21"/>
        <v>0</v>
      </c>
    </row>
    <row r="647" spans="1:5" x14ac:dyDescent="0.25">
      <c r="A647" s="17">
        <f ca="1">INDEX(Stations,INT((ROWS(A$2:A647)-1)/(DATE(YEAR(Invoer!$A$5),12,31)-DATE(YEAR(Invoer!$A$5),1,1)+1))+2,1)</f>
        <v>83</v>
      </c>
      <c r="B647" t="str">
        <f ca="1">TEXT(DATE(YEAR(Invoer!$A$5),1,1)+MOD(ROWS(B$2:B647)-1,DATE(YEAR(Invoer!$A$5),12,31)-DATE(YEAR(Invoer!$A$5),1,1)+1),"jjjjmmdd")</f>
        <v>19401006</v>
      </c>
      <c r="C647" s="18">
        <v>1</v>
      </c>
      <c r="D647" s="23">
        <f t="shared" ca="1" si="20"/>
        <v>0</v>
      </c>
      <c r="E647" s="24">
        <f t="shared" ca="1" si="21"/>
        <v>0</v>
      </c>
    </row>
    <row r="648" spans="1:5" x14ac:dyDescent="0.25">
      <c r="A648" s="17">
        <f ca="1">INDEX(Stations,INT((ROWS(A$2:A648)-1)/(DATE(YEAR(Invoer!$A$5),12,31)-DATE(YEAR(Invoer!$A$5),1,1)+1))+2,1)</f>
        <v>83</v>
      </c>
      <c r="B648" t="str">
        <f ca="1">TEXT(DATE(YEAR(Invoer!$A$5),1,1)+MOD(ROWS(B$2:B648)-1,DATE(YEAR(Invoer!$A$5),12,31)-DATE(YEAR(Invoer!$A$5),1,1)+1),"jjjjmmdd")</f>
        <v>19401007</v>
      </c>
      <c r="C648" s="18">
        <v>1</v>
      </c>
      <c r="D648" s="23">
        <f t="shared" ca="1" si="20"/>
        <v>0</v>
      </c>
      <c r="E648" s="24">
        <f t="shared" ca="1" si="21"/>
        <v>0</v>
      </c>
    </row>
    <row r="649" spans="1:5" x14ac:dyDescent="0.25">
      <c r="A649" s="17">
        <f ca="1">INDEX(Stations,INT((ROWS(A$2:A649)-1)/(DATE(YEAR(Invoer!$A$5),12,31)-DATE(YEAR(Invoer!$A$5),1,1)+1))+2,1)</f>
        <v>83</v>
      </c>
      <c r="B649" t="str">
        <f ca="1">TEXT(DATE(YEAR(Invoer!$A$5),1,1)+MOD(ROWS(B$2:B649)-1,DATE(YEAR(Invoer!$A$5),12,31)-DATE(YEAR(Invoer!$A$5),1,1)+1),"jjjjmmdd")</f>
        <v>19401008</v>
      </c>
      <c r="C649" s="18">
        <v>1</v>
      </c>
      <c r="D649" s="23">
        <f t="shared" ca="1" si="20"/>
        <v>0</v>
      </c>
      <c r="E649" s="24">
        <f t="shared" ca="1" si="21"/>
        <v>0</v>
      </c>
    </row>
    <row r="650" spans="1:5" x14ac:dyDescent="0.25">
      <c r="A650" s="17">
        <f ca="1">INDEX(Stations,INT((ROWS(A$2:A650)-1)/(DATE(YEAR(Invoer!$A$5),12,31)-DATE(YEAR(Invoer!$A$5),1,1)+1))+2,1)</f>
        <v>83</v>
      </c>
      <c r="B650" t="str">
        <f ca="1">TEXT(DATE(YEAR(Invoer!$A$5),1,1)+MOD(ROWS(B$2:B650)-1,DATE(YEAR(Invoer!$A$5),12,31)-DATE(YEAR(Invoer!$A$5),1,1)+1),"jjjjmmdd")</f>
        <v>19401009</v>
      </c>
      <c r="C650" s="18">
        <v>1</v>
      </c>
      <c r="D650" s="23">
        <f t="shared" ca="1" si="20"/>
        <v>0</v>
      </c>
      <c r="E650" s="24">
        <f t="shared" ca="1" si="21"/>
        <v>0</v>
      </c>
    </row>
    <row r="651" spans="1:5" x14ac:dyDescent="0.25">
      <c r="A651" s="17">
        <f ca="1">INDEX(Stations,INT((ROWS(A$2:A651)-1)/(DATE(YEAR(Invoer!$A$5),12,31)-DATE(YEAR(Invoer!$A$5),1,1)+1))+2,1)</f>
        <v>83</v>
      </c>
      <c r="B651" t="str">
        <f ca="1">TEXT(DATE(YEAR(Invoer!$A$5),1,1)+MOD(ROWS(B$2:B651)-1,DATE(YEAR(Invoer!$A$5),12,31)-DATE(YEAR(Invoer!$A$5),1,1)+1),"jjjjmmdd")</f>
        <v>19401010</v>
      </c>
      <c r="C651" s="18">
        <v>1</v>
      </c>
      <c r="D651" s="23">
        <f t="shared" ca="1" si="20"/>
        <v>0</v>
      </c>
      <c r="E651" s="24">
        <f t="shared" ca="1" si="21"/>
        <v>0</v>
      </c>
    </row>
    <row r="652" spans="1:5" x14ac:dyDescent="0.25">
      <c r="A652" s="17">
        <f ca="1">INDEX(Stations,INT((ROWS(A$2:A652)-1)/(DATE(YEAR(Invoer!$A$5),12,31)-DATE(YEAR(Invoer!$A$5),1,1)+1))+2,1)</f>
        <v>83</v>
      </c>
      <c r="B652" t="str">
        <f ca="1">TEXT(DATE(YEAR(Invoer!$A$5),1,1)+MOD(ROWS(B$2:B652)-1,DATE(YEAR(Invoer!$A$5),12,31)-DATE(YEAR(Invoer!$A$5),1,1)+1),"jjjjmmdd")</f>
        <v>19401011</v>
      </c>
      <c r="C652" s="18">
        <v>1</v>
      </c>
      <c r="D652" s="23">
        <f t="shared" ca="1" si="20"/>
        <v>0</v>
      </c>
      <c r="E652" s="24">
        <f t="shared" ca="1" si="21"/>
        <v>0</v>
      </c>
    </row>
    <row r="653" spans="1:5" x14ac:dyDescent="0.25">
      <c r="A653" s="17">
        <f ca="1">INDEX(Stations,INT((ROWS(A$2:A653)-1)/(DATE(YEAR(Invoer!$A$5),12,31)-DATE(YEAR(Invoer!$A$5),1,1)+1))+2,1)</f>
        <v>83</v>
      </c>
      <c r="B653" t="str">
        <f ca="1">TEXT(DATE(YEAR(Invoer!$A$5),1,1)+MOD(ROWS(B$2:B653)-1,DATE(YEAR(Invoer!$A$5),12,31)-DATE(YEAR(Invoer!$A$5),1,1)+1),"jjjjmmdd")</f>
        <v>19401012</v>
      </c>
      <c r="C653" s="18">
        <v>1</v>
      </c>
      <c r="D653" s="23">
        <f t="shared" ca="1" si="20"/>
        <v>60</v>
      </c>
      <c r="E653" s="24">
        <f t="shared" ca="1" si="21"/>
        <v>0</v>
      </c>
    </row>
    <row r="654" spans="1:5" x14ac:dyDescent="0.25">
      <c r="A654" s="17">
        <f ca="1">INDEX(Stations,INT((ROWS(A$2:A654)-1)/(DATE(YEAR(Invoer!$A$5),12,31)-DATE(YEAR(Invoer!$A$5),1,1)+1))+2,1)</f>
        <v>83</v>
      </c>
      <c r="B654" t="str">
        <f ca="1">TEXT(DATE(YEAR(Invoer!$A$5),1,1)+MOD(ROWS(B$2:B654)-1,DATE(YEAR(Invoer!$A$5),12,31)-DATE(YEAR(Invoer!$A$5),1,1)+1),"jjjjmmdd")</f>
        <v>19401013</v>
      </c>
      <c r="C654" s="18">
        <v>1</v>
      </c>
      <c r="D654" s="23">
        <f t="shared" ca="1" si="20"/>
        <v>420</v>
      </c>
      <c r="E654" s="24">
        <f t="shared" ca="1" si="21"/>
        <v>0</v>
      </c>
    </row>
    <row r="655" spans="1:5" x14ac:dyDescent="0.25">
      <c r="A655" s="17">
        <f ca="1">INDEX(Stations,INT((ROWS(A$2:A655)-1)/(DATE(YEAR(Invoer!$A$5),12,31)-DATE(YEAR(Invoer!$A$5),1,1)+1))+2,1)</f>
        <v>83</v>
      </c>
      <c r="B655" t="str">
        <f ca="1">TEXT(DATE(YEAR(Invoer!$A$5),1,1)+MOD(ROWS(B$2:B655)-1,DATE(YEAR(Invoer!$A$5),12,31)-DATE(YEAR(Invoer!$A$5),1,1)+1),"jjjjmmdd")</f>
        <v>19401014</v>
      </c>
      <c r="C655" s="18">
        <v>1</v>
      </c>
      <c r="D655" s="23">
        <f t="shared" ca="1" si="20"/>
        <v>80</v>
      </c>
      <c r="E655" s="24">
        <f t="shared" ca="1" si="21"/>
        <v>0</v>
      </c>
    </row>
    <row r="656" spans="1:5" x14ac:dyDescent="0.25">
      <c r="A656" s="17">
        <f ca="1">INDEX(Stations,INT((ROWS(A$2:A656)-1)/(DATE(YEAR(Invoer!$A$5),12,31)-DATE(YEAR(Invoer!$A$5),1,1)+1))+2,1)</f>
        <v>83</v>
      </c>
      <c r="B656" t="str">
        <f ca="1">TEXT(DATE(YEAR(Invoer!$A$5),1,1)+MOD(ROWS(B$2:B656)-1,DATE(YEAR(Invoer!$A$5),12,31)-DATE(YEAR(Invoer!$A$5),1,1)+1),"jjjjmmdd")</f>
        <v>19401015</v>
      </c>
      <c r="C656" s="18">
        <v>1</v>
      </c>
      <c r="D656" s="23">
        <f t="shared" ca="1" si="20"/>
        <v>150</v>
      </c>
      <c r="E656" s="24">
        <f t="shared" ca="1" si="21"/>
        <v>0</v>
      </c>
    </row>
    <row r="657" spans="1:5" x14ac:dyDescent="0.25">
      <c r="A657" s="17">
        <f ca="1">INDEX(Stations,INT((ROWS(A$2:A657)-1)/(DATE(YEAR(Invoer!$A$5),12,31)-DATE(YEAR(Invoer!$A$5),1,1)+1))+2,1)</f>
        <v>83</v>
      </c>
      <c r="B657" t="str">
        <f ca="1">TEXT(DATE(YEAR(Invoer!$A$5),1,1)+MOD(ROWS(B$2:B657)-1,DATE(YEAR(Invoer!$A$5),12,31)-DATE(YEAR(Invoer!$A$5),1,1)+1),"jjjjmmdd")</f>
        <v>19401016</v>
      </c>
      <c r="C657" s="18">
        <v>1</v>
      </c>
      <c r="D657" s="23">
        <f t="shared" ca="1" si="20"/>
        <v>70</v>
      </c>
      <c r="E657" s="24">
        <f t="shared" ca="1" si="21"/>
        <v>0</v>
      </c>
    </row>
    <row r="658" spans="1:5" x14ac:dyDescent="0.25">
      <c r="A658" s="17">
        <f ca="1">INDEX(Stations,INT((ROWS(A$2:A658)-1)/(DATE(YEAR(Invoer!$A$5),12,31)-DATE(YEAR(Invoer!$A$5),1,1)+1))+2,1)</f>
        <v>83</v>
      </c>
      <c r="B658" t="str">
        <f ca="1">TEXT(DATE(YEAR(Invoer!$A$5),1,1)+MOD(ROWS(B$2:B658)-1,DATE(YEAR(Invoer!$A$5),12,31)-DATE(YEAR(Invoer!$A$5),1,1)+1),"jjjjmmdd")</f>
        <v>19401017</v>
      </c>
      <c r="C658" s="18">
        <v>1</v>
      </c>
      <c r="D658" s="23">
        <f t="shared" ca="1" si="20"/>
        <v>230</v>
      </c>
      <c r="E658" s="24">
        <f t="shared" ca="1" si="21"/>
        <v>0</v>
      </c>
    </row>
    <row r="659" spans="1:5" x14ac:dyDescent="0.25">
      <c r="A659" s="17">
        <f ca="1">INDEX(Stations,INT((ROWS(A$2:A659)-1)/(DATE(YEAR(Invoer!$A$5),12,31)-DATE(YEAR(Invoer!$A$5),1,1)+1))+2,1)</f>
        <v>83</v>
      </c>
      <c r="B659" t="str">
        <f ca="1">TEXT(DATE(YEAR(Invoer!$A$5),1,1)+MOD(ROWS(B$2:B659)-1,DATE(YEAR(Invoer!$A$5),12,31)-DATE(YEAR(Invoer!$A$5),1,1)+1),"jjjjmmdd")</f>
        <v>19401018</v>
      </c>
      <c r="C659" s="18">
        <v>1</v>
      </c>
      <c r="D659" s="23">
        <f t="shared" ca="1" si="20"/>
        <v>20</v>
      </c>
      <c r="E659" s="24">
        <f t="shared" ca="1" si="21"/>
        <v>0</v>
      </c>
    </row>
    <row r="660" spans="1:5" x14ac:dyDescent="0.25">
      <c r="A660" s="17">
        <f ca="1">INDEX(Stations,INT((ROWS(A$2:A660)-1)/(DATE(YEAR(Invoer!$A$5),12,31)-DATE(YEAR(Invoer!$A$5),1,1)+1))+2,1)</f>
        <v>83</v>
      </c>
      <c r="B660" t="str">
        <f ca="1">TEXT(DATE(YEAR(Invoer!$A$5),1,1)+MOD(ROWS(B$2:B660)-1,DATE(YEAR(Invoer!$A$5),12,31)-DATE(YEAR(Invoer!$A$5),1,1)+1),"jjjjmmdd")</f>
        <v>19401019</v>
      </c>
      <c r="C660" s="18">
        <v>1</v>
      </c>
      <c r="D660" s="23">
        <f t="shared" ca="1" si="20"/>
        <v>30</v>
      </c>
      <c r="E660" s="24">
        <f t="shared" ca="1" si="21"/>
        <v>0</v>
      </c>
    </row>
    <row r="661" spans="1:5" x14ac:dyDescent="0.25">
      <c r="A661" s="17">
        <f ca="1">INDEX(Stations,INT((ROWS(A$2:A661)-1)/(DATE(YEAR(Invoer!$A$5),12,31)-DATE(YEAR(Invoer!$A$5),1,1)+1))+2,1)</f>
        <v>83</v>
      </c>
      <c r="B661" t="str">
        <f ca="1">TEXT(DATE(YEAR(Invoer!$A$5),1,1)+MOD(ROWS(B$2:B661)-1,DATE(YEAR(Invoer!$A$5),12,31)-DATE(YEAR(Invoer!$A$5),1,1)+1),"jjjjmmdd")</f>
        <v>19401020</v>
      </c>
      <c r="C661" s="18">
        <v>1</v>
      </c>
      <c r="D661" s="23">
        <f t="shared" ca="1" si="20"/>
        <v>10</v>
      </c>
      <c r="E661" s="24">
        <f t="shared" ca="1" si="21"/>
        <v>0</v>
      </c>
    </row>
    <row r="662" spans="1:5" x14ac:dyDescent="0.25">
      <c r="A662" s="17">
        <f ca="1">INDEX(Stations,INT((ROWS(A$2:A662)-1)/(DATE(YEAR(Invoer!$A$5),12,31)-DATE(YEAR(Invoer!$A$5),1,1)+1))+2,1)</f>
        <v>83</v>
      </c>
      <c r="B662" t="str">
        <f ca="1">TEXT(DATE(YEAR(Invoer!$A$5),1,1)+MOD(ROWS(B$2:B662)-1,DATE(YEAR(Invoer!$A$5),12,31)-DATE(YEAR(Invoer!$A$5),1,1)+1),"jjjjmmdd")</f>
        <v>19401021</v>
      </c>
      <c r="C662" s="18">
        <v>1</v>
      </c>
      <c r="D662" s="23">
        <f t="shared" ca="1" si="20"/>
        <v>0</v>
      </c>
      <c r="E662" s="24">
        <f t="shared" ca="1" si="21"/>
        <v>0</v>
      </c>
    </row>
    <row r="663" spans="1:5" x14ac:dyDescent="0.25">
      <c r="A663" s="17">
        <f ca="1">INDEX(Stations,INT((ROWS(A$2:A663)-1)/(DATE(YEAR(Invoer!$A$5),12,31)-DATE(YEAR(Invoer!$A$5),1,1)+1))+2,1)</f>
        <v>83</v>
      </c>
      <c r="B663" t="str">
        <f ca="1">TEXT(DATE(YEAR(Invoer!$A$5),1,1)+MOD(ROWS(B$2:B663)-1,DATE(YEAR(Invoer!$A$5),12,31)-DATE(YEAR(Invoer!$A$5),1,1)+1),"jjjjmmdd")</f>
        <v>19401022</v>
      </c>
      <c r="C663" s="18">
        <v>1</v>
      </c>
      <c r="D663" s="23">
        <f t="shared" ca="1" si="20"/>
        <v>0</v>
      </c>
      <c r="E663" s="24">
        <f t="shared" ca="1" si="21"/>
        <v>0</v>
      </c>
    </row>
    <row r="664" spans="1:5" x14ac:dyDescent="0.25">
      <c r="A664" s="17">
        <f ca="1">INDEX(Stations,INT((ROWS(A$2:A664)-1)/(DATE(YEAR(Invoer!$A$5),12,31)-DATE(YEAR(Invoer!$A$5),1,1)+1))+2,1)</f>
        <v>83</v>
      </c>
      <c r="B664" t="str">
        <f ca="1">TEXT(DATE(YEAR(Invoer!$A$5),1,1)+MOD(ROWS(B$2:B664)-1,DATE(YEAR(Invoer!$A$5),12,31)-DATE(YEAR(Invoer!$A$5),1,1)+1),"jjjjmmdd")</f>
        <v>19401023</v>
      </c>
      <c r="C664" s="18">
        <v>1</v>
      </c>
      <c r="D664" s="23">
        <f t="shared" ca="1" si="20"/>
        <v>0</v>
      </c>
      <c r="E664" s="24">
        <f t="shared" ca="1" si="21"/>
        <v>0</v>
      </c>
    </row>
    <row r="665" spans="1:5" x14ac:dyDescent="0.25">
      <c r="A665" s="17">
        <f ca="1">INDEX(Stations,INT((ROWS(A$2:A665)-1)/(DATE(YEAR(Invoer!$A$5),12,31)-DATE(YEAR(Invoer!$A$5),1,1)+1))+2,1)</f>
        <v>83</v>
      </c>
      <c r="B665" t="str">
        <f ca="1">TEXT(DATE(YEAR(Invoer!$A$5),1,1)+MOD(ROWS(B$2:B665)-1,DATE(YEAR(Invoer!$A$5),12,31)-DATE(YEAR(Invoer!$A$5),1,1)+1),"jjjjmmdd")</f>
        <v>19401024</v>
      </c>
      <c r="C665" s="18">
        <v>1</v>
      </c>
      <c r="D665" s="23">
        <f t="shared" ca="1" si="20"/>
        <v>0</v>
      </c>
      <c r="E665" s="24">
        <f t="shared" ca="1" si="21"/>
        <v>0</v>
      </c>
    </row>
    <row r="666" spans="1:5" x14ac:dyDescent="0.25">
      <c r="A666" s="17">
        <f ca="1">INDEX(Stations,INT((ROWS(A$2:A666)-1)/(DATE(YEAR(Invoer!$A$5),12,31)-DATE(YEAR(Invoer!$A$5),1,1)+1))+2,1)</f>
        <v>83</v>
      </c>
      <c r="B666" t="str">
        <f ca="1">TEXT(DATE(YEAR(Invoer!$A$5),1,1)+MOD(ROWS(B$2:B666)-1,DATE(YEAR(Invoer!$A$5),12,31)-DATE(YEAR(Invoer!$A$5),1,1)+1),"jjjjmmdd")</f>
        <v>19401025</v>
      </c>
      <c r="C666" s="18">
        <v>1</v>
      </c>
      <c r="D666" s="23">
        <f t="shared" ca="1" si="20"/>
        <v>230</v>
      </c>
      <c r="E666" s="24">
        <f t="shared" ca="1" si="21"/>
        <v>0</v>
      </c>
    </row>
    <row r="667" spans="1:5" x14ac:dyDescent="0.25">
      <c r="A667" s="17">
        <f ca="1">INDEX(Stations,INT((ROWS(A$2:A667)-1)/(DATE(YEAR(Invoer!$A$5),12,31)-DATE(YEAR(Invoer!$A$5),1,1)+1))+2,1)</f>
        <v>83</v>
      </c>
      <c r="B667" t="str">
        <f ca="1">TEXT(DATE(YEAR(Invoer!$A$5),1,1)+MOD(ROWS(B$2:B667)-1,DATE(YEAR(Invoer!$A$5),12,31)-DATE(YEAR(Invoer!$A$5),1,1)+1),"jjjjmmdd")</f>
        <v>19401026</v>
      </c>
      <c r="C667" s="18">
        <v>1</v>
      </c>
      <c r="D667" s="23">
        <f t="shared" ca="1" si="20"/>
        <v>0</v>
      </c>
      <c r="E667" s="24">
        <f t="shared" ca="1" si="21"/>
        <v>0</v>
      </c>
    </row>
    <row r="668" spans="1:5" x14ac:dyDescent="0.25">
      <c r="A668" s="17">
        <f ca="1">INDEX(Stations,INT((ROWS(A$2:A668)-1)/(DATE(YEAR(Invoer!$A$5),12,31)-DATE(YEAR(Invoer!$A$5),1,1)+1))+2,1)</f>
        <v>83</v>
      </c>
      <c r="B668" t="str">
        <f ca="1">TEXT(DATE(YEAR(Invoer!$A$5),1,1)+MOD(ROWS(B$2:B668)-1,DATE(YEAR(Invoer!$A$5),12,31)-DATE(YEAR(Invoer!$A$5),1,1)+1),"jjjjmmdd")</f>
        <v>19401027</v>
      </c>
      <c r="C668" s="18">
        <v>1</v>
      </c>
      <c r="D668" s="23">
        <f t="shared" ca="1" si="20"/>
        <v>0</v>
      </c>
      <c r="E668" s="24">
        <f t="shared" ca="1" si="21"/>
        <v>0</v>
      </c>
    </row>
    <row r="669" spans="1:5" x14ac:dyDescent="0.25">
      <c r="A669" s="17">
        <f ca="1">INDEX(Stations,INT((ROWS(A$2:A669)-1)/(DATE(YEAR(Invoer!$A$5),12,31)-DATE(YEAR(Invoer!$A$5),1,1)+1))+2,1)</f>
        <v>83</v>
      </c>
      <c r="B669" t="str">
        <f ca="1">TEXT(DATE(YEAR(Invoer!$A$5),1,1)+MOD(ROWS(B$2:B669)-1,DATE(YEAR(Invoer!$A$5),12,31)-DATE(YEAR(Invoer!$A$5),1,1)+1),"jjjjmmdd")</f>
        <v>19401028</v>
      </c>
      <c r="C669" s="18">
        <v>1</v>
      </c>
      <c r="D669" s="23">
        <f t="shared" ca="1" si="20"/>
        <v>0</v>
      </c>
      <c r="E669" s="24">
        <f t="shared" ca="1" si="21"/>
        <v>0</v>
      </c>
    </row>
    <row r="670" spans="1:5" x14ac:dyDescent="0.25">
      <c r="A670" s="17">
        <f ca="1">INDEX(Stations,INT((ROWS(A$2:A670)-1)/(DATE(YEAR(Invoer!$A$5),12,31)-DATE(YEAR(Invoer!$A$5),1,1)+1))+2,1)</f>
        <v>83</v>
      </c>
      <c r="B670" t="str">
        <f ca="1">TEXT(DATE(YEAR(Invoer!$A$5),1,1)+MOD(ROWS(B$2:B670)-1,DATE(YEAR(Invoer!$A$5),12,31)-DATE(YEAR(Invoer!$A$5),1,1)+1),"jjjjmmdd")</f>
        <v>19401029</v>
      </c>
      <c r="C670" s="18">
        <v>1</v>
      </c>
      <c r="D670" s="23">
        <f t="shared" ca="1" si="20"/>
        <v>0</v>
      </c>
      <c r="E670" s="24">
        <f t="shared" ca="1" si="21"/>
        <v>0</v>
      </c>
    </row>
    <row r="671" spans="1:5" x14ac:dyDescent="0.25">
      <c r="A671" s="17">
        <f ca="1">INDEX(Stations,INT((ROWS(A$2:A671)-1)/(DATE(YEAR(Invoer!$A$5),12,31)-DATE(YEAR(Invoer!$A$5),1,1)+1))+2,1)</f>
        <v>83</v>
      </c>
      <c r="B671" t="str">
        <f ca="1">TEXT(DATE(YEAR(Invoer!$A$5),1,1)+MOD(ROWS(B$2:B671)-1,DATE(YEAR(Invoer!$A$5),12,31)-DATE(YEAR(Invoer!$A$5),1,1)+1),"jjjjmmdd")</f>
        <v>19401030</v>
      </c>
      <c r="C671" s="18">
        <v>1</v>
      </c>
      <c r="D671" s="23">
        <f t="shared" ca="1" si="20"/>
        <v>20</v>
      </c>
      <c r="E671" s="24">
        <f t="shared" ca="1" si="21"/>
        <v>0</v>
      </c>
    </row>
    <row r="672" spans="1:5" x14ac:dyDescent="0.25">
      <c r="A672" s="17">
        <f ca="1">INDEX(Stations,INT((ROWS(A$2:A672)-1)/(DATE(YEAR(Invoer!$A$5),12,31)-DATE(YEAR(Invoer!$A$5),1,1)+1))+2,1)</f>
        <v>83</v>
      </c>
      <c r="B672" t="str">
        <f ca="1">TEXT(DATE(YEAR(Invoer!$A$5),1,1)+MOD(ROWS(B$2:B672)-1,DATE(YEAR(Invoer!$A$5),12,31)-DATE(YEAR(Invoer!$A$5),1,1)+1),"jjjjmmdd")</f>
        <v>19401031</v>
      </c>
      <c r="C672" s="18">
        <v>1</v>
      </c>
      <c r="D672" s="23">
        <f t="shared" ca="1" si="20"/>
        <v>30</v>
      </c>
      <c r="E672" s="24">
        <f t="shared" ca="1" si="21"/>
        <v>0</v>
      </c>
    </row>
    <row r="673" spans="1:5" x14ac:dyDescent="0.25">
      <c r="A673" s="17">
        <f ca="1">INDEX(Stations,INT((ROWS(A$2:A673)-1)/(DATE(YEAR(Invoer!$A$5),12,31)-DATE(YEAR(Invoer!$A$5),1,1)+1))+2,1)</f>
        <v>83</v>
      </c>
      <c r="B673" t="str">
        <f ca="1">TEXT(DATE(YEAR(Invoer!$A$5),1,1)+MOD(ROWS(B$2:B673)-1,DATE(YEAR(Invoer!$A$5),12,31)-DATE(YEAR(Invoer!$A$5),1,1)+1),"jjjjmmdd")</f>
        <v>19401101</v>
      </c>
      <c r="C673" s="18">
        <v>1</v>
      </c>
      <c r="D673" s="23">
        <f t="shared" ca="1" si="20"/>
        <v>40</v>
      </c>
      <c r="E673" s="24">
        <f t="shared" ca="1" si="21"/>
        <v>0</v>
      </c>
    </row>
    <row r="674" spans="1:5" x14ac:dyDescent="0.25">
      <c r="A674" s="17">
        <f ca="1">INDEX(Stations,INT((ROWS(A$2:A674)-1)/(DATE(YEAR(Invoer!$A$5),12,31)-DATE(YEAR(Invoer!$A$5),1,1)+1))+2,1)</f>
        <v>83</v>
      </c>
      <c r="B674" t="str">
        <f ca="1">TEXT(DATE(YEAR(Invoer!$A$5),1,1)+MOD(ROWS(B$2:B674)-1,DATE(YEAR(Invoer!$A$5),12,31)-DATE(YEAR(Invoer!$A$5),1,1)+1),"jjjjmmdd")</f>
        <v>19401102</v>
      </c>
      <c r="C674" s="18">
        <v>1</v>
      </c>
      <c r="D674" s="23">
        <f t="shared" ca="1" si="20"/>
        <v>0</v>
      </c>
      <c r="E674" s="24">
        <f t="shared" ca="1" si="21"/>
        <v>0</v>
      </c>
    </row>
    <row r="675" spans="1:5" x14ac:dyDescent="0.25">
      <c r="A675" s="17">
        <f ca="1">INDEX(Stations,INT((ROWS(A$2:A675)-1)/(DATE(YEAR(Invoer!$A$5),12,31)-DATE(YEAR(Invoer!$A$5),1,1)+1))+2,1)</f>
        <v>83</v>
      </c>
      <c r="B675" t="str">
        <f ca="1">TEXT(DATE(YEAR(Invoer!$A$5),1,1)+MOD(ROWS(B$2:B675)-1,DATE(YEAR(Invoer!$A$5),12,31)-DATE(YEAR(Invoer!$A$5),1,1)+1),"jjjjmmdd")</f>
        <v>19401103</v>
      </c>
      <c r="C675" s="18">
        <v>1</v>
      </c>
      <c r="D675" s="23">
        <f t="shared" ca="1" si="20"/>
        <v>20</v>
      </c>
      <c r="E675" s="24">
        <f t="shared" ca="1" si="21"/>
        <v>0</v>
      </c>
    </row>
    <row r="676" spans="1:5" x14ac:dyDescent="0.25">
      <c r="A676" s="17">
        <f ca="1">INDEX(Stations,INT((ROWS(A$2:A676)-1)/(DATE(YEAR(Invoer!$A$5),12,31)-DATE(YEAR(Invoer!$A$5),1,1)+1))+2,1)</f>
        <v>83</v>
      </c>
      <c r="B676" t="str">
        <f ca="1">TEXT(DATE(YEAR(Invoer!$A$5),1,1)+MOD(ROWS(B$2:B676)-1,DATE(YEAR(Invoer!$A$5),12,31)-DATE(YEAR(Invoer!$A$5),1,1)+1),"jjjjmmdd")</f>
        <v>19401104</v>
      </c>
      <c r="C676" s="18">
        <v>1</v>
      </c>
      <c r="D676" s="23">
        <f t="shared" ca="1" si="20"/>
        <v>420</v>
      </c>
      <c r="E676" s="24">
        <f t="shared" ca="1" si="21"/>
        <v>0</v>
      </c>
    </row>
    <row r="677" spans="1:5" x14ac:dyDescent="0.25">
      <c r="A677" s="17">
        <f ca="1">INDEX(Stations,INT((ROWS(A$2:A677)-1)/(DATE(YEAR(Invoer!$A$5),12,31)-DATE(YEAR(Invoer!$A$5),1,1)+1))+2,1)</f>
        <v>83</v>
      </c>
      <c r="B677" t="str">
        <f ca="1">TEXT(DATE(YEAR(Invoer!$A$5),1,1)+MOD(ROWS(B$2:B677)-1,DATE(YEAR(Invoer!$A$5),12,31)-DATE(YEAR(Invoer!$A$5),1,1)+1),"jjjjmmdd")</f>
        <v>19401105</v>
      </c>
      <c r="C677" s="18">
        <v>1</v>
      </c>
      <c r="D677" s="23">
        <f t="shared" ca="1" si="20"/>
        <v>70</v>
      </c>
      <c r="E677" s="24">
        <f t="shared" ca="1" si="21"/>
        <v>0</v>
      </c>
    </row>
    <row r="678" spans="1:5" x14ac:dyDescent="0.25">
      <c r="A678" s="17">
        <f ca="1">INDEX(Stations,INT((ROWS(A$2:A678)-1)/(DATE(YEAR(Invoer!$A$5),12,31)-DATE(YEAR(Invoer!$A$5),1,1)+1))+2,1)</f>
        <v>83</v>
      </c>
      <c r="B678" t="str">
        <f ca="1">TEXT(DATE(YEAR(Invoer!$A$5),1,1)+MOD(ROWS(B$2:B678)-1,DATE(YEAR(Invoer!$A$5),12,31)-DATE(YEAR(Invoer!$A$5),1,1)+1),"jjjjmmdd")</f>
        <v>19401106</v>
      </c>
      <c r="C678" s="18">
        <v>1</v>
      </c>
      <c r="D678" s="23">
        <f t="shared" ca="1" si="20"/>
        <v>0</v>
      </c>
      <c r="E678" s="24">
        <f t="shared" ca="1" si="21"/>
        <v>0</v>
      </c>
    </row>
    <row r="679" spans="1:5" x14ac:dyDescent="0.25">
      <c r="A679" s="17">
        <f ca="1">INDEX(Stations,INT((ROWS(A$2:A679)-1)/(DATE(YEAR(Invoer!$A$5),12,31)-DATE(YEAR(Invoer!$A$5),1,1)+1))+2,1)</f>
        <v>83</v>
      </c>
      <c r="B679" t="str">
        <f ca="1">TEXT(DATE(YEAR(Invoer!$A$5),1,1)+MOD(ROWS(B$2:B679)-1,DATE(YEAR(Invoer!$A$5),12,31)-DATE(YEAR(Invoer!$A$5),1,1)+1),"jjjjmmdd")</f>
        <v>19401107</v>
      </c>
      <c r="C679" s="18">
        <v>1</v>
      </c>
      <c r="D679" s="23">
        <f t="shared" ca="1" si="20"/>
        <v>0</v>
      </c>
      <c r="E679" s="24">
        <f t="shared" ca="1" si="21"/>
        <v>0</v>
      </c>
    </row>
    <row r="680" spans="1:5" x14ac:dyDescent="0.25">
      <c r="A680" s="17">
        <f ca="1">INDEX(Stations,INT((ROWS(A$2:A680)-1)/(DATE(YEAR(Invoer!$A$5),12,31)-DATE(YEAR(Invoer!$A$5),1,1)+1))+2,1)</f>
        <v>83</v>
      </c>
      <c r="B680" t="str">
        <f ca="1">TEXT(DATE(YEAR(Invoer!$A$5),1,1)+MOD(ROWS(B$2:B680)-1,DATE(YEAR(Invoer!$A$5),12,31)-DATE(YEAR(Invoer!$A$5),1,1)+1),"jjjjmmdd")</f>
        <v>19401108</v>
      </c>
      <c r="C680" s="18">
        <v>1</v>
      </c>
      <c r="D680" s="23">
        <f t="shared" ca="1" si="20"/>
        <v>0</v>
      </c>
      <c r="E680" s="24">
        <f t="shared" ca="1" si="21"/>
        <v>0</v>
      </c>
    </row>
    <row r="681" spans="1:5" x14ac:dyDescent="0.25">
      <c r="A681" s="17">
        <f ca="1">INDEX(Stations,INT((ROWS(A$2:A681)-1)/(DATE(YEAR(Invoer!$A$5),12,31)-DATE(YEAR(Invoer!$A$5),1,1)+1))+2,1)</f>
        <v>83</v>
      </c>
      <c r="B681" t="str">
        <f ca="1">TEXT(DATE(YEAR(Invoer!$A$5),1,1)+MOD(ROWS(B$2:B681)-1,DATE(YEAR(Invoer!$A$5),12,31)-DATE(YEAR(Invoer!$A$5),1,1)+1),"jjjjmmdd")</f>
        <v>19401109</v>
      </c>
      <c r="C681" s="18">
        <v>1</v>
      </c>
      <c r="D681" s="23">
        <f t="shared" ca="1" si="20"/>
        <v>0</v>
      </c>
      <c r="E681" s="24">
        <f t="shared" ca="1" si="21"/>
        <v>0</v>
      </c>
    </row>
    <row r="682" spans="1:5" x14ac:dyDescent="0.25">
      <c r="A682" s="17">
        <f ca="1">INDEX(Stations,INT((ROWS(A$2:A682)-1)/(DATE(YEAR(Invoer!$A$5),12,31)-DATE(YEAR(Invoer!$A$5),1,1)+1))+2,1)</f>
        <v>83</v>
      </c>
      <c r="B682" t="str">
        <f ca="1">TEXT(DATE(YEAR(Invoer!$A$5),1,1)+MOD(ROWS(B$2:B682)-1,DATE(YEAR(Invoer!$A$5),12,31)-DATE(YEAR(Invoer!$A$5),1,1)+1),"jjjjmmdd")</f>
        <v>19401110</v>
      </c>
      <c r="C682" s="18">
        <v>1</v>
      </c>
      <c r="D682" s="23">
        <f t="shared" ca="1" si="20"/>
        <v>130</v>
      </c>
      <c r="E682" s="24">
        <f t="shared" ca="1" si="21"/>
        <v>0</v>
      </c>
    </row>
    <row r="683" spans="1:5" x14ac:dyDescent="0.25">
      <c r="A683" s="17">
        <f ca="1">INDEX(Stations,INT((ROWS(A$2:A683)-1)/(DATE(YEAR(Invoer!$A$5),12,31)-DATE(YEAR(Invoer!$A$5),1,1)+1))+2,1)</f>
        <v>83</v>
      </c>
      <c r="B683" t="str">
        <f ca="1">TEXT(DATE(YEAR(Invoer!$A$5),1,1)+MOD(ROWS(B$2:B683)-1,DATE(YEAR(Invoer!$A$5),12,31)-DATE(YEAR(Invoer!$A$5),1,1)+1),"jjjjmmdd")</f>
        <v>19401111</v>
      </c>
      <c r="C683" s="18">
        <v>1</v>
      </c>
      <c r="D683" s="23">
        <f t="shared" ca="1" si="20"/>
        <v>60</v>
      </c>
      <c r="E683" s="24">
        <f t="shared" ca="1" si="21"/>
        <v>0</v>
      </c>
    </row>
    <row r="684" spans="1:5" x14ac:dyDescent="0.25">
      <c r="A684" s="17">
        <f ca="1">INDEX(Stations,INT((ROWS(A$2:A684)-1)/(DATE(YEAR(Invoer!$A$5),12,31)-DATE(YEAR(Invoer!$A$5),1,1)+1))+2,1)</f>
        <v>83</v>
      </c>
      <c r="B684" t="str">
        <f ca="1">TEXT(DATE(YEAR(Invoer!$A$5),1,1)+MOD(ROWS(B$2:B684)-1,DATE(YEAR(Invoer!$A$5),12,31)-DATE(YEAR(Invoer!$A$5),1,1)+1),"jjjjmmdd")</f>
        <v>19401112</v>
      </c>
      <c r="C684" s="18">
        <v>1</v>
      </c>
      <c r="D684" s="23">
        <f t="shared" ca="1" si="20"/>
        <v>0</v>
      </c>
      <c r="E684" s="24">
        <f t="shared" ca="1" si="21"/>
        <v>0</v>
      </c>
    </row>
    <row r="685" spans="1:5" x14ac:dyDescent="0.25">
      <c r="A685" s="17">
        <f ca="1">INDEX(Stations,INT((ROWS(A$2:A685)-1)/(DATE(YEAR(Invoer!$A$5),12,31)-DATE(YEAR(Invoer!$A$5),1,1)+1))+2,1)</f>
        <v>83</v>
      </c>
      <c r="B685" t="str">
        <f ca="1">TEXT(DATE(YEAR(Invoer!$A$5),1,1)+MOD(ROWS(B$2:B685)-1,DATE(YEAR(Invoer!$A$5),12,31)-DATE(YEAR(Invoer!$A$5),1,1)+1),"jjjjmmdd")</f>
        <v>19401113</v>
      </c>
      <c r="C685" s="18">
        <v>1</v>
      </c>
      <c r="D685" s="23">
        <f t="shared" ca="1" si="20"/>
        <v>100</v>
      </c>
      <c r="E685" s="24">
        <f t="shared" ca="1" si="21"/>
        <v>0</v>
      </c>
    </row>
    <row r="686" spans="1:5" x14ac:dyDescent="0.25">
      <c r="A686" s="17">
        <f ca="1">INDEX(Stations,INT((ROWS(A$2:A686)-1)/(DATE(YEAR(Invoer!$A$5),12,31)-DATE(YEAR(Invoer!$A$5),1,1)+1))+2,1)</f>
        <v>83</v>
      </c>
      <c r="B686" t="str">
        <f ca="1">TEXT(DATE(YEAR(Invoer!$A$5),1,1)+MOD(ROWS(B$2:B686)-1,DATE(YEAR(Invoer!$A$5),12,31)-DATE(YEAR(Invoer!$A$5),1,1)+1),"jjjjmmdd")</f>
        <v>19401114</v>
      </c>
      <c r="C686" s="18">
        <v>1</v>
      </c>
      <c r="D686" s="23">
        <f t="shared" ca="1" si="20"/>
        <v>20</v>
      </c>
      <c r="E686" s="24">
        <f t="shared" ca="1" si="21"/>
        <v>0</v>
      </c>
    </row>
    <row r="687" spans="1:5" x14ac:dyDescent="0.25">
      <c r="A687" s="17">
        <f ca="1">INDEX(Stations,INT((ROWS(A$2:A687)-1)/(DATE(YEAR(Invoer!$A$5),12,31)-DATE(YEAR(Invoer!$A$5),1,1)+1))+2,1)</f>
        <v>83</v>
      </c>
      <c r="B687" t="str">
        <f ca="1">TEXT(DATE(YEAR(Invoer!$A$5),1,1)+MOD(ROWS(B$2:B687)-1,DATE(YEAR(Invoer!$A$5),12,31)-DATE(YEAR(Invoer!$A$5),1,1)+1),"jjjjmmdd")</f>
        <v>19401115</v>
      </c>
      <c r="C687" s="18">
        <v>1</v>
      </c>
      <c r="D687" s="23">
        <f t="shared" ca="1" si="20"/>
        <v>130</v>
      </c>
      <c r="E687" s="24">
        <f t="shared" ca="1" si="21"/>
        <v>0</v>
      </c>
    </row>
    <row r="688" spans="1:5" x14ac:dyDescent="0.25">
      <c r="A688" s="17">
        <f ca="1">INDEX(Stations,INT((ROWS(A$2:A688)-1)/(DATE(YEAR(Invoer!$A$5),12,31)-DATE(YEAR(Invoer!$A$5),1,1)+1))+2,1)</f>
        <v>83</v>
      </c>
      <c r="B688" t="str">
        <f ca="1">TEXT(DATE(YEAR(Invoer!$A$5),1,1)+MOD(ROWS(B$2:B688)-1,DATE(YEAR(Invoer!$A$5),12,31)-DATE(YEAR(Invoer!$A$5),1,1)+1),"jjjjmmdd")</f>
        <v>19401116</v>
      </c>
      <c r="C688" s="18">
        <v>1</v>
      </c>
      <c r="D688" s="23">
        <f t="shared" ca="1" si="20"/>
        <v>0</v>
      </c>
      <c r="E688" s="24">
        <f t="shared" ca="1" si="21"/>
        <v>0</v>
      </c>
    </row>
    <row r="689" spans="1:5" x14ac:dyDescent="0.25">
      <c r="A689" s="17">
        <f ca="1">INDEX(Stations,INT((ROWS(A$2:A689)-1)/(DATE(YEAR(Invoer!$A$5),12,31)-DATE(YEAR(Invoer!$A$5),1,1)+1))+2,1)</f>
        <v>83</v>
      </c>
      <c r="B689" t="str">
        <f ca="1">TEXT(DATE(YEAR(Invoer!$A$5),1,1)+MOD(ROWS(B$2:B689)-1,DATE(YEAR(Invoer!$A$5),12,31)-DATE(YEAR(Invoer!$A$5),1,1)+1),"jjjjmmdd")</f>
        <v>19401117</v>
      </c>
      <c r="C689" s="18">
        <v>1</v>
      </c>
      <c r="D689" s="23">
        <f t="shared" ca="1" si="20"/>
        <v>0</v>
      </c>
      <c r="E689" s="24">
        <f t="shared" ca="1" si="21"/>
        <v>0</v>
      </c>
    </row>
    <row r="690" spans="1:5" x14ac:dyDescent="0.25">
      <c r="A690" s="17">
        <f ca="1">INDEX(Stations,INT((ROWS(A$2:A690)-1)/(DATE(YEAR(Invoer!$A$5),12,31)-DATE(YEAR(Invoer!$A$5),1,1)+1))+2,1)</f>
        <v>83</v>
      </c>
      <c r="B690" t="str">
        <f ca="1">TEXT(DATE(YEAR(Invoer!$A$5),1,1)+MOD(ROWS(B$2:B690)-1,DATE(YEAR(Invoer!$A$5),12,31)-DATE(YEAR(Invoer!$A$5),1,1)+1),"jjjjmmdd")</f>
        <v>19401118</v>
      </c>
      <c r="C690" s="18">
        <v>1</v>
      </c>
      <c r="D690" s="23">
        <f t="shared" ca="1" si="20"/>
        <v>0</v>
      </c>
      <c r="E690" s="24">
        <f t="shared" ca="1" si="21"/>
        <v>0</v>
      </c>
    </row>
    <row r="691" spans="1:5" x14ac:dyDescent="0.25">
      <c r="A691" s="17">
        <f ca="1">INDEX(Stations,INT((ROWS(A$2:A691)-1)/(DATE(YEAR(Invoer!$A$5),12,31)-DATE(YEAR(Invoer!$A$5),1,1)+1))+2,1)</f>
        <v>83</v>
      </c>
      <c r="B691" t="str">
        <f ca="1">TEXT(DATE(YEAR(Invoer!$A$5),1,1)+MOD(ROWS(B$2:B691)-1,DATE(YEAR(Invoer!$A$5),12,31)-DATE(YEAR(Invoer!$A$5),1,1)+1),"jjjjmmdd")</f>
        <v>19401119</v>
      </c>
      <c r="C691" s="18">
        <v>1</v>
      </c>
      <c r="D691" s="23">
        <f t="shared" ca="1" si="20"/>
        <v>30</v>
      </c>
      <c r="E691" s="24">
        <f t="shared" ca="1" si="21"/>
        <v>0</v>
      </c>
    </row>
    <row r="692" spans="1:5" x14ac:dyDescent="0.25">
      <c r="A692" s="17">
        <f ca="1">INDEX(Stations,INT((ROWS(A$2:A692)-1)/(DATE(YEAR(Invoer!$A$5),12,31)-DATE(YEAR(Invoer!$A$5),1,1)+1))+2,1)</f>
        <v>83</v>
      </c>
      <c r="B692" t="str">
        <f ca="1">TEXT(DATE(YEAR(Invoer!$A$5),1,1)+MOD(ROWS(B$2:B692)-1,DATE(YEAR(Invoer!$A$5),12,31)-DATE(YEAR(Invoer!$A$5),1,1)+1),"jjjjmmdd")</f>
        <v>19401120</v>
      </c>
      <c r="C692" s="18">
        <v>1</v>
      </c>
      <c r="D692" s="23">
        <f t="shared" ca="1" si="20"/>
        <v>90</v>
      </c>
      <c r="E692" s="24">
        <f t="shared" ca="1" si="21"/>
        <v>0</v>
      </c>
    </row>
    <row r="693" spans="1:5" x14ac:dyDescent="0.25">
      <c r="A693" s="17">
        <f ca="1">INDEX(Stations,INT((ROWS(A$2:A693)-1)/(DATE(YEAR(Invoer!$A$5),12,31)-DATE(YEAR(Invoer!$A$5),1,1)+1))+2,1)</f>
        <v>83</v>
      </c>
      <c r="B693" t="str">
        <f ca="1">TEXT(DATE(YEAR(Invoer!$A$5),1,1)+MOD(ROWS(B$2:B693)-1,DATE(YEAR(Invoer!$A$5),12,31)-DATE(YEAR(Invoer!$A$5),1,1)+1),"jjjjmmdd")</f>
        <v>19401121</v>
      </c>
      <c r="C693" s="18">
        <v>1</v>
      </c>
      <c r="D693" s="23">
        <f t="shared" ca="1" si="20"/>
        <v>0</v>
      </c>
      <c r="E693" s="24">
        <f t="shared" ca="1" si="21"/>
        <v>0</v>
      </c>
    </row>
    <row r="694" spans="1:5" x14ac:dyDescent="0.25">
      <c r="A694" s="17">
        <f ca="1">INDEX(Stations,INT((ROWS(A$2:A694)-1)/(DATE(YEAR(Invoer!$A$5),12,31)-DATE(YEAR(Invoer!$A$5),1,1)+1))+2,1)</f>
        <v>83</v>
      </c>
      <c r="B694" t="str">
        <f ca="1">TEXT(DATE(YEAR(Invoer!$A$5),1,1)+MOD(ROWS(B$2:B694)-1,DATE(YEAR(Invoer!$A$5),12,31)-DATE(YEAR(Invoer!$A$5),1,1)+1),"jjjjmmdd")</f>
        <v>19401122</v>
      </c>
      <c r="C694" s="18">
        <v>1</v>
      </c>
      <c r="D694" s="23">
        <f t="shared" ca="1" si="20"/>
        <v>0</v>
      </c>
      <c r="E694" s="24">
        <f t="shared" ca="1" si="21"/>
        <v>0</v>
      </c>
    </row>
    <row r="695" spans="1:5" x14ac:dyDescent="0.25">
      <c r="A695" s="17">
        <f ca="1">INDEX(Stations,INT((ROWS(A$2:A695)-1)/(DATE(YEAR(Invoer!$A$5),12,31)-DATE(YEAR(Invoer!$A$5),1,1)+1))+2,1)</f>
        <v>83</v>
      </c>
      <c r="B695" t="str">
        <f ca="1">TEXT(DATE(YEAR(Invoer!$A$5),1,1)+MOD(ROWS(B$2:B695)-1,DATE(YEAR(Invoer!$A$5),12,31)-DATE(YEAR(Invoer!$A$5),1,1)+1),"jjjjmmdd")</f>
        <v>19401123</v>
      </c>
      <c r="C695" s="18">
        <v>1</v>
      </c>
      <c r="D695" s="23">
        <f t="shared" ca="1" si="20"/>
        <v>20</v>
      </c>
      <c r="E695" s="24">
        <f t="shared" ca="1" si="21"/>
        <v>0</v>
      </c>
    </row>
    <row r="696" spans="1:5" x14ac:dyDescent="0.25">
      <c r="A696" s="17">
        <f ca="1">INDEX(Stations,INT((ROWS(A$2:A696)-1)/(DATE(YEAR(Invoer!$A$5),12,31)-DATE(YEAR(Invoer!$A$5),1,1)+1))+2,1)</f>
        <v>83</v>
      </c>
      <c r="B696" t="str">
        <f ca="1">TEXT(DATE(YEAR(Invoer!$A$5),1,1)+MOD(ROWS(B$2:B696)-1,DATE(YEAR(Invoer!$A$5),12,31)-DATE(YEAR(Invoer!$A$5),1,1)+1),"jjjjmmdd")</f>
        <v>19401124</v>
      </c>
      <c r="C696" s="18">
        <v>1</v>
      </c>
      <c r="D696" s="23">
        <f t="shared" ca="1" si="20"/>
        <v>240</v>
      </c>
      <c r="E696" s="24">
        <f t="shared" ca="1" si="21"/>
        <v>0</v>
      </c>
    </row>
    <row r="697" spans="1:5" x14ac:dyDescent="0.25">
      <c r="A697" s="17">
        <f ca="1">INDEX(Stations,INT((ROWS(A$2:A697)-1)/(DATE(YEAR(Invoer!$A$5),12,31)-DATE(YEAR(Invoer!$A$5),1,1)+1))+2,1)</f>
        <v>83</v>
      </c>
      <c r="B697" t="str">
        <f ca="1">TEXT(DATE(YEAR(Invoer!$A$5),1,1)+MOD(ROWS(B$2:B697)-1,DATE(YEAR(Invoer!$A$5),12,31)-DATE(YEAR(Invoer!$A$5),1,1)+1),"jjjjmmdd")</f>
        <v>19401125</v>
      </c>
      <c r="C697" s="18">
        <v>1</v>
      </c>
      <c r="D697" s="23">
        <f t="shared" ca="1" si="20"/>
        <v>0</v>
      </c>
      <c r="E697" s="24">
        <f t="shared" ca="1" si="21"/>
        <v>0</v>
      </c>
    </row>
    <row r="698" spans="1:5" x14ac:dyDescent="0.25">
      <c r="A698" s="17">
        <f ca="1">INDEX(Stations,INT((ROWS(A$2:A698)-1)/(DATE(YEAR(Invoer!$A$5),12,31)-DATE(YEAR(Invoer!$A$5),1,1)+1))+2,1)</f>
        <v>83</v>
      </c>
      <c r="B698" t="str">
        <f ca="1">TEXT(DATE(YEAR(Invoer!$A$5),1,1)+MOD(ROWS(B$2:B698)-1,DATE(YEAR(Invoer!$A$5),12,31)-DATE(YEAR(Invoer!$A$5),1,1)+1),"jjjjmmdd")</f>
        <v>19401126</v>
      </c>
      <c r="C698" s="18">
        <v>1</v>
      </c>
      <c r="D698" s="23">
        <f t="shared" ca="1" si="20"/>
        <v>40</v>
      </c>
      <c r="E698" s="24">
        <f t="shared" ca="1" si="21"/>
        <v>0</v>
      </c>
    </row>
    <row r="699" spans="1:5" x14ac:dyDescent="0.25">
      <c r="A699" s="17">
        <f ca="1">INDEX(Stations,INT((ROWS(A$2:A699)-1)/(DATE(YEAR(Invoer!$A$5),12,31)-DATE(YEAR(Invoer!$A$5),1,1)+1))+2,1)</f>
        <v>83</v>
      </c>
      <c r="B699" t="str">
        <f ca="1">TEXT(DATE(YEAR(Invoer!$A$5),1,1)+MOD(ROWS(B$2:B699)-1,DATE(YEAR(Invoer!$A$5),12,31)-DATE(YEAR(Invoer!$A$5),1,1)+1),"jjjjmmdd")</f>
        <v>19401127</v>
      </c>
      <c r="C699" s="18">
        <v>1</v>
      </c>
      <c r="D699" s="23">
        <f t="shared" ca="1" si="20"/>
        <v>0</v>
      </c>
      <c r="E699" s="24">
        <f t="shared" ca="1" si="21"/>
        <v>0</v>
      </c>
    </row>
    <row r="700" spans="1:5" x14ac:dyDescent="0.25">
      <c r="A700" s="17">
        <f ca="1">INDEX(Stations,INT((ROWS(A$2:A700)-1)/(DATE(YEAR(Invoer!$A$5),12,31)-DATE(YEAR(Invoer!$A$5),1,1)+1))+2,1)</f>
        <v>83</v>
      </c>
      <c r="B700" t="str">
        <f ca="1">TEXT(DATE(YEAR(Invoer!$A$5),1,1)+MOD(ROWS(B$2:B700)-1,DATE(YEAR(Invoer!$A$5),12,31)-DATE(YEAR(Invoer!$A$5),1,1)+1),"jjjjmmdd")</f>
        <v>19401128</v>
      </c>
      <c r="C700" s="18">
        <v>1</v>
      </c>
      <c r="D700" s="23">
        <f t="shared" ca="1" si="20"/>
        <v>20</v>
      </c>
      <c r="E700" s="24">
        <f t="shared" ca="1" si="21"/>
        <v>0</v>
      </c>
    </row>
    <row r="701" spans="1:5" x14ac:dyDescent="0.25">
      <c r="A701" s="17">
        <f ca="1">INDEX(Stations,INT((ROWS(A$2:A701)-1)/(DATE(YEAR(Invoer!$A$5),12,31)-DATE(YEAR(Invoer!$A$5),1,1)+1))+2,1)</f>
        <v>83</v>
      </c>
      <c r="B701" t="str">
        <f ca="1">TEXT(DATE(YEAR(Invoer!$A$5),1,1)+MOD(ROWS(B$2:B701)-1,DATE(YEAR(Invoer!$A$5),12,31)-DATE(YEAR(Invoer!$A$5),1,1)+1),"jjjjmmdd")</f>
        <v>19401129</v>
      </c>
      <c r="C701" s="18">
        <v>1</v>
      </c>
      <c r="D701" s="23">
        <f t="shared" ca="1" si="20"/>
        <v>70</v>
      </c>
      <c r="E701" s="24">
        <f t="shared" ca="1" si="21"/>
        <v>0</v>
      </c>
    </row>
    <row r="702" spans="1:5" x14ac:dyDescent="0.25">
      <c r="A702" s="17">
        <f ca="1">INDEX(Stations,INT((ROWS(A$2:A702)-1)/(DATE(YEAR(Invoer!$A$5),12,31)-DATE(YEAR(Invoer!$A$5),1,1)+1))+2,1)</f>
        <v>83</v>
      </c>
      <c r="B702" t="str">
        <f ca="1">TEXT(DATE(YEAR(Invoer!$A$5),1,1)+MOD(ROWS(B$2:B702)-1,DATE(YEAR(Invoer!$A$5),12,31)-DATE(YEAR(Invoer!$A$5),1,1)+1),"jjjjmmdd")</f>
        <v>19401130</v>
      </c>
      <c r="C702" s="18">
        <v>1</v>
      </c>
      <c r="D702" s="23">
        <f t="shared" ca="1" si="20"/>
        <v>0</v>
      </c>
      <c r="E702" s="24">
        <f t="shared" ca="1" si="21"/>
        <v>0</v>
      </c>
    </row>
    <row r="703" spans="1:5" x14ac:dyDescent="0.25">
      <c r="A703" s="17">
        <f ca="1">INDEX(Stations,INT((ROWS(A$2:A703)-1)/(DATE(YEAR(Invoer!$A$5),12,31)-DATE(YEAR(Invoer!$A$5),1,1)+1))+2,1)</f>
        <v>83</v>
      </c>
      <c r="B703" t="str">
        <f ca="1">TEXT(DATE(YEAR(Invoer!$A$5),1,1)+MOD(ROWS(B$2:B703)-1,DATE(YEAR(Invoer!$A$5),12,31)-DATE(YEAR(Invoer!$A$5),1,1)+1),"jjjjmmdd")</f>
        <v>19401201</v>
      </c>
      <c r="C703" s="18">
        <v>1</v>
      </c>
      <c r="D703" s="23">
        <f t="shared" ca="1" si="20"/>
        <v>0</v>
      </c>
      <c r="E703" s="24">
        <f t="shared" ca="1" si="21"/>
        <v>0</v>
      </c>
    </row>
    <row r="704" spans="1:5" x14ac:dyDescent="0.25">
      <c r="A704" s="17">
        <f ca="1">INDEX(Stations,INT((ROWS(A$2:A704)-1)/(DATE(YEAR(Invoer!$A$5),12,31)-DATE(YEAR(Invoer!$A$5),1,1)+1))+2,1)</f>
        <v>83</v>
      </c>
      <c r="B704" t="str">
        <f ca="1">TEXT(DATE(YEAR(Invoer!$A$5),1,1)+MOD(ROWS(B$2:B704)-1,DATE(YEAR(Invoer!$A$5),12,31)-DATE(YEAR(Invoer!$A$5),1,1)+1),"jjjjmmdd")</f>
        <v>19401202</v>
      </c>
      <c r="C704" s="18">
        <v>1</v>
      </c>
      <c r="D704" s="23">
        <f t="shared" ca="1" si="20"/>
        <v>0</v>
      </c>
      <c r="E704" s="24">
        <f t="shared" ca="1" si="21"/>
        <v>0</v>
      </c>
    </row>
    <row r="705" spans="1:5" x14ac:dyDescent="0.25">
      <c r="A705" s="17">
        <f ca="1">INDEX(Stations,INT((ROWS(A$2:A705)-1)/(DATE(YEAR(Invoer!$A$5),12,31)-DATE(YEAR(Invoer!$A$5),1,1)+1))+2,1)</f>
        <v>83</v>
      </c>
      <c r="B705" t="str">
        <f ca="1">TEXT(DATE(YEAR(Invoer!$A$5),1,1)+MOD(ROWS(B$2:B705)-1,DATE(YEAR(Invoer!$A$5),12,31)-DATE(YEAR(Invoer!$A$5),1,1)+1),"jjjjmmdd")</f>
        <v>19401203</v>
      </c>
      <c r="C705" s="18">
        <v>1</v>
      </c>
      <c r="D705" s="23">
        <f t="shared" ca="1" si="20"/>
        <v>0</v>
      </c>
      <c r="E705" s="24">
        <f t="shared" ca="1" si="21"/>
        <v>0</v>
      </c>
    </row>
    <row r="706" spans="1:5" x14ac:dyDescent="0.25">
      <c r="A706" s="17">
        <f ca="1">INDEX(Stations,INT((ROWS(A$2:A706)-1)/(DATE(YEAR(Invoer!$A$5),12,31)-DATE(YEAR(Invoer!$A$5),1,1)+1))+2,1)</f>
        <v>83</v>
      </c>
      <c r="B706" t="str">
        <f ca="1">TEXT(DATE(YEAR(Invoer!$A$5),1,1)+MOD(ROWS(B$2:B706)-1,DATE(YEAR(Invoer!$A$5),12,31)-DATE(YEAR(Invoer!$A$5),1,1)+1),"jjjjmmdd")</f>
        <v>19401204</v>
      </c>
      <c r="C706" s="18">
        <v>1</v>
      </c>
      <c r="D706" s="23">
        <f t="shared" ref="D706:D769" ca="1" si="22">IF(OR(ISBLANK(VLOOKUP(DATEVALUE(LEFT(B706,4)&amp;"-"&amp;MID(B706,5,2)&amp;"-"&amp;RIGHT(B706,2)),Data,MATCH(VLOOKUP(A706,Stations,2,FALSE()),OFFSET(Data,1,0,1),0),FALSE())),ISTEXT(VLOOKUP(DATEVALUE(LEFT(B706,4)&amp;"-"&amp;MID(B706,5,2)&amp;"-"&amp;RIGHT(B706,2)),Data,MATCH(VLOOKUP(A706,Stations,2,FALSE()),OFFSET(Data,1,0,1),0),FALSE()))),"—",VLOOKUP(DATEVALUE(LEFT(B706,4)&amp;"-"&amp;MID(B706,5,2)&amp;"-"&amp;RIGHT(B706,2)),Data,MATCH(VLOOKUP(A706,Stations,2,FALSE()),OFFSET(Data,1,0,1),0),FALSE()))</f>
        <v>0</v>
      </c>
      <c r="E706" s="24">
        <f t="shared" ref="E706:E769" ca="1" si="23">IF(OR(ISBLANK(VLOOKUP(DATEVALUE(LEFT(B706,4)&amp;"-"&amp;MID(B706,5,2)&amp;"-"&amp;RIGHT(B706,2)),Data,MATCH(VLOOKUP(A706,Stations,2,FALSE()),OFFSET(Data,1,0,1),0),FALSE())),ISTEXT(VLOOKUP(DATEVALUE(LEFT(B706,4)&amp;"-"&amp;MID(B706,5,2)&amp;"-"&amp;RIGHT(B706,2)),Data,MATCH(VLOOKUP(A706,Stations,2,FALSE()),OFFSET(Data,1,0,1),0),FALSE()))),Lacking,IF(ISNA(MATCH(DATEVALUE(LEFT(B706,4)&amp;"-"&amp;MID(B706,5,2)&amp;"-"&amp;RIGHT(B706,2)),OFFSET(Catalogus,0,0,,1),0)),Ok,VLOOKUP(DATEVALUE(LEFT(B706,4)&amp;"-"&amp;MID(B706,5,2)&amp;"-"&amp;RIGHT(B706,2)),Catalogus,MATCH(VLOOKUP(A706,Stations,2,FALSE()),OFFSET(Catalogus,1,0,1),0),FALSE())))</f>
        <v>0</v>
      </c>
    </row>
    <row r="707" spans="1:5" x14ac:dyDescent="0.25">
      <c r="A707" s="17">
        <f ca="1">INDEX(Stations,INT((ROWS(A$2:A707)-1)/(DATE(YEAR(Invoer!$A$5),12,31)-DATE(YEAR(Invoer!$A$5),1,1)+1))+2,1)</f>
        <v>83</v>
      </c>
      <c r="B707" t="str">
        <f ca="1">TEXT(DATE(YEAR(Invoer!$A$5),1,1)+MOD(ROWS(B$2:B707)-1,DATE(YEAR(Invoer!$A$5),12,31)-DATE(YEAR(Invoer!$A$5),1,1)+1),"jjjjmmdd")</f>
        <v>19401205</v>
      </c>
      <c r="C707" s="18">
        <v>1</v>
      </c>
      <c r="D707" s="23">
        <f t="shared" ca="1" si="22"/>
        <v>60</v>
      </c>
      <c r="E707" s="24">
        <f t="shared" ca="1" si="23"/>
        <v>0</v>
      </c>
    </row>
    <row r="708" spans="1:5" x14ac:dyDescent="0.25">
      <c r="A708" s="17">
        <f ca="1">INDEX(Stations,INT((ROWS(A$2:A708)-1)/(DATE(YEAR(Invoer!$A$5),12,31)-DATE(YEAR(Invoer!$A$5),1,1)+1))+2,1)</f>
        <v>83</v>
      </c>
      <c r="B708" t="str">
        <f ca="1">TEXT(DATE(YEAR(Invoer!$A$5),1,1)+MOD(ROWS(B$2:B708)-1,DATE(YEAR(Invoer!$A$5),12,31)-DATE(YEAR(Invoer!$A$5),1,1)+1),"jjjjmmdd")</f>
        <v>19401206</v>
      </c>
      <c r="C708" s="18">
        <v>1</v>
      </c>
      <c r="D708" s="23">
        <f t="shared" ca="1" si="22"/>
        <v>25</v>
      </c>
      <c r="E708" s="24">
        <f t="shared" ca="1" si="23"/>
        <v>0</v>
      </c>
    </row>
    <row r="709" spans="1:5" x14ac:dyDescent="0.25">
      <c r="A709" s="17">
        <f ca="1">INDEX(Stations,INT((ROWS(A$2:A709)-1)/(DATE(YEAR(Invoer!$A$5),12,31)-DATE(YEAR(Invoer!$A$5),1,1)+1))+2,1)</f>
        <v>83</v>
      </c>
      <c r="B709" t="str">
        <f ca="1">TEXT(DATE(YEAR(Invoer!$A$5),1,1)+MOD(ROWS(B$2:B709)-1,DATE(YEAR(Invoer!$A$5),12,31)-DATE(YEAR(Invoer!$A$5),1,1)+1),"jjjjmmdd")</f>
        <v>19401207</v>
      </c>
      <c r="C709" s="18">
        <v>1</v>
      </c>
      <c r="D709" s="23">
        <f t="shared" ca="1" si="22"/>
        <v>0</v>
      </c>
      <c r="E709" s="24">
        <f t="shared" ca="1" si="23"/>
        <v>0</v>
      </c>
    </row>
    <row r="710" spans="1:5" x14ac:dyDescent="0.25">
      <c r="A710" s="17">
        <f ca="1">INDEX(Stations,INT((ROWS(A$2:A710)-1)/(DATE(YEAR(Invoer!$A$5),12,31)-DATE(YEAR(Invoer!$A$5),1,1)+1))+2,1)</f>
        <v>83</v>
      </c>
      <c r="B710" t="str">
        <f ca="1">TEXT(DATE(YEAR(Invoer!$A$5),1,1)+MOD(ROWS(B$2:B710)-1,DATE(YEAR(Invoer!$A$5),12,31)-DATE(YEAR(Invoer!$A$5),1,1)+1),"jjjjmmdd")</f>
        <v>19401208</v>
      </c>
      <c r="C710" s="18">
        <v>1</v>
      </c>
      <c r="D710" s="23">
        <f t="shared" ca="1" si="22"/>
        <v>0</v>
      </c>
      <c r="E710" s="24">
        <f t="shared" ca="1" si="23"/>
        <v>0</v>
      </c>
    </row>
    <row r="711" spans="1:5" x14ac:dyDescent="0.25">
      <c r="A711" s="17">
        <f ca="1">INDEX(Stations,INT((ROWS(A$2:A711)-1)/(DATE(YEAR(Invoer!$A$5),12,31)-DATE(YEAR(Invoer!$A$5),1,1)+1))+2,1)</f>
        <v>83</v>
      </c>
      <c r="B711" t="str">
        <f ca="1">TEXT(DATE(YEAR(Invoer!$A$5),1,1)+MOD(ROWS(B$2:B711)-1,DATE(YEAR(Invoer!$A$5),12,31)-DATE(YEAR(Invoer!$A$5),1,1)+1),"jjjjmmdd")</f>
        <v>19401209</v>
      </c>
      <c r="C711" s="18">
        <v>1</v>
      </c>
      <c r="D711" s="23">
        <f t="shared" ca="1" si="22"/>
        <v>0</v>
      </c>
      <c r="E711" s="24">
        <f t="shared" ca="1" si="23"/>
        <v>0</v>
      </c>
    </row>
    <row r="712" spans="1:5" x14ac:dyDescent="0.25">
      <c r="A712" s="17">
        <f ca="1">INDEX(Stations,INT((ROWS(A$2:A712)-1)/(DATE(YEAR(Invoer!$A$5),12,31)-DATE(YEAR(Invoer!$A$5),1,1)+1))+2,1)</f>
        <v>83</v>
      </c>
      <c r="B712" t="str">
        <f ca="1">TEXT(DATE(YEAR(Invoer!$A$5),1,1)+MOD(ROWS(B$2:B712)-1,DATE(YEAR(Invoer!$A$5),12,31)-DATE(YEAR(Invoer!$A$5),1,1)+1),"jjjjmmdd")</f>
        <v>19401210</v>
      </c>
      <c r="C712" s="18">
        <v>1</v>
      </c>
      <c r="D712" s="23">
        <f t="shared" ca="1" si="22"/>
        <v>0</v>
      </c>
      <c r="E712" s="24">
        <f t="shared" ca="1" si="23"/>
        <v>0</v>
      </c>
    </row>
    <row r="713" spans="1:5" x14ac:dyDescent="0.25">
      <c r="A713" s="17">
        <f ca="1">INDEX(Stations,INT((ROWS(A$2:A713)-1)/(DATE(YEAR(Invoer!$A$5),12,31)-DATE(YEAR(Invoer!$A$5),1,1)+1))+2,1)</f>
        <v>83</v>
      </c>
      <c r="B713" t="str">
        <f ca="1">TEXT(DATE(YEAR(Invoer!$A$5),1,1)+MOD(ROWS(B$2:B713)-1,DATE(YEAR(Invoer!$A$5),12,31)-DATE(YEAR(Invoer!$A$5),1,1)+1),"jjjjmmdd")</f>
        <v>19401211</v>
      </c>
      <c r="C713" s="18">
        <v>1</v>
      </c>
      <c r="D713" s="23">
        <f t="shared" ca="1" si="22"/>
        <v>20</v>
      </c>
      <c r="E713" s="24">
        <f t="shared" ca="1" si="23"/>
        <v>0</v>
      </c>
    </row>
    <row r="714" spans="1:5" x14ac:dyDescent="0.25">
      <c r="A714" s="17">
        <f ca="1">INDEX(Stations,INT((ROWS(A$2:A714)-1)/(DATE(YEAR(Invoer!$A$5),12,31)-DATE(YEAR(Invoer!$A$5),1,1)+1))+2,1)</f>
        <v>83</v>
      </c>
      <c r="B714" t="str">
        <f ca="1">TEXT(DATE(YEAR(Invoer!$A$5),1,1)+MOD(ROWS(B$2:B714)-1,DATE(YEAR(Invoer!$A$5),12,31)-DATE(YEAR(Invoer!$A$5),1,1)+1),"jjjjmmdd")</f>
        <v>19401212</v>
      </c>
      <c r="C714" s="18">
        <v>1</v>
      </c>
      <c r="D714" s="23">
        <f t="shared" ca="1" si="22"/>
        <v>0</v>
      </c>
      <c r="E714" s="24">
        <f t="shared" ca="1" si="23"/>
        <v>0</v>
      </c>
    </row>
    <row r="715" spans="1:5" x14ac:dyDescent="0.25">
      <c r="A715" s="17">
        <f ca="1">INDEX(Stations,INT((ROWS(A$2:A715)-1)/(DATE(YEAR(Invoer!$A$5),12,31)-DATE(YEAR(Invoer!$A$5),1,1)+1))+2,1)</f>
        <v>83</v>
      </c>
      <c r="B715" t="str">
        <f ca="1">TEXT(DATE(YEAR(Invoer!$A$5),1,1)+MOD(ROWS(B$2:B715)-1,DATE(YEAR(Invoer!$A$5),12,31)-DATE(YEAR(Invoer!$A$5),1,1)+1),"jjjjmmdd")</f>
        <v>19401213</v>
      </c>
      <c r="C715" s="18">
        <v>1</v>
      </c>
      <c r="D715" s="23">
        <f t="shared" ca="1" si="22"/>
        <v>0</v>
      </c>
      <c r="E715" s="24">
        <f t="shared" ca="1" si="23"/>
        <v>0</v>
      </c>
    </row>
    <row r="716" spans="1:5" x14ac:dyDescent="0.25">
      <c r="A716" s="17">
        <f ca="1">INDEX(Stations,INT((ROWS(A$2:A716)-1)/(DATE(YEAR(Invoer!$A$5),12,31)-DATE(YEAR(Invoer!$A$5),1,1)+1))+2,1)</f>
        <v>83</v>
      </c>
      <c r="B716" t="str">
        <f ca="1">TEXT(DATE(YEAR(Invoer!$A$5),1,1)+MOD(ROWS(B$2:B716)-1,DATE(YEAR(Invoer!$A$5),12,31)-DATE(YEAR(Invoer!$A$5),1,1)+1),"jjjjmmdd")</f>
        <v>19401214</v>
      </c>
      <c r="C716" s="18">
        <v>1</v>
      </c>
      <c r="D716" s="23">
        <f t="shared" ca="1" si="22"/>
        <v>50</v>
      </c>
      <c r="E716" s="24">
        <f t="shared" ca="1" si="23"/>
        <v>0</v>
      </c>
    </row>
    <row r="717" spans="1:5" x14ac:dyDescent="0.25">
      <c r="A717" s="17">
        <f ca="1">INDEX(Stations,INT((ROWS(A$2:A717)-1)/(DATE(YEAR(Invoer!$A$5),12,31)-DATE(YEAR(Invoer!$A$5),1,1)+1))+2,1)</f>
        <v>83</v>
      </c>
      <c r="B717" t="str">
        <f ca="1">TEXT(DATE(YEAR(Invoer!$A$5),1,1)+MOD(ROWS(B$2:B717)-1,DATE(YEAR(Invoer!$A$5),12,31)-DATE(YEAR(Invoer!$A$5),1,1)+1),"jjjjmmdd")</f>
        <v>19401215</v>
      </c>
      <c r="C717" s="18">
        <v>1</v>
      </c>
      <c r="D717" s="23">
        <f t="shared" ca="1" si="22"/>
        <v>15</v>
      </c>
      <c r="E717" s="24">
        <f t="shared" ca="1" si="23"/>
        <v>0</v>
      </c>
    </row>
    <row r="718" spans="1:5" x14ac:dyDescent="0.25">
      <c r="A718" s="17">
        <f ca="1">INDEX(Stations,INT((ROWS(A$2:A718)-1)/(DATE(YEAR(Invoer!$A$5),12,31)-DATE(YEAR(Invoer!$A$5),1,1)+1))+2,1)</f>
        <v>83</v>
      </c>
      <c r="B718" t="str">
        <f ca="1">TEXT(DATE(YEAR(Invoer!$A$5),1,1)+MOD(ROWS(B$2:B718)-1,DATE(YEAR(Invoer!$A$5),12,31)-DATE(YEAR(Invoer!$A$5),1,1)+1),"jjjjmmdd")</f>
        <v>19401216</v>
      </c>
      <c r="C718" s="18">
        <v>1</v>
      </c>
      <c r="D718" s="23">
        <f t="shared" ca="1" si="22"/>
        <v>0</v>
      </c>
      <c r="E718" s="24">
        <f t="shared" ca="1" si="23"/>
        <v>0</v>
      </c>
    </row>
    <row r="719" spans="1:5" x14ac:dyDescent="0.25">
      <c r="A719" s="17">
        <f ca="1">INDEX(Stations,INT((ROWS(A$2:A719)-1)/(DATE(YEAR(Invoer!$A$5),12,31)-DATE(YEAR(Invoer!$A$5),1,1)+1))+2,1)</f>
        <v>83</v>
      </c>
      <c r="B719" t="str">
        <f ca="1">TEXT(DATE(YEAR(Invoer!$A$5),1,1)+MOD(ROWS(B$2:B719)-1,DATE(YEAR(Invoer!$A$5),12,31)-DATE(YEAR(Invoer!$A$5),1,1)+1),"jjjjmmdd")</f>
        <v>19401217</v>
      </c>
      <c r="C719" s="18">
        <v>1</v>
      </c>
      <c r="D719" s="23">
        <f t="shared" ca="1" si="22"/>
        <v>0</v>
      </c>
      <c r="E719" s="24">
        <f t="shared" ca="1" si="23"/>
        <v>0</v>
      </c>
    </row>
    <row r="720" spans="1:5" x14ac:dyDescent="0.25">
      <c r="A720" s="17">
        <f ca="1">INDEX(Stations,INT((ROWS(A$2:A720)-1)/(DATE(YEAR(Invoer!$A$5),12,31)-DATE(YEAR(Invoer!$A$5),1,1)+1))+2,1)</f>
        <v>83</v>
      </c>
      <c r="B720" t="str">
        <f ca="1">TEXT(DATE(YEAR(Invoer!$A$5),1,1)+MOD(ROWS(B$2:B720)-1,DATE(YEAR(Invoer!$A$5),12,31)-DATE(YEAR(Invoer!$A$5),1,1)+1),"jjjjmmdd")</f>
        <v>19401218</v>
      </c>
      <c r="C720" s="18">
        <v>1</v>
      </c>
      <c r="D720" s="23">
        <f t="shared" ca="1" si="22"/>
        <v>0</v>
      </c>
      <c r="E720" s="24">
        <f t="shared" ca="1" si="23"/>
        <v>0</v>
      </c>
    </row>
    <row r="721" spans="1:5" x14ac:dyDescent="0.25">
      <c r="A721" s="17">
        <f ca="1">INDEX(Stations,INT((ROWS(A$2:A721)-1)/(DATE(YEAR(Invoer!$A$5),12,31)-DATE(YEAR(Invoer!$A$5),1,1)+1))+2,1)</f>
        <v>83</v>
      </c>
      <c r="B721" t="str">
        <f ca="1">TEXT(DATE(YEAR(Invoer!$A$5),1,1)+MOD(ROWS(B$2:B721)-1,DATE(YEAR(Invoer!$A$5),12,31)-DATE(YEAR(Invoer!$A$5),1,1)+1),"jjjjmmdd")</f>
        <v>19401219</v>
      </c>
      <c r="C721" s="18">
        <v>1</v>
      </c>
      <c r="D721" s="23">
        <f t="shared" ca="1" si="22"/>
        <v>60</v>
      </c>
      <c r="E721" s="24">
        <f t="shared" ca="1" si="23"/>
        <v>0</v>
      </c>
    </row>
    <row r="722" spans="1:5" x14ac:dyDescent="0.25">
      <c r="A722" s="17">
        <f ca="1">INDEX(Stations,INT((ROWS(A$2:A722)-1)/(DATE(YEAR(Invoer!$A$5),12,31)-DATE(YEAR(Invoer!$A$5),1,1)+1))+2,1)</f>
        <v>83</v>
      </c>
      <c r="B722" t="str">
        <f ca="1">TEXT(DATE(YEAR(Invoer!$A$5),1,1)+MOD(ROWS(B$2:B722)-1,DATE(YEAR(Invoer!$A$5),12,31)-DATE(YEAR(Invoer!$A$5),1,1)+1),"jjjjmmdd")</f>
        <v>19401220</v>
      </c>
      <c r="C722" s="18">
        <v>1</v>
      </c>
      <c r="D722" s="23">
        <f t="shared" ca="1" si="22"/>
        <v>0</v>
      </c>
      <c r="E722" s="24">
        <f t="shared" ca="1" si="23"/>
        <v>0</v>
      </c>
    </row>
    <row r="723" spans="1:5" x14ac:dyDescent="0.25">
      <c r="A723" s="17">
        <f ca="1">INDEX(Stations,INT((ROWS(A$2:A723)-1)/(DATE(YEAR(Invoer!$A$5),12,31)-DATE(YEAR(Invoer!$A$5),1,1)+1))+2,1)</f>
        <v>83</v>
      </c>
      <c r="B723" t="str">
        <f ca="1">TEXT(DATE(YEAR(Invoer!$A$5),1,1)+MOD(ROWS(B$2:B723)-1,DATE(YEAR(Invoer!$A$5),12,31)-DATE(YEAR(Invoer!$A$5),1,1)+1),"jjjjmmdd")</f>
        <v>19401221</v>
      </c>
      <c r="C723" s="18">
        <v>1</v>
      </c>
      <c r="D723" s="23">
        <f t="shared" ca="1" si="22"/>
        <v>30</v>
      </c>
      <c r="E723" s="24">
        <f t="shared" ca="1" si="23"/>
        <v>0</v>
      </c>
    </row>
    <row r="724" spans="1:5" x14ac:dyDescent="0.25">
      <c r="A724" s="17">
        <f ca="1">INDEX(Stations,INT((ROWS(A$2:A724)-1)/(DATE(YEAR(Invoer!$A$5),12,31)-DATE(YEAR(Invoer!$A$5),1,1)+1))+2,1)</f>
        <v>83</v>
      </c>
      <c r="B724" t="str">
        <f ca="1">TEXT(DATE(YEAR(Invoer!$A$5),1,1)+MOD(ROWS(B$2:B724)-1,DATE(YEAR(Invoer!$A$5),12,31)-DATE(YEAR(Invoer!$A$5),1,1)+1),"jjjjmmdd")</f>
        <v>19401222</v>
      </c>
      <c r="C724" s="18">
        <v>1</v>
      </c>
      <c r="D724" s="23">
        <f t="shared" ca="1" si="22"/>
        <v>0</v>
      </c>
      <c r="E724" s="24">
        <f t="shared" ca="1" si="23"/>
        <v>0</v>
      </c>
    </row>
    <row r="725" spans="1:5" x14ac:dyDescent="0.25">
      <c r="A725" s="17">
        <f ca="1">INDEX(Stations,INT((ROWS(A$2:A725)-1)/(DATE(YEAR(Invoer!$A$5),12,31)-DATE(YEAR(Invoer!$A$5),1,1)+1))+2,1)</f>
        <v>83</v>
      </c>
      <c r="B725" t="str">
        <f ca="1">TEXT(DATE(YEAR(Invoer!$A$5),1,1)+MOD(ROWS(B$2:B725)-1,DATE(YEAR(Invoer!$A$5),12,31)-DATE(YEAR(Invoer!$A$5),1,1)+1),"jjjjmmdd")</f>
        <v>19401223</v>
      </c>
      <c r="C725" s="18">
        <v>1</v>
      </c>
      <c r="D725" s="23">
        <f t="shared" ca="1" si="22"/>
        <v>15</v>
      </c>
      <c r="E725" s="24">
        <f t="shared" ca="1" si="23"/>
        <v>0</v>
      </c>
    </row>
    <row r="726" spans="1:5" x14ac:dyDescent="0.25">
      <c r="A726" s="17">
        <f ca="1">INDEX(Stations,INT((ROWS(A$2:A726)-1)/(DATE(YEAR(Invoer!$A$5),12,31)-DATE(YEAR(Invoer!$A$5),1,1)+1))+2,1)</f>
        <v>83</v>
      </c>
      <c r="B726" t="str">
        <f ca="1">TEXT(DATE(YEAR(Invoer!$A$5),1,1)+MOD(ROWS(B$2:B726)-1,DATE(YEAR(Invoer!$A$5),12,31)-DATE(YEAR(Invoer!$A$5),1,1)+1),"jjjjmmdd")</f>
        <v>19401224</v>
      </c>
      <c r="C726" s="18">
        <v>1</v>
      </c>
      <c r="D726" s="23">
        <f t="shared" ca="1" si="22"/>
        <v>260</v>
      </c>
      <c r="E726" s="24">
        <f t="shared" ca="1" si="23"/>
        <v>0</v>
      </c>
    </row>
    <row r="727" spans="1:5" x14ac:dyDescent="0.25">
      <c r="A727" s="17">
        <f ca="1">INDEX(Stations,INT((ROWS(A$2:A727)-1)/(DATE(YEAR(Invoer!$A$5),12,31)-DATE(YEAR(Invoer!$A$5),1,1)+1))+2,1)</f>
        <v>83</v>
      </c>
      <c r="B727" t="str">
        <f ca="1">TEXT(DATE(YEAR(Invoer!$A$5),1,1)+MOD(ROWS(B$2:B727)-1,DATE(YEAR(Invoer!$A$5),12,31)-DATE(YEAR(Invoer!$A$5),1,1)+1),"jjjjmmdd")</f>
        <v>19401225</v>
      </c>
      <c r="C727" s="18">
        <v>1</v>
      </c>
      <c r="D727" s="23">
        <f t="shared" ca="1" si="22"/>
        <v>0</v>
      </c>
      <c r="E727" s="24">
        <f t="shared" ca="1" si="23"/>
        <v>0</v>
      </c>
    </row>
    <row r="728" spans="1:5" x14ac:dyDescent="0.25">
      <c r="A728" s="17">
        <f ca="1">INDEX(Stations,INT((ROWS(A$2:A728)-1)/(DATE(YEAR(Invoer!$A$5),12,31)-DATE(YEAR(Invoer!$A$5),1,1)+1))+2,1)</f>
        <v>83</v>
      </c>
      <c r="B728" t="str">
        <f ca="1">TEXT(DATE(YEAR(Invoer!$A$5),1,1)+MOD(ROWS(B$2:B728)-1,DATE(YEAR(Invoer!$A$5),12,31)-DATE(YEAR(Invoer!$A$5),1,1)+1),"jjjjmmdd")</f>
        <v>19401226</v>
      </c>
      <c r="C728" s="18">
        <v>1</v>
      </c>
      <c r="D728" s="23">
        <f t="shared" ca="1" si="22"/>
        <v>0</v>
      </c>
      <c r="E728" s="24">
        <f t="shared" ca="1" si="23"/>
        <v>0</v>
      </c>
    </row>
    <row r="729" spans="1:5" x14ac:dyDescent="0.25">
      <c r="A729" s="17">
        <f ca="1">INDEX(Stations,INT((ROWS(A$2:A729)-1)/(DATE(YEAR(Invoer!$A$5),12,31)-DATE(YEAR(Invoer!$A$5),1,1)+1))+2,1)</f>
        <v>83</v>
      </c>
      <c r="B729" t="str">
        <f ca="1">TEXT(DATE(YEAR(Invoer!$A$5),1,1)+MOD(ROWS(B$2:B729)-1,DATE(YEAR(Invoer!$A$5),12,31)-DATE(YEAR(Invoer!$A$5),1,1)+1),"jjjjmmdd")</f>
        <v>19401227</v>
      </c>
      <c r="C729" s="18">
        <v>1</v>
      </c>
      <c r="D729" s="23">
        <f t="shared" ca="1" si="22"/>
        <v>0</v>
      </c>
      <c r="E729" s="24">
        <f t="shared" ca="1" si="23"/>
        <v>0</v>
      </c>
    </row>
    <row r="730" spans="1:5" x14ac:dyDescent="0.25">
      <c r="A730" s="17">
        <f ca="1">INDEX(Stations,INT((ROWS(A$2:A730)-1)/(DATE(YEAR(Invoer!$A$5),12,31)-DATE(YEAR(Invoer!$A$5),1,1)+1))+2,1)</f>
        <v>83</v>
      </c>
      <c r="B730" t="str">
        <f ca="1">TEXT(DATE(YEAR(Invoer!$A$5),1,1)+MOD(ROWS(B$2:B730)-1,DATE(YEAR(Invoer!$A$5),12,31)-DATE(YEAR(Invoer!$A$5),1,1)+1),"jjjjmmdd")</f>
        <v>19401228</v>
      </c>
      <c r="C730" s="18">
        <v>1</v>
      </c>
      <c r="D730" s="23">
        <f t="shared" ca="1" si="22"/>
        <v>0</v>
      </c>
      <c r="E730" s="24">
        <f t="shared" ca="1" si="23"/>
        <v>0</v>
      </c>
    </row>
    <row r="731" spans="1:5" x14ac:dyDescent="0.25">
      <c r="A731" s="17">
        <f ca="1">INDEX(Stations,INT((ROWS(A$2:A731)-1)/(DATE(YEAR(Invoer!$A$5),12,31)-DATE(YEAR(Invoer!$A$5),1,1)+1))+2,1)</f>
        <v>83</v>
      </c>
      <c r="B731" t="str">
        <f ca="1">TEXT(DATE(YEAR(Invoer!$A$5),1,1)+MOD(ROWS(B$2:B731)-1,DATE(YEAR(Invoer!$A$5),12,31)-DATE(YEAR(Invoer!$A$5),1,1)+1),"jjjjmmdd")</f>
        <v>19401229</v>
      </c>
      <c r="C731" s="18">
        <v>1</v>
      </c>
      <c r="D731" s="23">
        <f t="shared" ca="1" si="22"/>
        <v>15</v>
      </c>
      <c r="E731" s="24">
        <f t="shared" ca="1" si="23"/>
        <v>0</v>
      </c>
    </row>
    <row r="732" spans="1:5" x14ac:dyDescent="0.25">
      <c r="A732" s="17">
        <f ca="1">INDEX(Stations,INT((ROWS(A$2:A732)-1)/(DATE(YEAR(Invoer!$A$5),12,31)-DATE(YEAR(Invoer!$A$5),1,1)+1))+2,1)</f>
        <v>83</v>
      </c>
      <c r="B732" t="str">
        <f ca="1">TEXT(DATE(YEAR(Invoer!$A$5),1,1)+MOD(ROWS(B$2:B732)-1,DATE(YEAR(Invoer!$A$5),12,31)-DATE(YEAR(Invoer!$A$5),1,1)+1),"jjjjmmdd")</f>
        <v>19401230</v>
      </c>
      <c r="C732" s="18">
        <v>1</v>
      </c>
      <c r="D732" s="23">
        <f t="shared" ca="1" si="22"/>
        <v>0</v>
      </c>
      <c r="E732" s="24">
        <f t="shared" ca="1" si="23"/>
        <v>0</v>
      </c>
    </row>
    <row r="733" spans="1:5" x14ac:dyDescent="0.25">
      <c r="A733" s="17">
        <f ca="1">INDEX(Stations,INT((ROWS(A$2:A733)-1)/(DATE(YEAR(Invoer!$A$5),12,31)-DATE(YEAR(Invoer!$A$5),1,1)+1))+2,1)</f>
        <v>83</v>
      </c>
      <c r="B733" t="str">
        <f ca="1">TEXT(DATE(YEAR(Invoer!$A$5),1,1)+MOD(ROWS(B$2:B733)-1,DATE(YEAR(Invoer!$A$5),12,31)-DATE(YEAR(Invoer!$A$5),1,1)+1),"jjjjmmdd")</f>
        <v>19401231</v>
      </c>
      <c r="C733" s="18">
        <v>1</v>
      </c>
      <c r="D733" s="23">
        <f t="shared" ca="1" si="22"/>
        <v>0</v>
      </c>
      <c r="E733" s="24">
        <f t="shared" ca="1" si="23"/>
        <v>0</v>
      </c>
    </row>
    <row r="734" spans="1:5" x14ac:dyDescent="0.25">
      <c r="A734" s="17">
        <f ca="1">INDEX(Stations,INT((ROWS(A$2:A734)-1)/(DATE(YEAR(Invoer!$A$5),12,31)-DATE(YEAR(Invoer!$A$5),1,1)+1))+2,1)</f>
        <v>82</v>
      </c>
      <c r="B734" t="str">
        <f ca="1">TEXT(DATE(YEAR(Invoer!$A$5),1,1)+MOD(ROWS(B$2:B734)-1,DATE(YEAR(Invoer!$A$5),12,31)-DATE(YEAR(Invoer!$A$5),1,1)+1),"jjjjmmdd")</f>
        <v>19400101</v>
      </c>
      <c r="C734" s="18">
        <v>1</v>
      </c>
      <c r="D734" s="23">
        <f t="shared" ca="1" si="22"/>
        <v>0</v>
      </c>
      <c r="E734" s="24">
        <f t="shared" ca="1" si="23"/>
        <v>0</v>
      </c>
    </row>
    <row r="735" spans="1:5" x14ac:dyDescent="0.25">
      <c r="A735" s="17">
        <f ca="1">INDEX(Stations,INT((ROWS(A$2:A735)-1)/(DATE(YEAR(Invoer!$A$5),12,31)-DATE(YEAR(Invoer!$A$5),1,1)+1))+2,1)</f>
        <v>82</v>
      </c>
      <c r="B735" t="str">
        <f ca="1">TEXT(DATE(YEAR(Invoer!$A$5),1,1)+MOD(ROWS(B$2:B735)-1,DATE(YEAR(Invoer!$A$5),12,31)-DATE(YEAR(Invoer!$A$5),1,1)+1),"jjjjmmdd")</f>
        <v>19400102</v>
      </c>
      <c r="C735" s="18">
        <v>1</v>
      </c>
      <c r="D735" s="23">
        <f t="shared" ca="1" si="22"/>
        <v>0</v>
      </c>
      <c r="E735" s="24">
        <f t="shared" ca="1" si="23"/>
        <v>0</v>
      </c>
    </row>
    <row r="736" spans="1:5" x14ac:dyDescent="0.25">
      <c r="A736" s="17">
        <f ca="1">INDEX(Stations,INT((ROWS(A$2:A736)-1)/(DATE(YEAR(Invoer!$A$5),12,31)-DATE(YEAR(Invoer!$A$5),1,1)+1))+2,1)</f>
        <v>82</v>
      </c>
      <c r="B736" t="str">
        <f ca="1">TEXT(DATE(YEAR(Invoer!$A$5),1,1)+MOD(ROWS(B$2:B736)-1,DATE(YEAR(Invoer!$A$5),12,31)-DATE(YEAR(Invoer!$A$5),1,1)+1),"jjjjmmdd")</f>
        <v>19400103</v>
      </c>
      <c r="C736" s="18">
        <v>1</v>
      </c>
      <c r="D736" s="23">
        <f t="shared" ca="1" si="22"/>
        <v>0</v>
      </c>
      <c r="E736" s="24">
        <f t="shared" ca="1" si="23"/>
        <v>0</v>
      </c>
    </row>
    <row r="737" spans="1:5" x14ac:dyDescent="0.25">
      <c r="A737" s="17">
        <f ca="1">INDEX(Stations,INT((ROWS(A$2:A737)-1)/(DATE(YEAR(Invoer!$A$5),12,31)-DATE(YEAR(Invoer!$A$5),1,1)+1))+2,1)</f>
        <v>82</v>
      </c>
      <c r="B737" t="str">
        <f ca="1">TEXT(DATE(YEAR(Invoer!$A$5),1,1)+MOD(ROWS(B$2:B737)-1,DATE(YEAR(Invoer!$A$5),12,31)-DATE(YEAR(Invoer!$A$5),1,1)+1),"jjjjmmdd")</f>
        <v>19400104</v>
      </c>
      <c r="C737" s="18">
        <v>1</v>
      </c>
      <c r="D737" s="23">
        <f t="shared" ca="1" si="22"/>
        <v>0</v>
      </c>
      <c r="E737" s="24">
        <f t="shared" ca="1" si="23"/>
        <v>0</v>
      </c>
    </row>
    <row r="738" spans="1:5" x14ac:dyDescent="0.25">
      <c r="A738" s="17">
        <f ca="1">INDEX(Stations,INT((ROWS(A$2:A738)-1)/(DATE(YEAR(Invoer!$A$5),12,31)-DATE(YEAR(Invoer!$A$5),1,1)+1))+2,1)</f>
        <v>82</v>
      </c>
      <c r="B738" t="str">
        <f ca="1">TEXT(DATE(YEAR(Invoer!$A$5),1,1)+MOD(ROWS(B$2:B738)-1,DATE(YEAR(Invoer!$A$5),12,31)-DATE(YEAR(Invoer!$A$5),1,1)+1),"jjjjmmdd")</f>
        <v>19400105</v>
      </c>
      <c r="C738" s="18">
        <v>1</v>
      </c>
      <c r="D738" s="23">
        <f t="shared" ca="1" si="22"/>
        <v>0</v>
      </c>
      <c r="E738" s="24">
        <f t="shared" ca="1" si="23"/>
        <v>0</v>
      </c>
    </row>
    <row r="739" spans="1:5" x14ac:dyDescent="0.25">
      <c r="A739" s="17">
        <f ca="1">INDEX(Stations,INT((ROWS(A$2:A739)-1)/(DATE(YEAR(Invoer!$A$5),12,31)-DATE(YEAR(Invoer!$A$5),1,1)+1))+2,1)</f>
        <v>82</v>
      </c>
      <c r="B739" t="str">
        <f ca="1">TEXT(DATE(YEAR(Invoer!$A$5),1,1)+MOD(ROWS(B$2:B739)-1,DATE(YEAR(Invoer!$A$5),12,31)-DATE(YEAR(Invoer!$A$5),1,1)+1),"jjjjmmdd")</f>
        <v>19400106</v>
      </c>
      <c r="C739" s="18">
        <v>1</v>
      </c>
      <c r="D739" s="23">
        <f t="shared" ca="1" si="22"/>
        <v>0</v>
      </c>
      <c r="E739" s="24">
        <f t="shared" ca="1" si="23"/>
        <v>0</v>
      </c>
    </row>
    <row r="740" spans="1:5" x14ac:dyDescent="0.25">
      <c r="A740" s="17">
        <f ca="1">INDEX(Stations,INT((ROWS(A$2:A740)-1)/(DATE(YEAR(Invoer!$A$5),12,31)-DATE(YEAR(Invoer!$A$5),1,1)+1))+2,1)</f>
        <v>82</v>
      </c>
      <c r="B740" t="str">
        <f ca="1">TEXT(DATE(YEAR(Invoer!$A$5),1,1)+MOD(ROWS(B$2:B740)-1,DATE(YEAR(Invoer!$A$5),12,31)-DATE(YEAR(Invoer!$A$5),1,1)+1),"jjjjmmdd")</f>
        <v>19400107</v>
      </c>
      <c r="C740" s="18">
        <v>1</v>
      </c>
      <c r="D740" s="23">
        <f t="shared" ca="1" si="22"/>
        <v>23</v>
      </c>
      <c r="E740" s="24">
        <f t="shared" ca="1" si="23"/>
        <v>0</v>
      </c>
    </row>
    <row r="741" spans="1:5" x14ac:dyDescent="0.25">
      <c r="A741" s="17">
        <f ca="1">INDEX(Stations,INT((ROWS(A$2:A741)-1)/(DATE(YEAR(Invoer!$A$5),12,31)-DATE(YEAR(Invoer!$A$5),1,1)+1))+2,1)</f>
        <v>82</v>
      </c>
      <c r="B741" t="str">
        <f ca="1">TEXT(DATE(YEAR(Invoer!$A$5),1,1)+MOD(ROWS(B$2:B741)-1,DATE(YEAR(Invoer!$A$5),12,31)-DATE(YEAR(Invoer!$A$5),1,1)+1),"jjjjmmdd")</f>
        <v>19400108</v>
      </c>
      <c r="C741" s="18">
        <v>1</v>
      </c>
      <c r="D741" s="23">
        <f t="shared" ca="1" si="22"/>
        <v>0</v>
      </c>
      <c r="E741" s="24">
        <f t="shared" ca="1" si="23"/>
        <v>0</v>
      </c>
    </row>
    <row r="742" spans="1:5" x14ac:dyDescent="0.25">
      <c r="A742" s="17">
        <f ca="1">INDEX(Stations,INT((ROWS(A$2:A742)-1)/(DATE(YEAR(Invoer!$A$5),12,31)-DATE(YEAR(Invoer!$A$5),1,1)+1))+2,1)</f>
        <v>82</v>
      </c>
      <c r="B742" t="str">
        <f ca="1">TEXT(DATE(YEAR(Invoer!$A$5),1,1)+MOD(ROWS(B$2:B742)-1,DATE(YEAR(Invoer!$A$5),12,31)-DATE(YEAR(Invoer!$A$5),1,1)+1),"jjjjmmdd")</f>
        <v>19400109</v>
      </c>
      <c r="C742" s="18">
        <v>1</v>
      </c>
      <c r="D742" s="23">
        <f t="shared" ca="1" si="22"/>
        <v>0</v>
      </c>
      <c r="E742" s="24">
        <f t="shared" ca="1" si="23"/>
        <v>0</v>
      </c>
    </row>
    <row r="743" spans="1:5" x14ac:dyDescent="0.25">
      <c r="A743" s="17">
        <f ca="1">INDEX(Stations,INT((ROWS(A$2:A743)-1)/(DATE(YEAR(Invoer!$A$5),12,31)-DATE(YEAR(Invoer!$A$5),1,1)+1))+2,1)</f>
        <v>82</v>
      </c>
      <c r="B743" t="str">
        <f ca="1">TEXT(DATE(YEAR(Invoer!$A$5),1,1)+MOD(ROWS(B$2:B743)-1,DATE(YEAR(Invoer!$A$5),12,31)-DATE(YEAR(Invoer!$A$5),1,1)+1),"jjjjmmdd")</f>
        <v>19400110</v>
      </c>
      <c r="C743" s="18">
        <v>1</v>
      </c>
      <c r="D743" s="23">
        <f t="shared" ca="1" si="22"/>
        <v>35</v>
      </c>
      <c r="E743" s="24">
        <f t="shared" ca="1" si="23"/>
        <v>0</v>
      </c>
    </row>
    <row r="744" spans="1:5" x14ac:dyDescent="0.25">
      <c r="A744" s="17">
        <f ca="1">INDEX(Stations,INT((ROWS(A$2:A744)-1)/(DATE(YEAR(Invoer!$A$5),12,31)-DATE(YEAR(Invoer!$A$5),1,1)+1))+2,1)</f>
        <v>82</v>
      </c>
      <c r="B744" t="str">
        <f ca="1">TEXT(DATE(YEAR(Invoer!$A$5),1,1)+MOD(ROWS(B$2:B744)-1,DATE(YEAR(Invoer!$A$5),12,31)-DATE(YEAR(Invoer!$A$5),1,1)+1),"jjjjmmdd")</f>
        <v>19400111</v>
      </c>
      <c r="C744" s="18">
        <v>1</v>
      </c>
      <c r="D744" s="23">
        <f t="shared" ca="1" si="22"/>
        <v>7</v>
      </c>
      <c r="E744" s="24">
        <f t="shared" ca="1" si="23"/>
        <v>0</v>
      </c>
    </row>
    <row r="745" spans="1:5" x14ac:dyDescent="0.25">
      <c r="A745" s="17">
        <f ca="1">INDEX(Stations,INT((ROWS(A$2:A745)-1)/(DATE(YEAR(Invoer!$A$5),12,31)-DATE(YEAR(Invoer!$A$5),1,1)+1))+2,1)</f>
        <v>82</v>
      </c>
      <c r="B745" t="str">
        <f ca="1">TEXT(DATE(YEAR(Invoer!$A$5),1,1)+MOD(ROWS(B$2:B745)-1,DATE(YEAR(Invoer!$A$5),12,31)-DATE(YEAR(Invoer!$A$5),1,1)+1),"jjjjmmdd")</f>
        <v>19400112</v>
      </c>
      <c r="C745" s="18">
        <v>1</v>
      </c>
      <c r="D745" s="23">
        <f t="shared" ca="1" si="22"/>
        <v>0</v>
      </c>
      <c r="E745" s="24">
        <f t="shared" ca="1" si="23"/>
        <v>0</v>
      </c>
    </row>
    <row r="746" spans="1:5" x14ac:dyDescent="0.25">
      <c r="A746" s="17">
        <f ca="1">INDEX(Stations,INT((ROWS(A$2:A746)-1)/(DATE(YEAR(Invoer!$A$5),12,31)-DATE(YEAR(Invoer!$A$5),1,1)+1))+2,1)</f>
        <v>82</v>
      </c>
      <c r="B746" t="str">
        <f ca="1">TEXT(DATE(YEAR(Invoer!$A$5),1,1)+MOD(ROWS(B$2:B746)-1,DATE(YEAR(Invoer!$A$5),12,31)-DATE(YEAR(Invoer!$A$5),1,1)+1),"jjjjmmdd")</f>
        <v>19400113</v>
      </c>
      <c r="C746" s="18">
        <v>1</v>
      </c>
      <c r="D746" s="23">
        <f t="shared" ca="1" si="22"/>
        <v>0</v>
      </c>
      <c r="E746" s="24">
        <f t="shared" ca="1" si="23"/>
        <v>0</v>
      </c>
    </row>
    <row r="747" spans="1:5" x14ac:dyDescent="0.25">
      <c r="A747" s="17">
        <f ca="1">INDEX(Stations,INT((ROWS(A$2:A747)-1)/(DATE(YEAR(Invoer!$A$5),12,31)-DATE(YEAR(Invoer!$A$5),1,1)+1))+2,1)</f>
        <v>82</v>
      </c>
      <c r="B747" t="str">
        <f ca="1">TEXT(DATE(YEAR(Invoer!$A$5),1,1)+MOD(ROWS(B$2:B747)-1,DATE(YEAR(Invoer!$A$5),12,31)-DATE(YEAR(Invoer!$A$5),1,1)+1),"jjjjmmdd")</f>
        <v>19400114</v>
      </c>
      <c r="C747" s="18">
        <v>1</v>
      </c>
      <c r="D747" s="23">
        <f t="shared" ca="1" si="22"/>
        <v>0</v>
      </c>
      <c r="E747" s="24">
        <f t="shared" ca="1" si="23"/>
        <v>0</v>
      </c>
    </row>
    <row r="748" spans="1:5" x14ac:dyDescent="0.25">
      <c r="A748" s="17">
        <f ca="1">INDEX(Stations,INT((ROWS(A$2:A748)-1)/(DATE(YEAR(Invoer!$A$5),12,31)-DATE(YEAR(Invoer!$A$5),1,1)+1))+2,1)</f>
        <v>82</v>
      </c>
      <c r="B748" t="str">
        <f ca="1">TEXT(DATE(YEAR(Invoer!$A$5),1,1)+MOD(ROWS(B$2:B748)-1,DATE(YEAR(Invoer!$A$5),12,31)-DATE(YEAR(Invoer!$A$5),1,1)+1),"jjjjmmdd")</f>
        <v>19400115</v>
      </c>
      <c r="C748" s="18">
        <v>1</v>
      </c>
      <c r="D748" s="23">
        <f t="shared" ca="1" si="22"/>
        <v>0</v>
      </c>
      <c r="E748" s="24">
        <f t="shared" ca="1" si="23"/>
        <v>0</v>
      </c>
    </row>
    <row r="749" spans="1:5" x14ac:dyDescent="0.25">
      <c r="A749" s="17">
        <f ca="1">INDEX(Stations,INT((ROWS(A$2:A749)-1)/(DATE(YEAR(Invoer!$A$5),12,31)-DATE(YEAR(Invoer!$A$5),1,1)+1))+2,1)</f>
        <v>82</v>
      </c>
      <c r="B749" t="str">
        <f ca="1">TEXT(DATE(YEAR(Invoer!$A$5),1,1)+MOD(ROWS(B$2:B749)-1,DATE(YEAR(Invoer!$A$5),12,31)-DATE(YEAR(Invoer!$A$5),1,1)+1),"jjjjmmdd")</f>
        <v>19400116</v>
      </c>
      <c r="C749" s="18">
        <v>1</v>
      </c>
      <c r="D749" s="23">
        <f t="shared" ca="1" si="22"/>
        <v>0</v>
      </c>
      <c r="E749" s="24">
        <f t="shared" ca="1" si="23"/>
        <v>0</v>
      </c>
    </row>
    <row r="750" spans="1:5" x14ac:dyDescent="0.25">
      <c r="A750" s="17">
        <f ca="1">INDEX(Stations,INT((ROWS(A$2:A750)-1)/(DATE(YEAR(Invoer!$A$5),12,31)-DATE(YEAR(Invoer!$A$5),1,1)+1))+2,1)</f>
        <v>82</v>
      </c>
      <c r="B750" t="str">
        <f ca="1">TEXT(DATE(YEAR(Invoer!$A$5),1,1)+MOD(ROWS(B$2:B750)-1,DATE(YEAR(Invoer!$A$5),12,31)-DATE(YEAR(Invoer!$A$5),1,1)+1),"jjjjmmdd")</f>
        <v>19400117</v>
      </c>
      <c r="C750" s="18">
        <v>1</v>
      </c>
      <c r="D750" s="23">
        <f t="shared" ca="1" si="22"/>
        <v>33</v>
      </c>
      <c r="E750" s="24">
        <f t="shared" ca="1" si="23"/>
        <v>0</v>
      </c>
    </row>
    <row r="751" spans="1:5" x14ac:dyDescent="0.25">
      <c r="A751" s="17">
        <f ca="1">INDEX(Stations,INT((ROWS(A$2:A751)-1)/(DATE(YEAR(Invoer!$A$5),12,31)-DATE(YEAR(Invoer!$A$5),1,1)+1))+2,1)</f>
        <v>82</v>
      </c>
      <c r="B751" t="str">
        <f ca="1">TEXT(DATE(YEAR(Invoer!$A$5),1,1)+MOD(ROWS(B$2:B751)-1,DATE(YEAR(Invoer!$A$5),12,31)-DATE(YEAR(Invoer!$A$5),1,1)+1),"jjjjmmdd")</f>
        <v>19400118</v>
      </c>
      <c r="C751" s="18">
        <v>1</v>
      </c>
      <c r="D751" s="23">
        <f t="shared" ca="1" si="22"/>
        <v>0</v>
      </c>
      <c r="E751" s="24">
        <f t="shared" ca="1" si="23"/>
        <v>0</v>
      </c>
    </row>
    <row r="752" spans="1:5" x14ac:dyDescent="0.25">
      <c r="A752" s="17">
        <f ca="1">INDEX(Stations,INT((ROWS(A$2:A752)-1)/(DATE(YEAR(Invoer!$A$5),12,31)-DATE(YEAR(Invoer!$A$5),1,1)+1))+2,1)</f>
        <v>82</v>
      </c>
      <c r="B752" t="str">
        <f ca="1">TEXT(DATE(YEAR(Invoer!$A$5),1,1)+MOD(ROWS(B$2:B752)-1,DATE(YEAR(Invoer!$A$5),12,31)-DATE(YEAR(Invoer!$A$5),1,1)+1),"jjjjmmdd")</f>
        <v>19400119</v>
      </c>
      <c r="C752" s="18">
        <v>1</v>
      </c>
      <c r="D752" s="23">
        <f t="shared" ca="1" si="22"/>
        <v>0</v>
      </c>
      <c r="E752" s="24">
        <f t="shared" ca="1" si="23"/>
        <v>0</v>
      </c>
    </row>
    <row r="753" spans="1:5" x14ac:dyDescent="0.25">
      <c r="A753" s="17">
        <f ca="1">INDEX(Stations,INT((ROWS(A$2:A753)-1)/(DATE(YEAR(Invoer!$A$5),12,31)-DATE(YEAR(Invoer!$A$5),1,1)+1))+2,1)</f>
        <v>82</v>
      </c>
      <c r="B753" t="str">
        <f ca="1">TEXT(DATE(YEAR(Invoer!$A$5),1,1)+MOD(ROWS(B$2:B753)-1,DATE(YEAR(Invoer!$A$5),12,31)-DATE(YEAR(Invoer!$A$5),1,1)+1),"jjjjmmdd")</f>
        <v>19400120</v>
      </c>
      <c r="C753" s="18">
        <v>1</v>
      </c>
      <c r="D753" s="23">
        <f t="shared" ca="1" si="22"/>
        <v>0</v>
      </c>
      <c r="E753" s="24">
        <f t="shared" ca="1" si="23"/>
        <v>0</v>
      </c>
    </row>
    <row r="754" spans="1:5" x14ac:dyDescent="0.25">
      <c r="A754" s="17">
        <f ca="1">INDEX(Stations,INT((ROWS(A$2:A754)-1)/(DATE(YEAR(Invoer!$A$5),12,31)-DATE(YEAR(Invoer!$A$5),1,1)+1))+2,1)</f>
        <v>82</v>
      </c>
      <c r="B754" t="str">
        <f ca="1">TEXT(DATE(YEAR(Invoer!$A$5),1,1)+MOD(ROWS(B$2:B754)-1,DATE(YEAR(Invoer!$A$5),12,31)-DATE(YEAR(Invoer!$A$5),1,1)+1),"jjjjmmdd")</f>
        <v>19400121</v>
      </c>
      <c r="C754" s="18">
        <v>1</v>
      </c>
      <c r="D754" s="23">
        <f t="shared" ca="1" si="22"/>
        <v>0</v>
      </c>
      <c r="E754" s="24">
        <f t="shared" ca="1" si="23"/>
        <v>0</v>
      </c>
    </row>
    <row r="755" spans="1:5" x14ac:dyDescent="0.25">
      <c r="A755" s="17">
        <f ca="1">INDEX(Stations,INT((ROWS(A$2:A755)-1)/(DATE(YEAR(Invoer!$A$5),12,31)-DATE(YEAR(Invoer!$A$5),1,1)+1))+2,1)</f>
        <v>82</v>
      </c>
      <c r="B755" t="str">
        <f ca="1">TEXT(DATE(YEAR(Invoer!$A$5),1,1)+MOD(ROWS(B$2:B755)-1,DATE(YEAR(Invoer!$A$5),12,31)-DATE(YEAR(Invoer!$A$5),1,1)+1),"jjjjmmdd")</f>
        <v>19400122</v>
      </c>
      <c r="C755" s="18">
        <v>1</v>
      </c>
      <c r="D755" s="23">
        <f t="shared" ca="1" si="22"/>
        <v>0</v>
      </c>
      <c r="E755" s="24">
        <f t="shared" ca="1" si="23"/>
        <v>0</v>
      </c>
    </row>
    <row r="756" spans="1:5" x14ac:dyDescent="0.25">
      <c r="A756" s="17">
        <f ca="1">INDEX(Stations,INT((ROWS(A$2:A756)-1)/(DATE(YEAR(Invoer!$A$5),12,31)-DATE(YEAR(Invoer!$A$5),1,1)+1))+2,1)</f>
        <v>82</v>
      </c>
      <c r="B756" t="str">
        <f ca="1">TEXT(DATE(YEAR(Invoer!$A$5),1,1)+MOD(ROWS(B$2:B756)-1,DATE(YEAR(Invoer!$A$5),12,31)-DATE(YEAR(Invoer!$A$5),1,1)+1),"jjjjmmdd")</f>
        <v>19400123</v>
      </c>
      <c r="C756" s="18">
        <v>1</v>
      </c>
      <c r="D756" s="23">
        <f t="shared" ca="1" si="22"/>
        <v>230</v>
      </c>
      <c r="E756" s="24">
        <f t="shared" ca="1" si="23"/>
        <v>0</v>
      </c>
    </row>
    <row r="757" spans="1:5" x14ac:dyDescent="0.25">
      <c r="A757" s="17">
        <f ca="1">INDEX(Stations,INT((ROWS(A$2:A757)-1)/(DATE(YEAR(Invoer!$A$5),12,31)-DATE(YEAR(Invoer!$A$5),1,1)+1))+2,1)</f>
        <v>82</v>
      </c>
      <c r="B757" t="str">
        <f ca="1">TEXT(DATE(YEAR(Invoer!$A$5),1,1)+MOD(ROWS(B$2:B757)-1,DATE(YEAR(Invoer!$A$5),12,31)-DATE(YEAR(Invoer!$A$5),1,1)+1),"jjjjmmdd")</f>
        <v>19400124</v>
      </c>
      <c r="C757" s="18">
        <v>1</v>
      </c>
      <c r="D757" s="23">
        <f t="shared" ca="1" si="22"/>
        <v>75</v>
      </c>
      <c r="E757" s="24">
        <f t="shared" ca="1" si="23"/>
        <v>0</v>
      </c>
    </row>
    <row r="758" spans="1:5" x14ac:dyDescent="0.25">
      <c r="A758" s="17">
        <f ca="1">INDEX(Stations,INT((ROWS(A$2:A758)-1)/(DATE(YEAR(Invoer!$A$5),12,31)-DATE(YEAR(Invoer!$A$5),1,1)+1))+2,1)</f>
        <v>82</v>
      </c>
      <c r="B758" t="str">
        <f ca="1">TEXT(DATE(YEAR(Invoer!$A$5),1,1)+MOD(ROWS(B$2:B758)-1,DATE(YEAR(Invoer!$A$5),12,31)-DATE(YEAR(Invoer!$A$5),1,1)+1),"jjjjmmdd")</f>
        <v>19400125</v>
      </c>
      <c r="C758" s="18">
        <v>1</v>
      </c>
      <c r="D758" s="23">
        <f t="shared" ca="1" si="22"/>
        <v>0</v>
      </c>
      <c r="E758" s="24">
        <f t="shared" ca="1" si="23"/>
        <v>0</v>
      </c>
    </row>
    <row r="759" spans="1:5" x14ac:dyDescent="0.25">
      <c r="A759" s="17">
        <f ca="1">INDEX(Stations,INT((ROWS(A$2:A759)-1)/(DATE(YEAR(Invoer!$A$5),12,31)-DATE(YEAR(Invoer!$A$5),1,1)+1))+2,1)</f>
        <v>82</v>
      </c>
      <c r="B759" t="str">
        <f ca="1">TEXT(DATE(YEAR(Invoer!$A$5),1,1)+MOD(ROWS(B$2:B759)-1,DATE(YEAR(Invoer!$A$5),12,31)-DATE(YEAR(Invoer!$A$5),1,1)+1),"jjjjmmdd")</f>
        <v>19400126</v>
      </c>
      <c r="C759" s="18">
        <v>1</v>
      </c>
      <c r="D759" s="23">
        <f t="shared" ca="1" si="22"/>
        <v>24</v>
      </c>
      <c r="E759" s="24">
        <f t="shared" ca="1" si="23"/>
        <v>0</v>
      </c>
    </row>
    <row r="760" spans="1:5" x14ac:dyDescent="0.25">
      <c r="A760" s="17">
        <f ca="1">INDEX(Stations,INT((ROWS(A$2:A760)-1)/(DATE(YEAR(Invoer!$A$5),12,31)-DATE(YEAR(Invoer!$A$5),1,1)+1))+2,1)</f>
        <v>82</v>
      </c>
      <c r="B760" t="str">
        <f ca="1">TEXT(DATE(YEAR(Invoer!$A$5),1,1)+MOD(ROWS(B$2:B760)-1,DATE(YEAR(Invoer!$A$5),12,31)-DATE(YEAR(Invoer!$A$5),1,1)+1),"jjjjmmdd")</f>
        <v>19400127</v>
      </c>
      <c r="C760" s="18">
        <v>1</v>
      </c>
      <c r="D760" s="23">
        <f t="shared" ca="1" si="22"/>
        <v>0</v>
      </c>
      <c r="E760" s="24">
        <f t="shared" ca="1" si="23"/>
        <v>0</v>
      </c>
    </row>
    <row r="761" spans="1:5" x14ac:dyDescent="0.25">
      <c r="A761" s="17">
        <f ca="1">INDEX(Stations,INT((ROWS(A$2:A761)-1)/(DATE(YEAR(Invoer!$A$5),12,31)-DATE(YEAR(Invoer!$A$5),1,1)+1))+2,1)</f>
        <v>82</v>
      </c>
      <c r="B761" t="str">
        <f ca="1">TEXT(DATE(YEAR(Invoer!$A$5),1,1)+MOD(ROWS(B$2:B761)-1,DATE(YEAR(Invoer!$A$5),12,31)-DATE(YEAR(Invoer!$A$5),1,1)+1),"jjjjmmdd")</f>
        <v>19400128</v>
      </c>
      <c r="C761" s="18">
        <v>1</v>
      </c>
      <c r="D761" s="23">
        <f t="shared" ca="1" si="22"/>
        <v>0</v>
      </c>
      <c r="E761" s="24">
        <f t="shared" ca="1" si="23"/>
        <v>0</v>
      </c>
    </row>
    <row r="762" spans="1:5" x14ac:dyDescent="0.25">
      <c r="A762" s="17">
        <f ca="1">INDEX(Stations,INT((ROWS(A$2:A762)-1)/(DATE(YEAR(Invoer!$A$5),12,31)-DATE(YEAR(Invoer!$A$5),1,1)+1))+2,1)</f>
        <v>82</v>
      </c>
      <c r="B762" t="str">
        <f ca="1">TEXT(DATE(YEAR(Invoer!$A$5),1,1)+MOD(ROWS(B$2:B762)-1,DATE(YEAR(Invoer!$A$5),12,31)-DATE(YEAR(Invoer!$A$5),1,1)+1),"jjjjmmdd")</f>
        <v>19400129</v>
      </c>
      <c r="C762" s="18">
        <v>1</v>
      </c>
      <c r="D762" s="23">
        <f t="shared" ca="1" si="22"/>
        <v>0</v>
      </c>
      <c r="E762" s="24">
        <f t="shared" ca="1" si="23"/>
        <v>0</v>
      </c>
    </row>
    <row r="763" spans="1:5" x14ac:dyDescent="0.25">
      <c r="A763" s="17">
        <f ca="1">INDEX(Stations,INT((ROWS(A$2:A763)-1)/(DATE(YEAR(Invoer!$A$5),12,31)-DATE(YEAR(Invoer!$A$5),1,1)+1))+2,1)</f>
        <v>82</v>
      </c>
      <c r="B763" t="str">
        <f ca="1">TEXT(DATE(YEAR(Invoer!$A$5),1,1)+MOD(ROWS(B$2:B763)-1,DATE(YEAR(Invoer!$A$5),12,31)-DATE(YEAR(Invoer!$A$5),1,1)+1),"jjjjmmdd")</f>
        <v>19400130</v>
      </c>
      <c r="C763" s="18">
        <v>1</v>
      </c>
      <c r="D763" s="23">
        <f t="shared" ca="1" si="22"/>
        <v>0</v>
      </c>
      <c r="E763" s="24">
        <f t="shared" ca="1" si="23"/>
        <v>0</v>
      </c>
    </row>
    <row r="764" spans="1:5" x14ac:dyDescent="0.25">
      <c r="A764" s="17">
        <f ca="1">INDEX(Stations,INT((ROWS(A$2:A764)-1)/(DATE(YEAR(Invoer!$A$5),12,31)-DATE(YEAR(Invoer!$A$5),1,1)+1))+2,1)</f>
        <v>82</v>
      </c>
      <c r="B764" t="str">
        <f ca="1">TEXT(DATE(YEAR(Invoer!$A$5),1,1)+MOD(ROWS(B$2:B764)-1,DATE(YEAR(Invoer!$A$5),12,31)-DATE(YEAR(Invoer!$A$5),1,1)+1),"jjjjmmdd")</f>
        <v>19400131</v>
      </c>
      <c r="C764" s="18">
        <v>1</v>
      </c>
      <c r="D764" s="23">
        <f t="shared" ca="1" si="22"/>
        <v>5</v>
      </c>
      <c r="E764" s="24">
        <f t="shared" ca="1" si="23"/>
        <v>0</v>
      </c>
    </row>
    <row r="765" spans="1:5" x14ac:dyDescent="0.25">
      <c r="A765" s="17">
        <f ca="1">INDEX(Stations,INT((ROWS(A$2:A765)-1)/(DATE(YEAR(Invoer!$A$5),12,31)-DATE(YEAR(Invoer!$A$5),1,1)+1))+2,1)</f>
        <v>82</v>
      </c>
      <c r="B765" t="str">
        <f ca="1">TEXT(DATE(YEAR(Invoer!$A$5),1,1)+MOD(ROWS(B$2:B765)-1,DATE(YEAR(Invoer!$A$5),12,31)-DATE(YEAR(Invoer!$A$5),1,1)+1),"jjjjmmdd")</f>
        <v>19400201</v>
      </c>
      <c r="C765" s="18">
        <v>1</v>
      </c>
      <c r="D765" s="23">
        <f t="shared" ca="1" si="22"/>
        <v>0</v>
      </c>
      <c r="E765" s="24">
        <f t="shared" ca="1" si="23"/>
        <v>0</v>
      </c>
    </row>
    <row r="766" spans="1:5" x14ac:dyDescent="0.25">
      <c r="A766" s="17">
        <f ca="1">INDEX(Stations,INT((ROWS(A$2:A766)-1)/(DATE(YEAR(Invoer!$A$5),12,31)-DATE(YEAR(Invoer!$A$5),1,1)+1))+2,1)</f>
        <v>82</v>
      </c>
      <c r="B766" t="str">
        <f ca="1">TEXT(DATE(YEAR(Invoer!$A$5),1,1)+MOD(ROWS(B$2:B766)-1,DATE(YEAR(Invoer!$A$5),12,31)-DATE(YEAR(Invoer!$A$5),1,1)+1),"jjjjmmdd")</f>
        <v>19400202</v>
      </c>
      <c r="C766" s="18">
        <v>1</v>
      </c>
      <c r="D766" s="23">
        <f t="shared" ca="1" si="22"/>
        <v>0</v>
      </c>
      <c r="E766" s="24">
        <f t="shared" ca="1" si="23"/>
        <v>0</v>
      </c>
    </row>
    <row r="767" spans="1:5" x14ac:dyDescent="0.25">
      <c r="A767" s="17">
        <f ca="1">INDEX(Stations,INT((ROWS(A$2:A767)-1)/(DATE(YEAR(Invoer!$A$5),12,31)-DATE(YEAR(Invoer!$A$5),1,1)+1))+2,1)</f>
        <v>82</v>
      </c>
      <c r="B767" t="str">
        <f ca="1">TEXT(DATE(YEAR(Invoer!$A$5),1,1)+MOD(ROWS(B$2:B767)-1,DATE(YEAR(Invoer!$A$5),12,31)-DATE(YEAR(Invoer!$A$5),1,1)+1),"jjjjmmdd")</f>
        <v>19400203</v>
      </c>
      <c r="C767" s="18">
        <v>1</v>
      </c>
      <c r="D767" s="23">
        <f t="shared" ca="1" si="22"/>
        <v>0</v>
      </c>
      <c r="E767" s="24">
        <f t="shared" ca="1" si="23"/>
        <v>0</v>
      </c>
    </row>
    <row r="768" spans="1:5" x14ac:dyDescent="0.25">
      <c r="A768" s="17">
        <f ca="1">INDEX(Stations,INT((ROWS(A$2:A768)-1)/(DATE(YEAR(Invoer!$A$5),12,31)-DATE(YEAR(Invoer!$A$5),1,1)+1))+2,1)</f>
        <v>82</v>
      </c>
      <c r="B768" t="str">
        <f ca="1">TEXT(DATE(YEAR(Invoer!$A$5),1,1)+MOD(ROWS(B$2:B768)-1,DATE(YEAR(Invoer!$A$5),12,31)-DATE(YEAR(Invoer!$A$5),1,1)+1),"jjjjmmdd")</f>
        <v>19400204</v>
      </c>
      <c r="C768" s="18">
        <v>1</v>
      </c>
      <c r="D768" s="23">
        <f t="shared" ca="1" si="22"/>
        <v>0</v>
      </c>
      <c r="E768" s="24">
        <f t="shared" ca="1" si="23"/>
        <v>0</v>
      </c>
    </row>
    <row r="769" spans="1:5" x14ac:dyDescent="0.25">
      <c r="A769" s="17">
        <f ca="1">INDEX(Stations,INT((ROWS(A$2:A769)-1)/(DATE(YEAR(Invoer!$A$5),12,31)-DATE(YEAR(Invoer!$A$5),1,1)+1))+2,1)</f>
        <v>82</v>
      </c>
      <c r="B769" t="str">
        <f ca="1">TEXT(DATE(YEAR(Invoer!$A$5),1,1)+MOD(ROWS(B$2:B769)-1,DATE(YEAR(Invoer!$A$5),12,31)-DATE(YEAR(Invoer!$A$5),1,1)+1),"jjjjmmdd")</f>
        <v>19400205</v>
      </c>
      <c r="C769" s="18">
        <v>1</v>
      </c>
      <c r="D769" s="23">
        <f t="shared" ca="1" si="22"/>
        <v>120</v>
      </c>
      <c r="E769" s="24">
        <f t="shared" ca="1" si="23"/>
        <v>0</v>
      </c>
    </row>
    <row r="770" spans="1:5" x14ac:dyDescent="0.25">
      <c r="A770" s="17">
        <f ca="1">INDEX(Stations,INT((ROWS(A$2:A770)-1)/(DATE(YEAR(Invoer!$A$5),12,31)-DATE(YEAR(Invoer!$A$5),1,1)+1))+2,1)</f>
        <v>82</v>
      </c>
      <c r="B770" t="str">
        <f ca="1">TEXT(DATE(YEAR(Invoer!$A$5),1,1)+MOD(ROWS(B$2:B770)-1,DATE(YEAR(Invoer!$A$5),12,31)-DATE(YEAR(Invoer!$A$5),1,1)+1),"jjjjmmdd")</f>
        <v>19400206</v>
      </c>
      <c r="C770" s="18">
        <v>1</v>
      </c>
      <c r="D770" s="23">
        <f t="shared" ref="D770:D833" ca="1" si="24">IF(OR(ISBLANK(VLOOKUP(DATEVALUE(LEFT(B770,4)&amp;"-"&amp;MID(B770,5,2)&amp;"-"&amp;RIGHT(B770,2)),Data,MATCH(VLOOKUP(A770,Stations,2,FALSE()),OFFSET(Data,1,0,1),0),FALSE())),ISTEXT(VLOOKUP(DATEVALUE(LEFT(B770,4)&amp;"-"&amp;MID(B770,5,2)&amp;"-"&amp;RIGHT(B770,2)),Data,MATCH(VLOOKUP(A770,Stations,2,FALSE()),OFFSET(Data,1,0,1),0),FALSE()))),"—",VLOOKUP(DATEVALUE(LEFT(B770,4)&amp;"-"&amp;MID(B770,5,2)&amp;"-"&amp;RIGHT(B770,2)),Data,MATCH(VLOOKUP(A770,Stations,2,FALSE()),OFFSET(Data,1,0,1),0),FALSE()))</f>
        <v>115</v>
      </c>
      <c r="E770" s="24">
        <f t="shared" ref="E770:E833" ca="1" si="25">IF(OR(ISBLANK(VLOOKUP(DATEVALUE(LEFT(B770,4)&amp;"-"&amp;MID(B770,5,2)&amp;"-"&amp;RIGHT(B770,2)),Data,MATCH(VLOOKUP(A770,Stations,2,FALSE()),OFFSET(Data,1,0,1),0),FALSE())),ISTEXT(VLOOKUP(DATEVALUE(LEFT(B770,4)&amp;"-"&amp;MID(B770,5,2)&amp;"-"&amp;RIGHT(B770,2)),Data,MATCH(VLOOKUP(A770,Stations,2,FALSE()),OFFSET(Data,1,0,1),0),FALSE()))),Lacking,IF(ISNA(MATCH(DATEVALUE(LEFT(B770,4)&amp;"-"&amp;MID(B770,5,2)&amp;"-"&amp;RIGHT(B770,2)),OFFSET(Catalogus,0,0,,1),0)),Ok,VLOOKUP(DATEVALUE(LEFT(B770,4)&amp;"-"&amp;MID(B770,5,2)&amp;"-"&amp;RIGHT(B770,2)),Catalogus,MATCH(VLOOKUP(A770,Stations,2,FALSE()),OFFSET(Catalogus,1,0,1),0),FALSE())))</f>
        <v>0</v>
      </c>
    </row>
    <row r="771" spans="1:5" x14ac:dyDescent="0.25">
      <c r="A771" s="17">
        <f ca="1">INDEX(Stations,INT((ROWS(A$2:A771)-1)/(DATE(YEAR(Invoer!$A$5),12,31)-DATE(YEAR(Invoer!$A$5),1,1)+1))+2,1)</f>
        <v>82</v>
      </c>
      <c r="B771" t="str">
        <f ca="1">TEXT(DATE(YEAR(Invoer!$A$5),1,1)+MOD(ROWS(B$2:B771)-1,DATE(YEAR(Invoer!$A$5),12,31)-DATE(YEAR(Invoer!$A$5),1,1)+1),"jjjjmmdd")</f>
        <v>19400207</v>
      </c>
      <c r="C771" s="18">
        <v>1</v>
      </c>
      <c r="D771" s="23">
        <f t="shared" ca="1" si="24"/>
        <v>0</v>
      </c>
      <c r="E771" s="24">
        <f t="shared" ca="1" si="25"/>
        <v>0</v>
      </c>
    </row>
    <row r="772" spans="1:5" x14ac:dyDescent="0.25">
      <c r="A772" s="17">
        <f ca="1">INDEX(Stations,INT((ROWS(A$2:A772)-1)/(DATE(YEAR(Invoer!$A$5),12,31)-DATE(YEAR(Invoer!$A$5),1,1)+1))+2,1)</f>
        <v>82</v>
      </c>
      <c r="B772" t="str">
        <f ca="1">TEXT(DATE(YEAR(Invoer!$A$5),1,1)+MOD(ROWS(B$2:B772)-1,DATE(YEAR(Invoer!$A$5),12,31)-DATE(YEAR(Invoer!$A$5),1,1)+1),"jjjjmmdd")</f>
        <v>19400208</v>
      </c>
      <c r="C772" s="18">
        <v>1</v>
      </c>
      <c r="D772" s="23">
        <f t="shared" ca="1" si="24"/>
        <v>45</v>
      </c>
      <c r="E772" s="24">
        <f t="shared" ca="1" si="25"/>
        <v>0</v>
      </c>
    </row>
    <row r="773" spans="1:5" x14ac:dyDescent="0.25">
      <c r="A773" s="17">
        <f ca="1">INDEX(Stations,INT((ROWS(A$2:A773)-1)/(DATE(YEAR(Invoer!$A$5),12,31)-DATE(YEAR(Invoer!$A$5),1,1)+1))+2,1)</f>
        <v>82</v>
      </c>
      <c r="B773" t="str">
        <f ca="1">TEXT(DATE(YEAR(Invoer!$A$5),1,1)+MOD(ROWS(B$2:B773)-1,DATE(YEAR(Invoer!$A$5),12,31)-DATE(YEAR(Invoer!$A$5),1,1)+1),"jjjjmmdd")</f>
        <v>19400209</v>
      </c>
      <c r="C773" s="18">
        <v>1</v>
      </c>
      <c r="D773" s="23">
        <f t="shared" ca="1" si="24"/>
        <v>0</v>
      </c>
      <c r="E773" s="24">
        <f t="shared" ca="1" si="25"/>
        <v>0</v>
      </c>
    </row>
    <row r="774" spans="1:5" x14ac:dyDescent="0.25">
      <c r="A774" s="17">
        <f ca="1">INDEX(Stations,INT((ROWS(A$2:A774)-1)/(DATE(YEAR(Invoer!$A$5),12,31)-DATE(YEAR(Invoer!$A$5),1,1)+1))+2,1)</f>
        <v>82</v>
      </c>
      <c r="B774" t="str">
        <f ca="1">TEXT(DATE(YEAR(Invoer!$A$5),1,1)+MOD(ROWS(B$2:B774)-1,DATE(YEAR(Invoer!$A$5),12,31)-DATE(YEAR(Invoer!$A$5),1,1)+1),"jjjjmmdd")</f>
        <v>19400210</v>
      </c>
      <c r="C774" s="18">
        <v>1</v>
      </c>
      <c r="D774" s="23">
        <f t="shared" ca="1" si="24"/>
        <v>50</v>
      </c>
      <c r="E774" s="24">
        <f t="shared" ca="1" si="25"/>
        <v>0</v>
      </c>
    </row>
    <row r="775" spans="1:5" x14ac:dyDescent="0.25">
      <c r="A775" s="17">
        <f ca="1">INDEX(Stations,INT((ROWS(A$2:A775)-1)/(DATE(YEAR(Invoer!$A$5),12,31)-DATE(YEAR(Invoer!$A$5),1,1)+1))+2,1)</f>
        <v>82</v>
      </c>
      <c r="B775" t="str">
        <f ca="1">TEXT(DATE(YEAR(Invoer!$A$5),1,1)+MOD(ROWS(B$2:B775)-1,DATE(YEAR(Invoer!$A$5),12,31)-DATE(YEAR(Invoer!$A$5),1,1)+1),"jjjjmmdd")</f>
        <v>19400211</v>
      </c>
      <c r="C775" s="18">
        <v>1</v>
      </c>
      <c r="D775" s="23">
        <f t="shared" ca="1" si="24"/>
        <v>0</v>
      </c>
      <c r="E775" s="24">
        <f t="shared" ca="1" si="25"/>
        <v>0</v>
      </c>
    </row>
    <row r="776" spans="1:5" x14ac:dyDescent="0.25">
      <c r="A776" s="17">
        <f ca="1">INDEX(Stations,INT((ROWS(A$2:A776)-1)/(DATE(YEAR(Invoer!$A$5),12,31)-DATE(YEAR(Invoer!$A$5),1,1)+1))+2,1)</f>
        <v>82</v>
      </c>
      <c r="B776" t="str">
        <f ca="1">TEXT(DATE(YEAR(Invoer!$A$5),1,1)+MOD(ROWS(B$2:B776)-1,DATE(YEAR(Invoer!$A$5),12,31)-DATE(YEAR(Invoer!$A$5),1,1)+1),"jjjjmmdd")</f>
        <v>19400212</v>
      </c>
      <c r="C776" s="18">
        <v>1</v>
      </c>
      <c r="D776" s="23">
        <f t="shared" ca="1" si="24"/>
        <v>110</v>
      </c>
      <c r="E776" s="24">
        <f t="shared" ca="1" si="25"/>
        <v>0</v>
      </c>
    </row>
    <row r="777" spans="1:5" x14ac:dyDescent="0.25">
      <c r="A777" s="17">
        <f ca="1">INDEX(Stations,INT((ROWS(A$2:A777)-1)/(DATE(YEAR(Invoer!$A$5),12,31)-DATE(YEAR(Invoer!$A$5),1,1)+1))+2,1)</f>
        <v>82</v>
      </c>
      <c r="B777" t="str">
        <f ca="1">TEXT(DATE(YEAR(Invoer!$A$5),1,1)+MOD(ROWS(B$2:B777)-1,DATE(YEAR(Invoer!$A$5),12,31)-DATE(YEAR(Invoer!$A$5),1,1)+1),"jjjjmmdd")</f>
        <v>19400213</v>
      </c>
      <c r="C777" s="18">
        <v>1</v>
      </c>
      <c r="D777" s="23">
        <f t="shared" ca="1" si="24"/>
        <v>60</v>
      </c>
      <c r="E777" s="24">
        <f t="shared" ca="1" si="25"/>
        <v>0</v>
      </c>
    </row>
    <row r="778" spans="1:5" x14ac:dyDescent="0.25">
      <c r="A778" s="17">
        <f ca="1">INDEX(Stations,INT((ROWS(A$2:A778)-1)/(DATE(YEAR(Invoer!$A$5),12,31)-DATE(YEAR(Invoer!$A$5),1,1)+1))+2,1)</f>
        <v>82</v>
      </c>
      <c r="B778" t="str">
        <f ca="1">TEXT(DATE(YEAR(Invoer!$A$5),1,1)+MOD(ROWS(B$2:B778)-1,DATE(YEAR(Invoer!$A$5),12,31)-DATE(YEAR(Invoer!$A$5),1,1)+1),"jjjjmmdd")</f>
        <v>19400214</v>
      </c>
      <c r="C778" s="18">
        <v>1</v>
      </c>
      <c r="D778" s="23">
        <f t="shared" ca="1" si="24"/>
        <v>0</v>
      </c>
      <c r="E778" s="24">
        <f t="shared" ca="1" si="25"/>
        <v>0</v>
      </c>
    </row>
    <row r="779" spans="1:5" x14ac:dyDescent="0.25">
      <c r="A779" s="17">
        <f ca="1">INDEX(Stations,INT((ROWS(A$2:A779)-1)/(DATE(YEAR(Invoer!$A$5),12,31)-DATE(YEAR(Invoer!$A$5),1,1)+1))+2,1)</f>
        <v>82</v>
      </c>
      <c r="B779" t="str">
        <f ca="1">TEXT(DATE(YEAR(Invoer!$A$5),1,1)+MOD(ROWS(B$2:B779)-1,DATE(YEAR(Invoer!$A$5),12,31)-DATE(YEAR(Invoer!$A$5),1,1)+1),"jjjjmmdd")</f>
        <v>19400215</v>
      </c>
      <c r="C779" s="18">
        <v>1</v>
      </c>
      <c r="D779" s="23">
        <f t="shared" ca="1" si="24"/>
        <v>0</v>
      </c>
      <c r="E779" s="24">
        <f t="shared" ca="1" si="25"/>
        <v>0</v>
      </c>
    </row>
    <row r="780" spans="1:5" x14ac:dyDescent="0.25">
      <c r="A780" s="17">
        <f ca="1">INDEX(Stations,INT((ROWS(A$2:A780)-1)/(DATE(YEAR(Invoer!$A$5),12,31)-DATE(YEAR(Invoer!$A$5),1,1)+1))+2,1)</f>
        <v>82</v>
      </c>
      <c r="B780" t="str">
        <f ca="1">TEXT(DATE(YEAR(Invoer!$A$5),1,1)+MOD(ROWS(B$2:B780)-1,DATE(YEAR(Invoer!$A$5),12,31)-DATE(YEAR(Invoer!$A$5),1,1)+1),"jjjjmmdd")</f>
        <v>19400216</v>
      </c>
      <c r="C780" s="18">
        <v>1</v>
      </c>
      <c r="D780" s="23">
        <f t="shared" ca="1" si="24"/>
        <v>0</v>
      </c>
      <c r="E780" s="24">
        <f t="shared" ca="1" si="25"/>
        <v>0</v>
      </c>
    </row>
    <row r="781" spans="1:5" x14ac:dyDescent="0.25">
      <c r="A781" s="17">
        <f ca="1">INDEX(Stations,INT((ROWS(A$2:A781)-1)/(DATE(YEAR(Invoer!$A$5),12,31)-DATE(YEAR(Invoer!$A$5),1,1)+1))+2,1)</f>
        <v>82</v>
      </c>
      <c r="B781" t="str">
        <f ca="1">TEXT(DATE(YEAR(Invoer!$A$5),1,1)+MOD(ROWS(B$2:B781)-1,DATE(YEAR(Invoer!$A$5),12,31)-DATE(YEAR(Invoer!$A$5),1,1)+1),"jjjjmmdd")</f>
        <v>19400217</v>
      </c>
      <c r="C781" s="18">
        <v>1</v>
      </c>
      <c r="D781" s="23">
        <f t="shared" ca="1" si="24"/>
        <v>60</v>
      </c>
      <c r="E781" s="24">
        <f t="shared" ca="1" si="25"/>
        <v>0</v>
      </c>
    </row>
    <row r="782" spans="1:5" x14ac:dyDescent="0.25">
      <c r="A782" s="17">
        <f ca="1">INDEX(Stations,INT((ROWS(A$2:A782)-1)/(DATE(YEAR(Invoer!$A$5),12,31)-DATE(YEAR(Invoer!$A$5),1,1)+1))+2,1)</f>
        <v>82</v>
      </c>
      <c r="B782" t="str">
        <f ca="1">TEXT(DATE(YEAR(Invoer!$A$5),1,1)+MOD(ROWS(B$2:B782)-1,DATE(YEAR(Invoer!$A$5),12,31)-DATE(YEAR(Invoer!$A$5),1,1)+1),"jjjjmmdd")</f>
        <v>19400218</v>
      </c>
      <c r="C782" s="18">
        <v>1</v>
      </c>
      <c r="D782" s="23">
        <f t="shared" ca="1" si="24"/>
        <v>0</v>
      </c>
      <c r="E782" s="24">
        <f t="shared" ca="1" si="25"/>
        <v>0</v>
      </c>
    </row>
    <row r="783" spans="1:5" x14ac:dyDescent="0.25">
      <c r="A783" s="17">
        <f ca="1">INDEX(Stations,INT((ROWS(A$2:A783)-1)/(DATE(YEAR(Invoer!$A$5),12,31)-DATE(YEAR(Invoer!$A$5),1,1)+1))+2,1)</f>
        <v>82</v>
      </c>
      <c r="B783" t="str">
        <f ca="1">TEXT(DATE(YEAR(Invoer!$A$5),1,1)+MOD(ROWS(B$2:B783)-1,DATE(YEAR(Invoer!$A$5),12,31)-DATE(YEAR(Invoer!$A$5),1,1)+1),"jjjjmmdd")</f>
        <v>19400219</v>
      </c>
      <c r="C783" s="18">
        <v>1</v>
      </c>
      <c r="D783" s="23">
        <f t="shared" ca="1" si="24"/>
        <v>0</v>
      </c>
      <c r="E783" s="24">
        <f t="shared" ca="1" si="25"/>
        <v>0</v>
      </c>
    </row>
    <row r="784" spans="1:5" x14ac:dyDescent="0.25">
      <c r="A784" s="17">
        <f ca="1">INDEX(Stations,INT((ROWS(A$2:A784)-1)/(DATE(YEAR(Invoer!$A$5),12,31)-DATE(YEAR(Invoer!$A$5),1,1)+1))+2,1)</f>
        <v>82</v>
      </c>
      <c r="B784" t="str">
        <f ca="1">TEXT(DATE(YEAR(Invoer!$A$5),1,1)+MOD(ROWS(B$2:B784)-1,DATE(YEAR(Invoer!$A$5),12,31)-DATE(YEAR(Invoer!$A$5),1,1)+1),"jjjjmmdd")</f>
        <v>19400220</v>
      </c>
      <c r="C784" s="18">
        <v>1</v>
      </c>
      <c r="D784" s="23">
        <f t="shared" ca="1" si="24"/>
        <v>35</v>
      </c>
      <c r="E784" s="24">
        <f t="shared" ca="1" si="25"/>
        <v>0</v>
      </c>
    </row>
    <row r="785" spans="1:5" x14ac:dyDescent="0.25">
      <c r="A785" s="17">
        <f ca="1">INDEX(Stations,INT((ROWS(A$2:A785)-1)/(DATE(YEAR(Invoer!$A$5),12,31)-DATE(YEAR(Invoer!$A$5),1,1)+1))+2,1)</f>
        <v>82</v>
      </c>
      <c r="B785" t="str">
        <f ca="1">TEXT(DATE(YEAR(Invoer!$A$5),1,1)+MOD(ROWS(B$2:B785)-1,DATE(YEAR(Invoer!$A$5),12,31)-DATE(YEAR(Invoer!$A$5),1,1)+1),"jjjjmmdd")</f>
        <v>19400221</v>
      </c>
      <c r="C785" s="18">
        <v>1</v>
      </c>
      <c r="D785" s="23">
        <f t="shared" ca="1" si="24"/>
        <v>0</v>
      </c>
      <c r="E785" s="24">
        <f t="shared" ca="1" si="25"/>
        <v>0</v>
      </c>
    </row>
    <row r="786" spans="1:5" x14ac:dyDescent="0.25">
      <c r="A786" s="17">
        <f ca="1">INDEX(Stations,INT((ROWS(A$2:A786)-1)/(DATE(YEAR(Invoer!$A$5),12,31)-DATE(YEAR(Invoer!$A$5),1,1)+1))+2,1)</f>
        <v>82</v>
      </c>
      <c r="B786" t="str">
        <f ca="1">TEXT(DATE(YEAR(Invoer!$A$5),1,1)+MOD(ROWS(B$2:B786)-1,DATE(YEAR(Invoer!$A$5),12,31)-DATE(YEAR(Invoer!$A$5),1,1)+1),"jjjjmmdd")</f>
        <v>19400222</v>
      </c>
      <c r="C786" s="18">
        <v>1</v>
      </c>
      <c r="D786" s="23">
        <f t="shared" ca="1" si="24"/>
        <v>0</v>
      </c>
      <c r="E786" s="24">
        <f t="shared" ca="1" si="25"/>
        <v>0</v>
      </c>
    </row>
    <row r="787" spans="1:5" x14ac:dyDescent="0.25">
      <c r="A787" s="17">
        <f ca="1">INDEX(Stations,INT((ROWS(A$2:A787)-1)/(DATE(YEAR(Invoer!$A$5),12,31)-DATE(YEAR(Invoer!$A$5),1,1)+1))+2,1)</f>
        <v>82</v>
      </c>
      <c r="B787" t="str">
        <f ca="1">TEXT(DATE(YEAR(Invoer!$A$5),1,1)+MOD(ROWS(B$2:B787)-1,DATE(YEAR(Invoer!$A$5),12,31)-DATE(YEAR(Invoer!$A$5),1,1)+1),"jjjjmmdd")</f>
        <v>19400223</v>
      </c>
      <c r="C787" s="18">
        <v>1</v>
      </c>
      <c r="D787" s="23">
        <f t="shared" ca="1" si="24"/>
        <v>0</v>
      </c>
      <c r="E787" s="24">
        <f t="shared" ca="1" si="25"/>
        <v>0</v>
      </c>
    </row>
    <row r="788" spans="1:5" x14ac:dyDescent="0.25">
      <c r="A788" s="17">
        <f ca="1">INDEX(Stations,INT((ROWS(A$2:A788)-1)/(DATE(YEAR(Invoer!$A$5),12,31)-DATE(YEAR(Invoer!$A$5),1,1)+1))+2,1)</f>
        <v>82</v>
      </c>
      <c r="B788" t="str">
        <f ca="1">TEXT(DATE(YEAR(Invoer!$A$5),1,1)+MOD(ROWS(B$2:B788)-1,DATE(YEAR(Invoer!$A$5),12,31)-DATE(YEAR(Invoer!$A$5),1,1)+1),"jjjjmmdd")</f>
        <v>19400224</v>
      </c>
      <c r="C788" s="18">
        <v>1</v>
      </c>
      <c r="D788" s="23">
        <f t="shared" ca="1" si="24"/>
        <v>0</v>
      </c>
      <c r="E788" s="24">
        <f t="shared" ca="1" si="25"/>
        <v>0</v>
      </c>
    </row>
    <row r="789" spans="1:5" x14ac:dyDescent="0.25">
      <c r="A789" s="17">
        <f ca="1">INDEX(Stations,INT((ROWS(A$2:A789)-1)/(DATE(YEAR(Invoer!$A$5),12,31)-DATE(YEAR(Invoer!$A$5),1,1)+1))+2,1)</f>
        <v>82</v>
      </c>
      <c r="B789" t="str">
        <f ca="1">TEXT(DATE(YEAR(Invoer!$A$5),1,1)+MOD(ROWS(B$2:B789)-1,DATE(YEAR(Invoer!$A$5),12,31)-DATE(YEAR(Invoer!$A$5),1,1)+1),"jjjjmmdd")</f>
        <v>19400225</v>
      </c>
      <c r="C789" s="18">
        <v>1</v>
      </c>
      <c r="D789" s="23">
        <f t="shared" ca="1" si="24"/>
        <v>0</v>
      </c>
      <c r="E789" s="24">
        <f t="shared" ca="1" si="25"/>
        <v>0</v>
      </c>
    </row>
    <row r="790" spans="1:5" x14ac:dyDescent="0.25">
      <c r="A790" s="17">
        <f ca="1">INDEX(Stations,INT((ROWS(A$2:A790)-1)/(DATE(YEAR(Invoer!$A$5),12,31)-DATE(YEAR(Invoer!$A$5),1,1)+1))+2,1)</f>
        <v>82</v>
      </c>
      <c r="B790" t="str">
        <f ca="1">TEXT(DATE(YEAR(Invoer!$A$5),1,1)+MOD(ROWS(B$2:B790)-1,DATE(YEAR(Invoer!$A$5),12,31)-DATE(YEAR(Invoer!$A$5),1,1)+1),"jjjjmmdd")</f>
        <v>19400226</v>
      </c>
      <c r="C790" s="18">
        <v>1</v>
      </c>
      <c r="D790" s="23">
        <f t="shared" ca="1" si="24"/>
        <v>0</v>
      </c>
      <c r="E790" s="24">
        <f t="shared" ca="1" si="25"/>
        <v>0</v>
      </c>
    </row>
    <row r="791" spans="1:5" x14ac:dyDescent="0.25">
      <c r="A791" s="17">
        <f ca="1">INDEX(Stations,INT((ROWS(A$2:A791)-1)/(DATE(YEAR(Invoer!$A$5),12,31)-DATE(YEAR(Invoer!$A$5),1,1)+1))+2,1)</f>
        <v>82</v>
      </c>
      <c r="B791" t="str">
        <f ca="1">TEXT(DATE(YEAR(Invoer!$A$5),1,1)+MOD(ROWS(B$2:B791)-1,DATE(YEAR(Invoer!$A$5),12,31)-DATE(YEAR(Invoer!$A$5),1,1)+1),"jjjjmmdd")</f>
        <v>19400227</v>
      </c>
      <c r="C791" s="18">
        <v>1</v>
      </c>
      <c r="D791" s="23">
        <f t="shared" ca="1" si="24"/>
        <v>0</v>
      </c>
      <c r="E791" s="24">
        <f t="shared" ca="1" si="25"/>
        <v>0</v>
      </c>
    </row>
    <row r="792" spans="1:5" x14ac:dyDescent="0.25">
      <c r="A792" s="17">
        <f ca="1">INDEX(Stations,INT((ROWS(A$2:A792)-1)/(DATE(YEAR(Invoer!$A$5),12,31)-DATE(YEAR(Invoer!$A$5),1,1)+1))+2,1)</f>
        <v>82</v>
      </c>
      <c r="B792" t="str">
        <f ca="1">TEXT(DATE(YEAR(Invoer!$A$5),1,1)+MOD(ROWS(B$2:B792)-1,DATE(YEAR(Invoer!$A$5),12,31)-DATE(YEAR(Invoer!$A$5),1,1)+1),"jjjjmmdd")</f>
        <v>19400228</v>
      </c>
      <c r="C792" s="18">
        <v>1</v>
      </c>
      <c r="D792" s="23">
        <f t="shared" ca="1" si="24"/>
        <v>95</v>
      </c>
      <c r="E792" s="24">
        <f t="shared" ca="1" si="25"/>
        <v>0</v>
      </c>
    </row>
    <row r="793" spans="1:5" x14ac:dyDescent="0.25">
      <c r="A793" s="17">
        <f ca="1">INDEX(Stations,INT((ROWS(A$2:A793)-1)/(DATE(YEAR(Invoer!$A$5),12,31)-DATE(YEAR(Invoer!$A$5),1,1)+1))+2,1)</f>
        <v>82</v>
      </c>
      <c r="B793" t="str">
        <f ca="1">TEXT(DATE(YEAR(Invoer!$A$5),1,1)+MOD(ROWS(B$2:B793)-1,DATE(YEAR(Invoer!$A$5),12,31)-DATE(YEAR(Invoer!$A$5),1,1)+1),"jjjjmmdd")</f>
        <v>19400229</v>
      </c>
      <c r="C793" s="18">
        <v>1</v>
      </c>
      <c r="D793" s="23">
        <f t="shared" ca="1" si="24"/>
        <v>110</v>
      </c>
      <c r="E793" s="24">
        <f t="shared" ca="1" si="25"/>
        <v>0</v>
      </c>
    </row>
    <row r="794" spans="1:5" x14ac:dyDescent="0.25">
      <c r="A794" s="17">
        <f ca="1">INDEX(Stations,INT((ROWS(A$2:A794)-1)/(DATE(YEAR(Invoer!$A$5),12,31)-DATE(YEAR(Invoer!$A$5),1,1)+1))+2,1)</f>
        <v>82</v>
      </c>
      <c r="B794" t="str">
        <f ca="1">TEXT(DATE(YEAR(Invoer!$A$5),1,1)+MOD(ROWS(B$2:B794)-1,DATE(YEAR(Invoer!$A$5),12,31)-DATE(YEAR(Invoer!$A$5),1,1)+1),"jjjjmmdd")</f>
        <v>19400301</v>
      </c>
      <c r="C794" s="18">
        <v>1</v>
      </c>
      <c r="D794" s="23">
        <f t="shared" ca="1" si="24"/>
        <v>50</v>
      </c>
      <c r="E794" s="24">
        <f t="shared" ca="1" si="25"/>
        <v>0</v>
      </c>
    </row>
    <row r="795" spans="1:5" x14ac:dyDescent="0.25">
      <c r="A795" s="17">
        <f ca="1">INDEX(Stations,INT((ROWS(A$2:A795)-1)/(DATE(YEAR(Invoer!$A$5),12,31)-DATE(YEAR(Invoer!$A$5),1,1)+1))+2,1)</f>
        <v>82</v>
      </c>
      <c r="B795" t="str">
        <f ca="1">TEXT(DATE(YEAR(Invoer!$A$5),1,1)+MOD(ROWS(B$2:B795)-1,DATE(YEAR(Invoer!$A$5),12,31)-DATE(YEAR(Invoer!$A$5),1,1)+1),"jjjjmmdd")</f>
        <v>19400302</v>
      </c>
      <c r="C795" s="18">
        <v>1</v>
      </c>
      <c r="D795" s="23">
        <f t="shared" ca="1" si="24"/>
        <v>0</v>
      </c>
      <c r="E795" s="24">
        <f t="shared" ca="1" si="25"/>
        <v>0</v>
      </c>
    </row>
    <row r="796" spans="1:5" x14ac:dyDescent="0.25">
      <c r="A796" s="17">
        <f ca="1">INDEX(Stations,INT((ROWS(A$2:A796)-1)/(DATE(YEAR(Invoer!$A$5),12,31)-DATE(YEAR(Invoer!$A$5),1,1)+1))+2,1)</f>
        <v>82</v>
      </c>
      <c r="B796" t="str">
        <f ca="1">TEXT(DATE(YEAR(Invoer!$A$5),1,1)+MOD(ROWS(B$2:B796)-1,DATE(YEAR(Invoer!$A$5),12,31)-DATE(YEAR(Invoer!$A$5),1,1)+1),"jjjjmmdd")</f>
        <v>19400303</v>
      </c>
      <c r="C796" s="18">
        <v>1</v>
      </c>
      <c r="D796" s="23">
        <f t="shared" ca="1" si="24"/>
        <v>0</v>
      </c>
      <c r="E796" s="24">
        <f t="shared" ca="1" si="25"/>
        <v>0</v>
      </c>
    </row>
    <row r="797" spans="1:5" x14ac:dyDescent="0.25">
      <c r="A797" s="17">
        <f ca="1">INDEX(Stations,INT((ROWS(A$2:A797)-1)/(DATE(YEAR(Invoer!$A$5),12,31)-DATE(YEAR(Invoer!$A$5),1,1)+1))+2,1)</f>
        <v>82</v>
      </c>
      <c r="B797" t="str">
        <f ca="1">TEXT(DATE(YEAR(Invoer!$A$5),1,1)+MOD(ROWS(B$2:B797)-1,DATE(YEAR(Invoer!$A$5),12,31)-DATE(YEAR(Invoer!$A$5),1,1)+1),"jjjjmmdd")</f>
        <v>19400304</v>
      </c>
      <c r="C797" s="18">
        <v>1</v>
      </c>
      <c r="D797" s="23">
        <f t="shared" ca="1" si="24"/>
        <v>0</v>
      </c>
      <c r="E797" s="24">
        <f t="shared" ca="1" si="25"/>
        <v>0</v>
      </c>
    </row>
    <row r="798" spans="1:5" x14ac:dyDescent="0.25">
      <c r="A798" s="17">
        <f ca="1">INDEX(Stations,INT((ROWS(A$2:A798)-1)/(DATE(YEAR(Invoer!$A$5),12,31)-DATE(YEAR(Invoer!$A$5),1,1)+1))+2,1)</f>
        <v>82</v>
      </c>
      <c r="B798" t="str">
        <f ca="1">TEXT(DATE(YEAR(Invoer!$A$5),1,1)+MOD(ROWS(B$2:B798)-1,DATE(YEAR(Invoer!$A$5),12,31)-DATE(YEAR(Invoer!$A$5),1,1)+1),"jjjjmmdd")</f>
        <v>19400305</v>
      </c>
      <c r="C798" s="18">
        <v>1</v>
      </c>
      <c r="D798" s="23">
        <f t="shared" ca="1" si="24"/>
        <v>0</v>
      </c>
      <c r="E798" s="24">
        <f t="shared" ca="1" si="25"/>
        <v>0</v>
      </c>
    </row>
    <row r="799" spans="1:5" x14ac:dyDescent="0.25">
      <c r="A799" s="17">
        <f ca="1">INDEX(Stations,INT((ROWS(A$2:A799)-1)/(DATE(YEAR(Invoer!$A$5),12,31)-DATE(YEAR(Invoer!$A$5),1,1)+1))+2,1)</f>
        <v>82</v>
      </c>
      <c r="B799" t="str">
        <f ca="1">TEXT(DATE(YEAR(Invoer!$A$5),1,1)+MOD(ROWS(B$2:B799)-1,DATE(YEAR(Invoer!$A$5),12,31)-DATE(YEAR(Invoer!$A$5),1,1)+1),"jjjjmmdd")</f>
        <v>19400306</v>
      </c>
      <c r="C799" s="18">
        <v>1</v>
      </c>
      <c r="D799" s="23">
        <f t="shared" ca="1" si="24"/>
        <v>0</v>
      </c>
      <c r="E799" s="24">
        <f t="shared" ca="1" si="25"/>
        <v>0</v>
      </c>
    </row>
    <row r="800" spans="1:5" x14ac:dyDescent="0.25">
      <c r="A800" s="17">
        <f ca="1">INDEX(Stations,INT((ROWS(A$2:A800)-1)/(DATE(YEAR(Invoer!$A$5),12,31)-DATE(YEAR(Invoer!$A$5),1,1)+1))+2,1)</f>
        <v>82</v>
      </c>
      <c r="B800" t="str">
        <f ca="1">TEXT(DATE(YEAR(Invoer!$A$5),1,1)+MOD(ROWS(B$2:B800)-1,DATE(YEAR(Invoer!$A$5),12,31)-DATE(YEAR(Invoer!$A$5),1,1)+1),"jjjjmmdd")</f>
        <v>19400307</v>
      </c>
      <c r="C800" s="18">
        <v>1</v>
      </c>
      <c r="D800" s="23">
        <f t="shared" ca="1" si="24"/>
        <v>0</v>
      </c>
      <c r="E800" s="24">
        <f t="shared" ca="1" si="25"/>
        <v>0</v>
      </c>
    </row>
    <row r="801" spans="1:5" x14ac:dyDescent="0.25">
      <c r="A801" s="17">
        <f ca="1">INDEX(Stations,INT((ROWS(A$2:A801)-1)/(DATE(YEAR(Invoer!$A$5),12,31)-DATE(YEAR(Invoer!$A$5),1,1)+1))+2,1)</f>
        <v>82</v>
      </c>
      <c r="B801" t="str">
        <f ca="1">TEXT(DATE(YEAR(Invoer!$A$5),1,1)+MOD(ROWS(B$2:B801)-1,DATE(YEAR(Invoer!$A$5),12,31)-DATE(YEAR(Invoer!$A$5),1,1)+1),"jjjjmmdd")</f>
        <v>19400308</v>
      </c>
      <c r="C801" s="18">
        <v>1</v>
      </c>
      <c r="D801" s="23">
        <f t="shared" ca="1" si="24"/>
        <v>0</v>
      </c>
      <c r="E801" s="24">
        <f t="shared" ca="1" si="25"/>
        <v>0</v>
      </c>
    </row>
    <row r="802" spans="1:5" x14ac:dyDescent="0.25">
      <c r="A802" s="17">
        <f ca="1">INDEX(Stations,INT((ROWS(A$2:A802)-1)/(DATE(YEAR(Invoer!$A$5),12,31)-DATE(YEAR(Invoer!$A$5),1,1)+1))+2,1)</f>
        <v>82</v>
      </c>
      <c r="B802" t="str">
        <f ca="1">TEXT(DATE(YEAR(Invoer!$A$5),1,1)+MOD(ROWS(B$2:B802)-1,DATE(YEAR(Invoer!$A$5),12,31)-DATE(YEAR(Invoer!$A$5),1,1)+1),"jjjjmmdd")</f>
        <v>19400309</v>
      </c>
      <c r="C802" s="18">
        <v>1</v>
      </c>
      <c r="D802" s="23">
        <f t="shared" ca="1" si="24"/>
        <v>75</v>
      </c>
      <c r="E802" s="24">
        <f t="shared" ca="1" si="25"/>
        <v>0</v>
      </c>
    </row>
    <row r="803" spans="1:5" x14ac:dyDescent="0.25">
      <c r="A803" s="17">
        <f ca="1">INDEX(Stations,INT((ROWS(A$2:A803)-1)/(DATE(YEAR(Invoer!$A$5),12,31)-DATE(YEAR(Invoer!$A$5),1,1)+1))+2,1)</f>
        <v>82</v>
      </c>
      <c r="B803" t="str">
        <f ca="1">TEXT(DATE(YEAR(Invoer!$A$5),1,1)+MOD(ROWS(B$2:B803)-1,DATE(YEAR(Invoer!$A$5),12,31)-DATE(YEAR(Invoer!$A$5),1,1)+1),"jjjjmmdd")</f>
        <v>19400310</v>
      </c>
      <c r="C803" s="18">
        <v>1</v>
      </c>
      <c r="D803" s="23">
        <f t="shared" ca="1" si="24"/>
        <v>100</v>
      </c>
      <c r="E803" s="24">
        <f t="shared" ca="1" si="25"/>
        <v>0</v>
      </c>
    </row>
    <row r="804" spans="1:5" x14ac:dyDescent="0.25">
      <c r="A804" s="17">
        <f ca="1">INDEX(Stations,INT((ROWS(A$2:A804)-1)/(DATE(YEAR(Invoer!$A$5),12,31)-DATE(YEAR(Invoer!$A$5),1,1)+1))+2,1)</f>
        <v>82</v>
      </c>
      <c r="B804" t="str">
        <f ca="1">TEXT(DATE(YEAR(Invoer!$A$5),1,1)+MOD(ROWS(B$2:B804)-1,DATE(YEAR(Invoer!$A$5),12,31)-DATE(YEAR(Invoer!$A$5),1,1)+1),"jjjjmmdd")</f>
        <v>19400311</v>
      </c>
      <c r="C804" s="18">
        <v>1</v>
      </c>
      <c r="D804" s="23">
        <f t="shared" ca="1" si="24"/>
        <v>70</v>
      </c>
      <c r="E804" s="24">
        <f t="shared" ca="1" si="25"/>
        <v>0</v>
      </c>
    </row>
    <row r="805" spans="1:5" x14ac:dyDescent="0.25">
      <c r="A805" s="17">
        <f ca="1">INDEX(Stations,INT((ROWS(A$2:A805)-1)/(DATE(YEAR(Invoer!$A$5),12,31)-DATE(YEAR(Invoer!$A$5),1,1)+1))+2,1)</f>
        <v>82</v>
      </c>
      <c r="B805" t="str">
        <f ca="1">TEXT(DATE(YEAR(Invoer!$A$5),1,1)+MOD(ROWS(B$2:B805)-1,DATE(YEAR(Invoer!$A$5),12,31)-DATE(YEAR(Invoer!$A$5),1,1)+1),"jjjjmmdd")</f>
        <v>19400312</v>
      </c>
      <c r="C805" s="18">
        <v>1</v>
      </c>
      <c r="D805" s="23">
        <f t="shared" ca="1" si="24"/>
        <v>20</v>
      </c>
      <c r="E805" s="24">
        <f t="shared" ca="1" si="25"/>
        <v>0</v>
      </c>
    </row>
    <row r="806" spans="1:5" x14ac:dyDescent="0.25">
      <c r="A806" s="17">
        <f ca="1">INDEX(Stations,INT((ROWS(A$2:A806)-1)/(DATE(YEAR(Invoer!$A$5),12,31)-DATE(YEAR(Invoer!$A$5),1,1)+1))+2,1)</f>
        <v>82</v>
      </c>
      <c r="B806" t="str">
        <f ca="1">TEXT(DATE(YEAR(Invoer!$A$5),1,1)+MOD(ROWS(B$2:B806)-1,DATE(YEAR(Invoer!$A$5),12,31)-DATE(YEAR(Invoer!$A$5),1,1)+1),"jjjjmmdd")</f>
        <v>19400313</v>
      </c>
      <c r="C806" s="18">
        <v>1</v>
      </c>
      <c r="D806" s="23">
        <f t="shared" ca="1" si="24"/>
        <v>0</v>
      </c>
      <c r="E806" s="24">
        <f t="shared" ca="1" si="25"/>
        <v>0</v>
      </c>
    </row>
    <row r="807" spans="1:5" x14ac:dyDescent="0.25">
      <c r="A807" s="17">
        <f ca="1">INDEX(Stations,INT((ROWS(A$2:A807)-1)/(DATE(YEAR(Invoer!$A$5),12,31)-DATE(YEAR(Invoer!$A$5),1,1)+1))+2,1)</f>
        <v>82</v>
      </c>
      <c r="B807" t="str">
        <f ca="1">TEXT(DATE(YEAR(Invoer!$A$5),1,1)+MOD(ROWS(B$2:B807)-1,DATE(YEAR(Invoer!$A$5),12,31)-DATE(YEAR(Invoer!$A$5),1,1)+1),"jjjjmmdd")</f>
        <v>19400314</v>
      </c>
      <c r="C807" s="18">
        <v>1</v>
      </c>
      <c r="D807" s="23">
        <f t="shared" ca="1" si="24"/>
        <v>0</v>
      </c>
      <c r="E807" s="24">
        <f t="shared" ca="1" si="25"/>
        <v>0</v>
      </c>
    </row>
    <row r="808" spans="1:5" x14ac:dyDescent="0.25">
      <c r="A808" s="17">
        <f ca="1">INDEX(Stations,INT((ROWS(A$2:A808)-1)/(DATE(YEAR(Invoer!$A$5),12,31)-DATE(YEAR(Invoer!$A$5),1,1)+1))+2,1)</f>
        <v>82</v>
      </c>
      <c r="B808" t="str">
        <f ca="1">TEXT(DATE(YEAR(Invoer!$A$5),1,1)+MOD(ROWS(B$2:B808)-1,DATE(YEAR(Invoer!$A$5),12,31)-DATE(YEAR(Invoer!$A$5),1,1)+1),"jjjjmmdd")</f>
        <v>19400315</v>
      </c>
      <c r="C808" s="18">
        <v>1</v>
      </c>
      <c r="D808" s="23">
        <f t="shared" ca="1" si="24"/>
        <v>0</v>
      </c>
      <c r="E808" s="24">
        <f t="shared" ca="1" si="25"/>
        <v>0</v>
      </c>
    </row>
    <row r="809" spans="1:5" x14ac:dyDescent="0.25">
      <c r="A809" s="17">
        <f ca="1">INDEX(Stations,INT((ROWS(A$2:A809)-1)/(DATE(YEAR(Invoer!$A$5),12,31)-DATE(YEAR(Invoer!$A$5),1,1)+1))+2,1)</f>
        <v>82</v>
      </c>
      <c r="B809" t="str">
        <f ca="1">TEXT(DATE(YEAR(Invoer!$A$5),1,1)+MOD(ROWS(B$2:B809)-1,DATE(YEAR(Invoer!$A$5),12,31)-DATE(YEAR(Invoer!$A$5),1,1)+1),"jjjjmmdd")</f>
        <v>19400316</v>
      </c>
      <c r="C809" s="18">
        <v>1</v>
      </c>
      <c r="D809" s="23">
        <f t="shared" ca="1" si="24"/>
        <v>25</v>
      </c>
      <c r="E809" s="24">
        <f t="shared" ca="1" si="25"/>
        <v>0</v>
      </c>
    </row>
    <row r="810" spans="1:5" x14ac:dyDescent="0.25">
      <c r="A810" s="17">
        <f ca="1">INDEX(Stations,INT((ROWS(A$2:A810)-1)/(DATE(YEAR(Invoer!$A$5),12,31)-DATE(YEAR(Invoer!$A$5),1,1)+1))+2,1)</f>
        <v>82</v>
      </c>
      <c r="B810" t="str">
        <f ca="1">TEXT(DATE(YEAR(Invoer!$A$5),1,1)+MOD(ROWS(B$2:B810)-1,DATE(YEAR(Invoer!$A$5),12,31)-DATE(YEAR(Invoer!$A$5),1,1)+1),"jjjjmmdd")</f>
        <v>19400317</v>
      </c>
      <c r="C810" s="18">
        <v>1</v>
      </c>
      <c r="D810" s="23">
        <f t="shared" ca="1" si="24"/>
        <v>0</v>
      </c>
      <c r="E810" s="24">
        <f t="shared" ca="1" si="25"/>
        <v>0</v>
      </c>
    </row>
    <row r="811" spans="1:5" x14ac:dyDescent="0.25">
      <c r="A811" s="17">
        <f ca="1">INDEX(Stations,INT((ROWS(A$2:A811)-1)/(DATE(YEAR(Invoer!$A$5),12,31)-DATE(YEAR(Invoer!$A$5),1,1)+1))+2,1)</f>
        <v>82</v>
      </c>
      <c r="B811" t="str">
        <f ca="1">TEXT(DATE(YEAR(Invoer!$A$5),1,1)+MOD(ROWS(B$2:B811)-1,DATE(YEAR(Invoer!$A$5),12,31)-DATE(YEAR(Invoer!$A$5),1,1)+1),"jjjjmmdd")</f>
        <v>19400318</v>
      </c>
      <c r="C811" s="18">
        <v>1</v>
      </c>
      <c r="D811" s="23">
        <f t="shared" ca="1" si="24"/>
        <v>0</v>
      </c>
      <c r="E811" s="24">
        <f t="shared" ca="1" si="25"/>
        <v>0</v>
      </c>
    </row>
    <row r="812" spans="1:5" x14ac:dyDescent="0.25">
      <c r="A812" s="17">
        <f ca="1">INDEX(Stations,INT((ROWS(A$2:A812)-1)/(DATE(YEAR(Invoer!$A$5),12,31)-DATE(YEAR(Invoer!$A$5),1,1)+1))+2,1)</f>
        <v>82</v>
      </c>
      <c r="B812" t="str">
        <f ca="1">TEXT(DATE(YEAR(Invoer!$A$5),1,1)+MOD(ROWS(B$2:B812)-1,DATE(YEAR(Invoer!$A$5),12,31)-DATE(YEAR(Invoer!$A$5),1,1)+1),"jjjjmmdd")</f>
        <v>19400319</v>
      </c>
      <c r="C812" s="18">
        <v>1</v>
      </c>
      <c r="D812" s="23">
        <f t="shared" ca="1" si="24"/>
        <v>0</v>
      </c>
      <c r="E812" s="24">
        <f t="shared" ca="1" si="25"/>
        <v>0</v>
      </c>
    </row>
    <row r="813" spans="1:5" x14ac:dyDescent="0.25">
      <c r="A813" s="17">
        <f ca="1">INDEX(Stations,INT((ROWS(A$2:A813)-1)/(DATE(YEAR(Invoer!$A$5),12,31)-DATE(YEAR(Invoer!$A$5),1,1)+1))+2,1)</f>
        <v>82</v>
      </c>
      <c r="B813" t="str">
        <f ca="1">TEXT(DATE(YEAR(Invoer!$A$5),1,1)+MOD(ROWS(B$2:B813)-1,DATE(YEAR(Invoer!$A$5),12,31)-DATE(YEAR(Invoer!$A$5),1,1)+1),"jjjjmmdd")</f>
        <v>19400320</v>
      </c>
      <c r="C813" s="18">
        <v>1</v>
      </c>
      <c r="D813" s="23">
        <f t="shared" ca="1" si="24"/>
        <v>0</v>
      </c>
      <c r="E813" s="24">
        <f t="shared" ca="1" si="25"/>
        <v>0</v>
      </c>
    </row>
    <row r="814" spans="1:5" x14ac:dyDescent="0.25">
      <c r="A814" s="17">
        <f ca="1">INDEX(Stations,INT((ROWS(A$2:A814)-1)/(DATE(YEAR(Invoer!$A$5),12,31)-DATE(YEAR(Invoer!$A$5),1,1)+1))+2,1)</f>
        <v>82</v>
      </c>
      <c r="B814" t="str">
        <f ca="1">TEXT(DATE(YEAR(Invoer!$A$5),1,1)+MOD(ROWS(B$2:B814)-1,DATE(YEAR(Invoer!$A$5),12,31)-DATE(YEAR(Invoer!$A$5),1,1)+1),"jjjjmmdd")</f>
        <v>19400321</v>
      </c>
      <c r="C814" s="18">
        <v>1</v>
      </c>
      <c r="D814" s="23">
        <f t="shared" ca="1" si="24"/>
        <v>0</v>
      </c>
      <c r="E814" s="24">
        <f t="shared" ca="1" si="25"/>
        <v>0</v>
      </c>
    </row>
    <row r="815" spans="1:5" x14ac:dyDescent="0.25">
      <c r="A815" s="17">
        <f ca="1">INDEX(Stations,INT((ROWS(A$2:A815)-1)/(DATE(YEAR(Invoer!$A$5),12,31)-DATE(YEAR(Invoer!$A$5),1,1)+1))+2,1)</f>
        <v>82</v>
      </c>
      <c r="B815" t="str">
        <f ca="1">TEXT(DATE(YEAR(Invoer!$A$5),1,1)+MOD(ROWS(B$2:B815)-1,DATE(YEAR(Invoer!$A$5),12,31)-DATE(YEAR(Invoer!$A$5),1,1)+1),"jjjjmmdd")</f>
        <v>19400322</v>
      </c>
      <c r="C815" s="18">
        <v>1</v>
      </c>
      <c r="D815" s="23">
        <f t="shared" ca="1" si="24"/>
        <v>0</v>
      </c>
      <c r="E815" s="24">
        <f t="shared" ca="1" si="25"/>
        <v>0</v>
      </c>
    </row>
    <row r="816" spans="1:5" x14ac:dyDescent="0.25">
      <c r="A816" s="17">
        <f ca="1">INDEX(Stations,INT((ROWS(A$2:A816)-1)/(DATE(YEAR(Invoer!$A$5),12,31)-DATE(YEAR(Invoer!$A$5),1,1)+1))+2,1)</f>
        <v>82</v>
      </c>
      <c r="B816" t="str">
        <f ca="1">TEXT(DATE(YEAR(Invoer!$A$5),1,1)+MOD(ROWS(B$2:B816)-1,DATE(YEAR(Invoer!$A$5),12,31)-DATE(YEAR(Invoer!$A$5),1,1)+1),"jjjjmmdd")</f>
        <v>19400323</v>
      </c>
      <c r="C816" s="18">
        <v>1</v>
      </c>
      <c r="D816" s="23">
        <f t="shared" ca="1" si="24"/>
        <v>0</v>
      </c>
      <c r="E816" s="24">
        <f t="shared" ca="1" si="25"/>
        <v>0</v>
      </c>
    </row>
    <row r="817" spans="1:5" x14ac:dyDescent="0.25">
      <c r="A817" s="17">
        <f ca="1">INDEX(Stations,INT((ROWS(A$2:A817)-1)/(DATE(YEAR(Invoer!$A$5),12,31)-DATE(YEAR(Invoer!$A$5),1,1)+1))+2,1)</f>
        <v>82</v>
      </c>
      <c r="B817" t="str">
        <f ca="1">TEXT(DATE(YEAR(Invoer!$A$5),1,1)+MOD(ROWS(B$2:B817)-1,DATE(YEAR(Invoer!$A$5),12,31)-DATE(YEAR(Invoer!$A$5),1,1)+1),"jjjjmmdd")</f>
        <v>19400324</v>
      </c>
      <c r="C817" s="18">
        <v>1</v>
      </c>
      <c r="D817" s="23">
        <f t="shared" ca="1" si="24"/>
        <v>20</v>
      </c>
      <c r="E817" s="24">
        <f t="shared" ca="1" si="25"/>
        <v>0</v>
      </c>
    </row>
    <row r="818" spans="1:5" x14ac:dyDescent="0.25">
      <c r="A818" s="17">
        <f ca="1">INDEX(Stations,INT((ROWS(A$2:A818)-1)/(DATE(YEAR(Invoer!$A$5),12,31)-DATE(YEAR(Invoer!$A$5),1,1)+1))+2,1)</f>
        <v>82</v>
      </c>
      <c r="B818" t="str">
        <f ca="1">TEXT(DATE(YEAR(Invoer!$A$5),1,1)+MOD(ROWS(B$2:B818)-1,DATE(YEAR(Invoer!$A$5),12,31)-DATE(YEAR(Invoer!$A$5),1,1)+1),"jjjjmmdd")</f>
        <v>19400325</v>
      </c>
      <c r="C818" s="18">
        <v>1</v>
      </c>
      <c r="D818" s="23">
        <f t="shared" ca="1" si="24"/>
        <v>0</v>
      </c>
      <c r="E818" s="24">
        <f t="shared" ca="1" si="25"/>
        <v>0</v>
      </c>
    </row>
    <row r="819" spans="1:5" x14ac:dyDescent="0.25">
      <c r="A819" s="17">
        <f ca="1">INDEX(Stations,INT((ROWS(A$2:A819)-1)/(DATE(YEAR(Invoer!$A$5),12,31)-DATE(YEAR(Invoer!$A$5),1,1)+1))+2,1)</f>
        <v>82</v>
      </c>
      <c r="B819" t="str">
        <f ca="1">TEXT(DATE(YEAR(Invoer!$A$5),1,1)+MOD(ROWS(B$2:B819)-1,DATE(YEAR(Invoer!$A$5),12,31)-DATE(YEAR(Invoer!$A$5),1,1)+1),"jjjjmmdd")</f>
        <v>19400326</v>
      </c>
      <c r="C819" s="18">
        <v>1</v>
      </c>
      <c r="D819" s="23">
        <f t="shared" ca="1" si="24"/>
        <v>20</v>
      </c>
      <c r="E819" s="24">
        <f t="shared" ca="1" si="25"/>
        <v>0</v>
      </c>
    </row>
    <row r="820" spans="1:5" x14ac:dyDescent="0.25">
      <c r="A820" s="17">
        <f ca="1">INDEX(Stations,INT((ROWS(A$2:A820)-1)/(DATE(YEAR(Invoer!$A$5),12,31)-DATE(YEAR(Invoer!$A$5),1,1)+1))+2,1)</f>
        <v>82</v>
      </c>
      <c r="B820" t="str">
        <f ca="1">TEXT(DATE(YEAR(Invoer!$A$5),1,1)+MOD(ROWS(B$2:B820)-1,DATE(YEAR(Invoer!$A$5),12,31)-DATE(YEAR(Invoer!$A$5),1,1)+1),"jjjjmmdd")</f>
        <v>19400327</v>
      </c>
      <c r="C820" s="18">
        <v>1</v>
      </c>
      <c r="D820" s="23">
        <f t="shared" ca="1" si="24"/>
        <v>0</v>
      </c>
      <c r="E820" s="24">
        <f t="shared" ca="1" si="25"/>
        <v>0</v>
      </c>
    </row>
    <row r="821" spans="1:5" x14ac:dyDescent="0.25">
      <c r="A821" s="17">
        <f ca="1">INDEX(Stations,INT((ROWS(A$2:A821)-1)/(DATE(YEAR(Invoer!$A$5),12,31)-DATE(YEAR(Invoer!$A$5),1,1)+1))+2,1)</f>
        <v>82</v>
      </c>
      <c r="B821" t="str">
        <f ca="1">TEXT(DATE(YEAR(Invoer!$A$5),1,1)+MOD(ROWS(B$2:B821)-1,DATE(YEAR(Invoer!$A$5),12,31)-DATE(YEAR(Invoer!$A$5),1,1)+1),"jjjjmmdd")</f>
        <v>19400328</v>
      </c>
      <c r="C821" s="18">
        <v>1</v>
      </c>
      <c r="D821" s="23">
        <f t="shared" ca="1" si="24"/>
        <v>0</v>
      </c>
      <c r="E821" s="24">
        <f t="shared" ca="1" si="25"/>
        <v>0</v>
      </c>
    </row>
    <row r="822" spans="1:5" x14ac:dyDescent="0.25">
      <c r="A822" s="17">
        <f ca="1">INDEX(Stations,INT((ROWS(A$2:A822)-1)/(DATE(YEAR(Invoer!$A$5),12,31)-DATE(YEAR(Invoer!$A$5),1,1)+1))+2,1)</f>
        <v>82</v>
      </c>
      <c r="B822" t="str">
        <f ca="1">TEXT(DATE(YEAR(Invoer!$A$5),1,1)+MOD(ROWS(B$2:B822)-1,DATE(YEAR(Invoer!$A$5),12,31)-DATE(YEAR(Invoer!$A$5),1,1)+1),"jjjjmmdd")</f>
        <v>19400329</v>
      </c>
      <c r="C822" s="18">
        <v>1</v>
      </c>
      <c r="D822" s="23">
        <f t="shared" ca="1" si="24"/>
        <v>0</v>
      </c>
      <c r="E822" s="24">
        <f t="shared" ca="1" si="25"/>
        <v>0</v>
      </c>
    </row>
    <row r="823" spans="1:5" x14ac:dyDescent="0.25">
      <c r="A823" s="17">
        <f ca="1">INDEX(Stations,INT((ROWS(A$2:A823)-1)/(DATE(YEAR(Invoer!$A$5),12,31)-DATE(YEAR(Invoer!$A$5),1,1)+1))+2,1)</f>
        <v>82</v>
      </c>
      <c r="B823" t="str">
        <f ca="1">TEXT(DATE(YEAR(Invoer!$A$5),1,1)+MOD(ROWS(B$2:B823)-1,DATE(YEAR(Invoer!$A$5),12,31)-DATE(YEAR(Invoer!$A$5),1,1)+1),"jjjjmmdd")</f>
        <v>19400330</v>
      </c>
      <c r="C823" s="18">
        <v>1</v>
      </c>
      <c r="D823" s="23">
        <f t="shared" ca="1" si="24"/>
        <v>0</v>
      </c>
      <c r="E823" s="24">
        <f t="shared" ca="1" si="25"/>
        <v>0</v>
      </c>
    </row>
    <row r="824" spans="1:5" x14ac:dyDescent="0.25">
      <c r="A824" s="17">
        <f ca="1">INDEX(Stations,INT((ROWS(A$2:A824)-1)/(DATE(YEAR(Invoer!$A$5),12,31)-DATE(YEAR(Invoer!$A$5),1,1)+1))+2,1)</f>
        <v>82</v>
      </c>
      <c r="B824" t="str">
        <f ca="1">TEXT(DATE(YEAR(Invoer!$A$5),1,1)+MOD(ROWS(B$2:B824)-1,DATE(YEAR(Invoer!$A$5),12,31)-DATE(YEAR(Invoer!$A$5),1,1)+1),"jjjjmmdd")</f>
        <v>19400331</v>
      </c>
      <c r="C824" s="18">
        <v>1</v>
      </c>
      <c r="D824" s="23">
        <f t="shared" ca="1" si="24"/>
        <v>15</v>
      </c>
      <c r="E824" s="24">
        <f t="shared" ca="1" si="25"/>
        <v>0</v>
      </c>
    </row>
    <row r="825" spans="1:5" x14ac:dyDescent="0.25">
      <c r="A825" s="17">
        <f ca="1">INDEX(Stations,INT((ROWS(A$2:A825)-1)/(DATE(YEAR(Invoer!$A$5),12,31)-DATE(YEAR(Invoer!$A$5),1,1)+1))+2,1)</f>
        <v>82</v>
      </c>
      <c r="B825" t="str">
        <f ca="1">TEXT(DATE(YEAR(Invoer!$A$5),1,1)+MOD(ROWS(B$2:B825)-1,DATE(YEAR(Invoer!$A$5),12,31)-DATE(YEAR(Invoer!$A$5),1,1)+1),"jjjjmmdd")</f>
        <v>19400401</v>
      </c>
      <c r="C825" s="18">
        <v>1</v>
      </c>
      <c r="D825" s="23">
        <f t="shared" ca="1" si="24"/>
        <v>0</v>
      </c>
      <c r="E825" s="24">
        <f t="shared" ca="1" si="25"/>
        <v>0</v>
      </c>
    </row>
    <row r="826" spans="1:5" x14ac:dyDescent="0.25">
      <c r="A826" s="17">
        <f ca="1">INDEX(Stations,INT((ROWS(A$2:A826)-1)/(DATE(YEAR(Invoer!$A$5),12,31)-DATE(YEAR(Invoer!$A$5),1,1)+1))+2,1)</f>
        <v>82</v>
      </c>
      <c r="B826" t="str">
        <f ca="1">TEXT(DATE(YEAR(Invoer!$A$5),1,1)+MOD(ROWS(B$2:B826)-1,DATE(YEAR(Invoer!$A$5),12,31)-DATE(YEAR(Invoer!$A$5),1,1)+1),"jjjjmmdd")</f>
        <v>19400402</v>
      </c>
      <c r="C826" s="18">
        <v>1</v>
      </c>
      <c r="D826" s="23">
        <f t="shared" ca="1" si="24"/>
        <v>0</v>
      </c>
      <c r="E826" s="24">
        <f t="shared" ca="1" si="25"/>
        <v>0</v>
      </c>
    </row>
    <row r="827" spans="1:5" x14ac:dyDescent="0.25">
      <c r="A827" s="17">
        <f ca="1">INDEX(Stations,INT((ROWS(A$2:A827)-1)/(DATE(YEAR(Invoer!$A$5),12,31)-DATE(YEAR(Invoer!$A$5),1,1)+1))+2,1)</f>
        <v>82</v>
      </c>
      <c r="B827" t="str">
        <f ca="1">TEXT(DATE(YEAR(Invoer!$A$5),1,1)+MOD(ROWS(B$2:B827)-1,DATE(YEAR(Invoer!$A$5),12,31)-DATE(YEAR(Invoer!$A$5),1,1)+1),"jjjjmmdd")</f>
        <v>19400403</v>
      </c>
      <c r="C827" s="18">
        <v>1</v>
      </c>
      <c r="D827" s="23">
        <f t="shared" ca="1" si="24"/>
        <v>0</v>
      </c>
      <c r="E827" s="24">
        <f t="shared" ca="1" si="25"/>
        <v>0</v>
      </c>
    </row>
    <row r="828" spans="1:5" x14ac:dyDescent="0.25">
      <c r="A828" s="17">
        <f ca="1">INDEX(Stations,INT((ROWS(A$2:A828)-1)/(DATE(YEAR(Invoer!$A$5),12,31)-DATE(YEAR(Invoer!$A$5),1,1)+1))+2,1)</f>
        <v>82</v>
      </c>
      <c r="B828" t="str">
        <f ca="1">TEXT(DATE(YEAR(Invoer!$A$5),1,1)+MOD(ROWS(B$2:B828)-1,DATE(YEAR(Invoer!$A$5),12,31)-DATE(YEAR(Invoer!$A$5),1,1)+1),"jjjjmmdd")</f>
        <v>19400404</v>
      </c>
      <c r="C828" s="18">
        <v>1</v>
      </c>
      <c r="D828" s="23">
        <f t="shared" ca="1" si="24"/>
        <v>0</v>
      </c>
      <c r="E828" s="24">
        <f t="shared" ca="1" si="25"/>
        <v>0</v>
      </c>
    </row>
    <row r="829" spans="1:5" x14ac:dyDescent="0.25">
      <c r="A829" s="17">
        <f ca="1">INDEX(Stations,INT((ROWS(A$2:A829)-1)/(DATE(YEAR(Invoer!$A$5),12,31)-DATE(YEAR(Invoer!$A$5),1,1)+1))+2,1)</f>
        <v>82</v>
      </c>
      <c r="B829" t="str">
        <f ca="1">TEXT(DATE(YEAR(Invoer!$A$5),1,1)+MOD(ROWS(B$2:B829)-1,DATE(YEAR(Invoer!$A$5),12,31)-DATE(YEAR(Invoer!$A$5),1,1)+1),"jjjjmmdd")</f>
        <v>19400405</v>
      </c>
      <c r="C829" s="18">
        <v>1</v>
      </c>
      <c r="D829" s="23">
        <f t="shared" ca="1" si="24"/>
        <v>0</v>
      </c>
      <c r="E829" s="24">
        <f t="shared" ca="1" si="25"/>
        <v>0</v>
      </c>
    </row>
    <row r="830" spans="1:5" x14ac:dyDescent="0.25">
      <c r="A830" s="17">
        <f ca="1">INDEX(Stations,INT((ROWS(A$2:A830)-1)/(DATE(YEAR(Invoer!$A$5),12,31)-DATE(YEAR(Invoer!$A$5),1,1)+1))+2,1)</f>
        <v>82</v>
      </c>
      <c r="B830" t="str">
        <f ca="1">TEXT(DATE(YEAR(Invoer!$A$5),1,1)+MOD(ROWS(B$2:B830)-1,DATE(YEAR(Invoer!$A$5),12,31)-DATE(YEAR(Invoer!$A$5),1,1)+1),"jjjjmmdd")</f>
        <v>19400406</v>
      </c>
      <c r="C830" s="18">
        <v>1</v>
      </c>
      <c r="D830" s="23">
        <f t="shared" ca="1" si="24"/>
        <v>10</v>
      </c>
      <c r="E830" s="24">
        <f t="shared" ca="1" si="25"/>
        <v>0</v>
      </c>
    </row>
    <row r="831" spans="1:5" x14ac:dyDescent="0.25">
      <c r="A831" s="17">
        <f ca="1">INDEX(Stations,INT((ROWS(A$2:A831)-1)/(DATE(YEAR(Invoer!$A$5),12,31)-DATE(YEAR(Invoer!$A$5),1,1)+1))+2,1)</f>
        <v>82</v>
      </c>
      <c r="B831" t="str">
        <f ca="1">TEXT(DATE(YEAR(Invoer!$A$5),1,1)+MOD(ROWS(B$2:B831)-1,DATE(YEAR(Invoer!$A$5),12,31)-DATE(YEAR(Invoer!$A$5),1,1)+1),"jjjjmmdd")</f>
        <v>19400407</v>
      </c>
      <c r="C831" s="18">
        <v>1</v>
      </c>
      <c r="D831" s="23">
        <f t="shared" ca="1" si="24"/>
        <v>0</v>
      </c>
      <c r="E831" s="24">
        <f t="shared" ca="1" si="25"/>
        <v>0</v>
      </c>
    </row>
    <row r="832" spans="1:5" x14ac:dyDescent="0.25">
      <c r="A832" s="17">
        <f ca="1">INDEX(Stations,INT((ROWS(A$2:A832)-1)/(DATE(YEAR(Invoer!$A$5),12,31)-DATE(YEAR(Invoer!$A$5),1,1)+1))+2,1)</f>
        <v>82</v>
      </c>
      <c r="B832" t="str">
        <f ca="1">TEXT(DATE(YEAR(Invoer!$A$5),1,1)+MOD(ROWS(B$2:B832)-1,DATE(YEAR(Invoer!$A$5),12,31)-DATE(YEAR(Invoer!$A$5),1,1)+1),"jjjjmmdd")</f>
        <v>19400408</v>
      </c>
      <c r="C832" s="18">
        <v>1</v>
      </c>
      <c r="D832" s="23">
        <f t="shared" ca="1" si="24"/>
        <v>25</v>
      </c>
      <c r="E832" s="24">
        <f t="shared" ca="1" si="25"/>
        <v>0</v>
      </c>
    </row>
    <row r="833" spans="1:5" x14ac:dyDescent="0.25">
      <c r="A833" s="17">
        <f ca="1">INDEX(Stations,INT((ROWS(A$2:A833)-1)/(DATE(YEAR(Invoer!$A$5),12,31)-DATE(YEAR(Invoer!$A$5),1,1)+1))+2,1)</f>
        <v>82</v>
      </c>
      <c r="B833" t="str">
        <f ca="1">TEXT(DATE(YEAR(Invoer!$A$5),1,1)+MOD(ROWS(B$2:B833)-1,DATE(YEAR(Invoer!$A$5),12,31)-DATE(YEAR(Invoer!$A$5),1,1)+1),"jjjjmmdd")</f>
        <v>19400409</v>
      </c>
      <c r="C833" s="18">
        <v>1</v>
      </c>
      <c r="D833" s="23">
        <f t="shared" ca="1" si="24"/>
        <v>0</v>
      </c>
      <c r="E833" s="24">
        <f t="shared" ca="1" si="25"/>
        <v>0</v>
      </c>
    </row>
    <row r="834" spans="1:5" x14ac:dyDescent="0.25">
      <c r="A834" s="17">
        <f ca="1">INDEX(Stations,INT((ROWS(A$2:A834)-1)/(DATE(YEAR(Invoer!$A$5),12,31)-DATE(YEAR(Invoer!$A$5),1,1)+1))+2,1)</f>
        <v>82</v>
      </c>
      <c r="B834" t="str">
        <f ca="1">TEXT(DATE(YEAR(Invoer!$A$5),1,1)+MOD(ROWS(B$2:B834)-1,DATE(YEAR(Invoer!$A$5),12,31)-DATE(YEAR(Invoer!$A$5),1,1)+1),"jjjjmmdd")</f>
        <v>19400410</v>
      </c>
      <c r="C834" s="18">
        <v>1</v>
      </c>
      <c r="D834" s="23">
        <f t="shared" ref="D834:D897" ca="1" si="26">IF(OR(ISBLANK(VLOOKUP(DATEVALUE(LEFT(B834,4)&amp;"-"&amp;MID(B834,5,2)&amp;"-"&amp;RIGHT(B834,2)),Data,MATCH(VLOOKUP(A834,Stations,2,FALSE()),OFFSET(Data,1,0,1),0),FALSE())),ISTEXT(VLOOKUP(DATEVALUE(LEFT(B834,4)&amp;"-"&amp;MID(B834,5,2)&amp;"-"&amp;RIGHT(B834,2)),Data,MATCH(VLOOKUP(A834,Stations,2,FALSE()),OFFSET(Data,1,0,1),0),FALSE()))),"—",VLOOKUP(DATEVALUE(LEFT(B834,4)&amp;"-"&amp;MID(B834,5,2)&amp;"-"&amp;RIGHT(B834,2)),Data,MATCH(VLOOKUP(A834,Stations,2,FALSE()),OFFSET(Data,1,0,1),0),FALSE()))</f>
        <v>15</v>
      </c>
      <c r="E834" s="24">
        <f t="shared" ref="E834:E897" ca="1" si="27">IF(OR(ISBLANK(VLOOKUP(DATEVALUE(LEFT(B834,4)&amp;"-"&amp;MID(B834,5,2)&amp;"-"&amp;RIGHT(B834,2)),Data,MATCH(VLOOKUP(A834,Stations,2,FALSE()),OFFSET(Data,1,0,1),0),FALSE())),ISTEXT(VLOOKUP(DATEVALUE(LEFT(B834,4)&amp;"-"&amp;MID(B834,5,2)&amp;"-"&amp;RIGHT(B834,2)),Data,MATCH(VLOOKUP(A834,Stations,2,FALSE()),OFFSET(Data,1,0,1),0),FALSE()))),Lacking,IF(ISNA(MATCH(DATEVALUE(LEFT(B834,4)&amp;"-"&amp;MID(B834,5,2)&amp;"-"&amp;RIGHT(B834,2)),OFFSET(Catalogus,0,0,,1),0)),Ok,VLOOKUP(DATEVALUE(LEFT(B834,4)&amp;"-"&amp;MID(B834,5,2)&amp;"-"&amp;RIGHT(B834,2)),Catalogus,MATCH(VLOOKUP(A834,Stations,2,FALSE()),OFFSET(Catalogus,1,0,1),0),FALSE())))</f>
        <v>0</v>
      </c>
    </row>
    <row r="835" spans="1:5" x14ac:dyDescent="0.25">
      <c r="A835" s="17">
        <f ca="1">INDEX(Stations,INT((ROWS(A$2:A835)-1)/(DATE(YEAR(Invoer!$A$5),12,31)-DATE(YEAR(Invoer!$A$5),1,1)+1))+2,1)</f>
        <v>82</v>
      </c>
      <c r="B835" t="str">
        <f ca="1">TEXT(DATE(YEAR(Invoer!$A$5),1,1)+MOD(ROWS(B$2:B835)-1,DATE(YEAR(Invoer!$A$5),12,31)-DATE(YEAR(Invoer!$A$5),1,1)+1),"jjjjmmdd")</f>
        <v>19400411</v>
      </c>
      <c r="C835" s="18">
        <v>1</v>
      </c>
      <c r="D835" s="23">
        <f t="shared" ca="1" si="26"/>
        <v>0</v>
      </c>
      <c r="E835" s="24">
        <f t="shared" ca="1" si="27"/>
        <v>0</v>
      </c>
    </row>
    <row r="836" spans="1:5" x14ac:dyDescent="0.25">
      <c r="A836" s="17">
        <f ca="1">INDEX(Stations,INT((ROWS(A$2:A836)-1)/(DATE(YEAR(Invoer!$A$5),12,31)-DATE(YEAR(Invoer!$A$5),1,1)+1))+2,1)</f>
        <v>82</v>
      </c>
      <c r="B836" t="str">
        <f ca="1">TEXT(DATE(YEAR(Invoer!$A$5),1,1)+MOD(ROWS(B$2:B836)-1,DATE(YEAR(Invoer!$A$5),12,31)-DATE(YEAR(Invoer!$A$5),1,1)+1),"jjjjmmdd")</f>
        <v>19400412</v>
      </c>
      <c r="C836" s="18">
        <v>1</v>
      </c>
      <c r="D836" s="23">
        <f t="shared" ca="1" si="26"/>
        <v>0</v>
      </c>
      <c r="E836" s="24">
        <f t="shared" ca="1" si="27"/>
        <v>0</v>
      </c>
    </row>
    <row r="837" spans="1:5" x14ac:dyDescent="0.25">
      <c r="A837" s="17">
        <f ca="1">INDEX(Stations,INT((ROWS(A$2:A837)-1)/(DATE(YEAR(Invoer!$A$5),12,31)-DATE(YEAR(Invoer!$A$5),1,1)+1))+2,1)</f>
        <v>82</v>
      </c>
      <c r="B837" t="str">
        <f ca="1">TEXT(DATE(YEAR(Invoer!$A$5),1,1)+MOD(ROWS(B$2:B837)-1,DATE(YEAR(Invoer!$A$5),12,31)-DATE(YEAR(Invoer!$A$5),1,1)+1),"jjjjmmdd")</f>
        <v>19400413</v>
      </c>
      <c r="C837" s="18">
        <v>1</v>
      </c>
      <c r="D837" s="23">
        <f t="shared" ca="1" si="26"/>
        <v>0</v>
      </c>
      <c r="E837" s="24">
        <f t="shared" ca="1" si="27"/>
        <v>0</v>
      </c>
    </row>
    <row r="838" spans="1:5" x14ac:dyDescent="0.25">
      <c r="A838" s="17">
        <f ca="1">INDEX(Stations,INT((ROWS(A$2:A838)-1)/(DATE(YEAR(Invoer!$A$5),12,31)-DATE(YEAR(Invoer!$A$5),1,1)+1))+2,1)</f>
        <v>82</v>
      </c>
      <c r="B838" t="str">
        <f ca="1">TEXT(DATE(YEAR(Invoer!$A$5),1,1)+MOD(ROWS(B$2:B838)-1,DATE(YEAR(Invoer!$A$5),12,31)-DATE(YEAR(Invoer!$A$5),1,1)+1),"jjjjmmdd")</f>
        <v>19400414</v>
      </c>
      <c r="C838" s="18">
        <v>1</v>
      </c>
      <c r="D838" s="23">
        <f t="shared" ca="1" si="26"/>
        <v>0</v>
      </c>
      <c r="E838" s="24">
        <f t="shared" ca="1" si="27"/>
        <v>0</v>
      </c>
    </row>
    <row r="839" spans="1:5" x14ac:dyDescent="0.25">
      <c r="A839" s="17">
        <f ca="1">INDEX(Stations,INT((ROWS(A$2:A839)-1)/(DATE(YEAR(Invoer!$A$5),12,31)-DATE(YEAR(Invoer!$A$5),1,1)+1))+2,1)</f>
        <v>82</v>
      </c>
      <c r="B839" t="str">
        <f ca="1">TEXT(DATE(YEAR(Invoer!$A$5),1,1)+MOD(ROWS(B$2:B839)-1,DATE(YEAR(Invoer!$A$5),12,31)-DATE(YEAR(Invoer!$A$5),1,1)+1),"jjjjmmdd")</f>
        <v>19400415</v>
      </c>
      <c r="C839" s="18">
        <v>1</v>
      </c>
      <c r="D839" s="23">
        <f t="shared" ca="1" si="26"/>
        <v>0</v>
      </c>
      <c r="E839" s="24">
        <f t="shared" ca="1" si="27"/>
        <v>0</v>
      </c>
    </row>
    <row r="840" spans="1:5" x14ac:dyDescent="0.25">
      <c r="A840" s="17">
        <f ca="1">INDEX(Stations,INT((ROWS(A$2:A840)-1)/(DATE(YEAR(Invoer!$A$5),12,31)-DATE(YEAR(Invoer!$A$5),1,1)+1))+2,1)</f>
        <v>82</v>
      </c>
      <c r="B840" t="str">
        <f ca="1">TEXT(DATE(YEAR(Invoer!$A$5),1,1)+MOD(ROWS(B$2:B840)-1,DATE(YEAR(Invoer!$A$5),12,31)-DATE(YEAR(Invoer!$A$5),1,1)+1),"jjjjmmdd")</f>
        <v>19400416</v>
      </c>
      <c r="C840" s="18">
        <v>1</v>
      </c>
      <c r="D840" s="23">
        <f t="shared" ca="1" si="26"/>
        <v>0</v>
      </c>
      <c r="E840" s="24">
        <f t="shared" ca="1" si="27"/>
        <v>0</v>
      </c>
    </row>
    <row r="841" spans="1:5" x14ac:dyDescent="0.25">
      <c r="A841" s="17">
        <f ca="1">INDEX(Stations,INT((ROWS(A$2:A841)-1)/(DATE(YEAR(Invoer!$A$5),12,31)-DATE(YEAR(Invoer!$A$5),1,1)+1))+2,1)</f>
        <v>82</v>
      </c>
      <c r="B841" t="str">
        <f ca="1">TEXT(DATE(YEAR(Invoer!$A$5),1,1)+MOD(ROWS(B$2:B841)-1,DATE(YEAR(Invoer!$A$5),12,31)-DATE(YEAR(Invoer!$A$5),1,1)+1),"jjjjmmdd")</f>
        <v>19400417</v>
      </c>
      <c r="C841" s="18">
        <v>1</v>
      </c>
      <c r="D841" s="23">
        <f t="shared" ca="1" si="26"/>
        <v>120</v>
      </c>
      <c r="E841" s="24">
        <f t="shared" ca="1" si="27"/>
        <v>0</v>
      </c>
    </row>
    <row r="842" spans="1:5" x14ac:dyDescent="0.25">
      <c r="A842" s="17">
        <f ca="1">INDEX(Stations,INT((ROWS(A$2:A842)-1)/(DATE(YEAR(Invoer!$A$5),12,31)-DATE(YEAR(Invoer!$A$5),1,1)+1))+2,1)</f>
        <v>82</v>
      </c>
      <c r="B842" t="str">
        <f ca="1">TEXT(DATE(YEAR(Invoer!$A$5),1,1)+MOD(ROWS(B$2:B842)-1,DATE(YEAR(Invoer!$A$5),12,31)-DATE(YEAR(Invoer!$A$5),1,1)+1),"jjjjmmdd")</f>
        <v>19400418</v>
      </c>
      <c r="C842" s="18">
        <v>1</v>
      </c>
      <c r="D842" s="23">
        <f t="shared" ca="1" si="26"/>
        <v>75</v>
      </c>
      <c r="E842" s="24">
        <f t="shared" ca="1" si="27"/>
        <v>0</v>
      </c>
    </row>
    <row r="843" spans="1:5" x14ac:dyDescent="0.25">
      <c r="A843" s="17">
        <f ca="1">INDEX(Stations,INT((ROWS(A$2:A843)-1)/(DATE(YEAR(Invoer!$A$5),12,31)-DATE(YEAR(Invoer!$A$5),1,1)+1))+2,1)</f>
        <v>82</v>
      </c>
      <c r="B843" t="str">
        <f ca="1">TEXT(DATE(YEAR(Invoer!$A$5),1,1)+MOD(ROWS(B$2:B843)-1,DATE(YEAR(Invoer!$A$5),12,31)-DATE(YEAR(Invoer!$A$5),1,1)+1),"jjjjmmdd")</f>
        <v>19400419</v>
      </c>
      <c r="C843" s="18">
        <v>1</v>
      </c>
      <c r="D843" s="23">
        <f t="shared" ca="1" si="26"/>
        <v>0</v>
      </c>
      <c r="E843" s="24">
        <f t="shared" ca="1" si="27"/>
        <v>0</v>
      </c>
    </row>
    <row r="844" spans="1:5" x14ac:dyDescent="0.25">
      <c r="A844" s="17">
        <f ca="1">INDEX(Stations,INT((ROWS(A$2:A844)-1)/(DATE(YEAR(Invoer!$A$5),12,31)-DATE(YEAR(Invoer!$A$5),1,1)+1))+2,1)</f>
        <v>82</v>
      </c>
      <c r="B844" t="str">
        <f ca="1">TEXT(DATE(YEAR(Invoer!$A$5),1,1)+MOD(ROWS(B$2:B844)-1,DATE(YEAR(Invoer!$A$5),12,31)-DATE(YEAR(Invoer!$A$5),1,1)+1),"jjjjmmdd")</f>
        <v>19400420</v>
      </c>
      <c r="C844" s="18">
        <v>1</v>
      </c>
      <c r="D844" s="23">
        <f t="shared" ca="1" si="26"/>
        <v>35</v>
      </c>
      <c r="E844" s="24">
        <f t="shared" ca="1" si="27"/>
        <v>0</v>
      </c>
    </row>
    <row r="845" spans="1:5" x14ac:dyDescent="0.25">
      <c r="A845" s="17">
        <f ca="1">INDEX(Stations,INT((ROWS(A$2:A845)-1)/(DATE(YEAR(Invoer!$A$5),12,31)-DATE(YEAR(Invoer!$A$5),1,1)+1))+2,1)</f>
        <v>82</v>
      </c>
      <c r="B845" t="str">
        <f ca="1">TEXT(DATE(YEAR(Invoer!$A$5),1,1)+MOD(ROWS(B$2:B845)-1,DATE(YEAR(Invoer!$A$5),12,31)-DATE(YEAR(Invoer!$A$5),1,1)+1),"jjjjmmdd")</f>
        <v>19400421</v>
      </c>
      <c r="C845" s="18">
        <v>1</v>
      </c>
      <c r="D845" s="23">
        <f t="shared" ca="1" si="26"/>
        <v>20</v>
      </c>
      <c r="E845" s="24">
        <f t="shared" ca="1" si="27"/>
        <v>0</v>
      </c>
    </row>
    <row r="846" spans="1:5" x14ac:dyDescent="0.25">
      <c r="A846" s="17">
        <f ca="1">INDEX(Stations,INT((ROWS(A$2:A846)-1)/(DATE(YEAR(Invoer!$A$5),12,31)-DATE(YEAR(Invoer!$A$5),1,1)+1))+2,1)</f>
        <v>82</v>
      </c>
      <c r="B846" t="str">
        <f ca="1">TEXT(DATE(YEAR(Invoer!$A$5),1,1)+MOD(ROWS(B$2:B846)-1,DATE(YEAR(Invoer!$A$5),12,31)-DATE(YEAR(Invoer!$A$5),1,1)+1),"jjjjmmdd")</f>
        <v>19400422</v>
      </c>
      <c r="C846" s="18">
        <v>1</v>
      </c>
      <c r="D846" s="23">
        <f t="shared" ca="1" si="26"/>
        <v>0</v>
      </c>
      <c r="E846" s="24">
        <f t="shared" ca="1" si="27"/>
        <v>0</v>
      </c>
    </row>
    <row r="847" spans="1:5" x14ac:dyDescent="0.25">
      <c r="A847" s="17">
        <f ca="1">INDEX(Stations,INT((ROWS(A$2:A847)-1)/(DATE(YEAR(Invoer!$A$5),12,31)-DATE(YEAR(Invoer!$A$5),1,1)+1))+2,1)</f>
        <v>82</v>
      </c>
      <c r="B847" t="str">
        <f ca="1">TEXT(DATE(YEAR(Invoer!$A$5),1,1)+MOD(ROWS(B$2:B847)-1,DATE(YEAR(Invoer!$A$5),12,31)-DATE(YEAR(Invoer!$A$5),1,1)+1),"jjjjmmdd")</f>
        <v>19400423</v>
      </c>
      <c r="C847" s="18">
        <v>1</v>
      </c>
      <c r="D847" s="23">
        <f t="shared" ca="1" si="26"/>
        <v>0</v>
      </c>
      <c r="E847" s="24">
        <f t="shared" ca="1" si="27"/>
        <v>0</v>
      </c>
    </row>
    <row r="848" spans="1:5" x14ac:dyDescent="0.25">
      <c r="A848" s="17">
        <f ca="1">INDEX(Stations,INT((ROWS(A$2:A848)-1)/(DATE(YEAR(Invoer!$A$5),12,31)-DATE(YEAR(Invoer!$A$5),1,1)+1))+2,1)</f>
        <v>82</v>
      </c>
      <c r="B848" t="str">
        <f ca="1">TEXT(DATE(YEAR(Invoer!$A$5),1,1)+MOD(ROWS(B$2:B848)-1,DATE(YEAR(Invoer!$A$5),12,31)-DATE(YEAR(Invoer!$A$5),1,1)+1),"jjjjmmdd")</f>
        <v>19400424</v>
      </c>
      <c r="C848" s="18">
        <v>1</v>
      </c>
      <c r="D848" s="23">
        <f t="shared" ca="1" si="26"/>
        <v>0</v>
      </c>
      <c r="E848" s="24">
        <f t="shared" ca="1" si="27"/>
        <v>0</v>
      </c>
    </row>
    <row r="849" spans="1:5" x14ac:dyDescent="0.25">
      <c r="A849" s="17">
        <f ca="1">INDEX(Stations,INT((ROWS(A$2:A849)-1)/(DATE(YEAR(Invoer!$A$5),12,31)-DATE(YEAR(Invoer!$A$5),1,1)+1))+2,1)</f>
        <v>82</v>
      </c>
      <c r="B849" t="str">
        <f ca="1">TEXT(DATE(YEAR(Invoer!$A$5),1,1)+MOD(ROWS(B$2:B849)-1,DATE(YEAR(Invoer!$A$5),12,31)-DATE(YEAR(Invoer!$A$5),1,1)+1),"jjjjmmdd")</f>
        <v>19400425</v>
      </c>
      <c r="C849" s="18">
        <v>1</v>
      </c>
      <c r="D849" s="23">
        <f t="shared" ca="1" si="26"/>
        <v>0</v>
      </c>
      <c r="E849" s="24">
        <f t="shared" ca="1" si="27"/>
        <v>0</v>
      </c>
    </row>
    <row r="850" spans="1:5" x14ac:dyDescent="0.25">
      <c r="A850" s="17">
        <f ca="1">INDEX(Stations,INT((ROWS(A$2:A850)-1)/(DATE(YEAR(Invoer!$A$5),12,31)-DATE(YEAR(Invoer!$A$5),1,1)+1))+2,1)</f>
        <v>82</v>
      </c>
      <c r="B850" t="str">
        <f ca="1">TEXT(DATE(YEAR(Invoer!$A$5),1,1)+MOD(ROWS(B$2:B850)-1,DATE(YEAR(Invoer!$A$5),12,31)-DATE(YEAR(Invoer!$A$5),1,1)+1),"jjjjmmdd")</f>
        <v>19400426</v>
      </c>
      <c r="C850" s="18">
        <v>1</v>
      </c>
      <c r="D850" s="23">
        <f t="shared" ca="1" si="26"/>
        <v>0</v>
      </c>
      <c r="E850" s="24">
        <f t="shared" ca="1" si="27"/>
        <v>0</v>
      </c>
    </row>
    <row r="851" spans="1:5" x14ac:dyDescent="0.25">
      <c r="A851" s="17">
        <f ca="1">INDEX(Stations,INT((ROWS(A$2:A851)-1)/(DATE(YEAR(Invoer!$A$5),12,31)-DATE(YEAR(Invoer!$A$5),1,1)+1))+2,1)</f>
        <v>82</v>
      </c>
      <c r="B851" t="str">
        <f ca="1">TEXT(DATE(YEAR(Invoer!$A$5),1,1)+MOD(ROWS(B$2:B851)-1,DATE(YEAR(Invoer!$A$5),12,31)-DATE(YEAR(Invoer!$A$5),1,1)+1),"jjjjmmdd")</f>
        <v>19400427</v>
      </c>
      <c r="C851" s="18">
        <v>1</v>
      </c>
      <c r="D851" s="23">
        <f t="shared" ca="1" si="26"/>
        <v>0</v>
      </c>
      <c r="E851" s="24">
        <f t="shared" ca="1" si="27"/>
        <v>0</v>
      </c>
    </row>
    <row r="852" spans="1:5" x14ac:dyDescent="0.25">
      <c r="A852" s="17">
        <f ca="1">INDEX(Stations,INT((ROWS(A$2:A852)-1)/(DATE(YEAR(Invoer!$A$5),12,31)-DATE(YEAR(Invoer!$A$5),1,1)+1))+2,1)</f>
        <v>82</v>
      </c>
      <c r="B852" t="str">
        <f ca="1">TEXT(DATE(YEAR(Invoer!$A$5),1,1)+MOD(ROWS(B$2:B852)-1,DATE(YEAR(Invoer!$A$5),12,31)-DATE(YEAR(Invoer!$A$5),1,1)+1),"jjjjmmdd")</f>
        <v>19400428</v>
      </c>
      <c r="C852" s="18">
        <v>1</v>
      </c>
      <c r="D852" s="23">
        <f t="shared" ca="1" si="26"/>
        <v>0</v>
      </c>
      <c r="E852" s="24">
        <f t="shared" ca="1" si="27"/>
        <v>0</v>
      </c>
    </row>
    <row r="853" spans="1:5" x14ac:dyDescent="0.25">
      <c r="A853" s="17">
        <f ca="1">INDEX(Stations,INT((ROWS(A$2:A853)-1)/(DATE(YEAR(Invoer!$A$5),12,31)-DATE(YEAR(Invoer!$A$5),1,1)+1))+2,1)</f>
        <v>82</v>
      </c>
      <c r="B853" t="str">
        <f ca="1">TEXT(DATE(YEAR(Invoer!$A$5),1,1)+MOD(ROWS(B$2:B853)-1,DATE(YEAR(Invoer!$A$5),12,31)-DATE(YEAR(Invoer!$A$5),1,1)+1),"jjjjmmdd")</f>
        <v>19400429</v>
      </c>
      <c r="C853" s="18">
        <v>1</v>
      </c>
      <c r="D853" s="23">
        <f t="shared" ca="1" si="26"/>
        <v>0</v>
      </c>
      <c r="E853" s="24">
        <f t="shared" ca="1" si="27"/>
        <v>0</v>
      </c>
    </row>
    <row r="854" spans="1:5" x14ac:dyDescent="0.25">
      <c r="A854" s="17">
        <f ca="1">INDEX(Stations,INT((ROWS(A$2:A854)-1)/(DATE(YEAR(Invoer!$A$5),12,31)-DATE(YEAR(Invoer!$A$5),1,1)+1))+2,1)</f>
        <v>82</v>
      </c>
      <c r="B854" t="str">
        <f ca="1">TEXT(DATE(YEAR(Invoer!$A$5),1,1)+MOD(ROWS(B$2:B854)-1,DATE(YEAR(Invoer!$A$5),12,31)-DATE(YEAR(Invoer!$A$5),1,1)+1),"jjjjmmdd")</f>
        <v>19400430</v>
      </c>
      <c r="C854" s="18">
        <v>1</v>
      </c>
      <c r="D854" s="23">
        <f t="shared" ca="1" si="26"/>
        <v>130</v>
      </c>
      <c r="E854" s="24">
        <f t="shared" ca="1" si="27"/>
        <v>0</v>
      </c>
    </row>
    <row r="855" spans="1:5" x14ac:dyDescent="0.25">
      <c r="A855" s="17">
        <f ca="1">INDEX(Stations,INT((ROWS(A$2:A855)-1)/(DATE(YEAR(Invoer!$A$5),12,31)-DATE(YEAR(Invoer!$A$5),1,1)+1))+2,1)</f>
        <v>82</v>
      </c>
      <c r="B855" t="str">
        <f ca="1">TEXT(DATE(YEAR(Invoer!$A$5),1,1)+MOD(ROWS(B$2:B855)-1,DATE(YEAR(Invoer!$A$5),12,31)-DATE(YEAR(Invoer!$A$5),1,1)+1),"jjjjmmdd")</f>
        <v>19400501</v>
      </c>
      <c r="C855" s="18">
        <v>1</v>
      </c>
      <c r="D855" s="23">
        <f t="shared" ca="1" si="26"/>
        <v>70</v>
      </c>
      <c r="E855" s="24">
        <f t="shared" ca="1" si="27"/>
        <v>0</v>
      </c>
    </row>
    <row r="856" spans="1:5" x14ac:dyDescent="0.25">
      <c r="A856" s="17">
        <f ca="1">INDEX(Stations,INT((ROWS(A$2:A856)-1)/(DATE(YEAR(Invoer!$A$5),12,31)-DATE(YEAR(Invoer!$A$5),1,1)+1))+2,1)</f>
        <v>82</v>
      </c>
      <c r="B856" t="str">
        <f ca="1">TEXT(DATE(YEAR(Invoer!$A$5),1,1)+MOD(ROWS(B$2:B856)-1,DATE(YEAR(Invoer!$A$5),12,31)-DATE(YEAR(Invoer!$A$5),1,1)+1),"jjjjmmdd")</f>
        <v>19400502</v>
      </c>
      <c r="C856" s="18">
        <v>1</v>
      </c>
      <c r="D856" s="23">
        <f t="shared" ca="1" si="26"/>
        <v>20</v>
      </c>
      <c r="E856" s="24">
        <f t="shared" ca="1" si="27"/>
        <v>0</v>
      </c>
    </row>
    <row r="857" spans="1:5" x14ac:dyDescent="0.25">
      <c r="A857" s="17">
        <f ca="1">INDEX(Stations,INT((ROWS(A$2:A857)-1)/(DATE(YEAR(Invoer!$A$5),12,31)-DATE(YEAR(Invoer!$A$5),1,1)+1))+2,1)</f>
        <v>82</v>
      </c>
      <c r="B857" t="str">
        <f ca="1">TEXT(DATE(YEAR(Invoer!$A$5),1,1)+MOD(ROWS(B$2:B857)-1,DATE(YEAR(Invoer!$A$5),12,31)-DATE(YEAR(Invoer!$A$5),1,1)+1),"jjjjmmdd")</f>
        <v>19400503</v>
      </c>
      <c r="C857" s="18">
        <v>1</v>
      </c>
      <c r="D857" s="23">
        <f t="shared" ca="1" si="26"/>
        <v>0</v>
      </c>
      <c r="E857" s="24">
        <f t="shared" ca="1" si="27"/>
        <v>0</v>
      </c>
    </row>
    <row r="858" spans="1:5" x14ac:dyDescent="0.25">
      <c r="A858" s="17">
        <f ca="1">INDEX(Stations,INT((ROWS(A$2:A858)-1)/(DATE(YEAR(Invoer!$A$5),12,31)-DATE(YEAR(Invoer!$A$5),1,1)+1))+2,1)</f>
        <v>82</v>
      </c>
      <c r="B858" t="str">
        <f ca="1">TEXT(DATE(YEAR(Invoer!$A$5),1,1)+MOD(ROWS(B$2:B858)-1,DATE(YEAR(Invoer!$A$5),12,31)-DATE(YEAR(Invoer!$A$5),1,1)+1),"jjjjmmdd")</f>
        <v>19400504</v>
      </c>
      <c r="C858" s="18">
        <v>1</v>
      </c>
      <c r="D858" s="23">
        <f t="shared" ca="1" si="26"/>
        <v>0</v>
      </c>
      <c r="E858" s="24">
        <f t="shared" ca="1" si="27"/>
        <v>0</v>
      </c>
    </row>
    <row r="859" spans="1:5" x14ac:dyDescent="0.25">
      <c r="A859" s="17">
        <f ca="1">INDEX(Stations,INT((ROWS(A$2:A859)-1)/(DATE(YEAR(Invoer!$A$5),12,31)-DATE(YEAR(Invoer!$A$5),1,1)+1))+2,1)</f>
        <v>82</v>
      </c>
      <c r="B859" t="str">
        <f ca="1">TEXT(DATE(YEAR(Invoer!$A$5),1,1)+MOD(ROWS(B$2:B859)-1,DATE(YEAR(Invoer!$A$5),12,31)-DATE(YEAR(Invoer!$A$5),1,1)+1),"jjjjmmdd")</f>
        <v>19400505</v>
      </c>
      <c r="C859" s="18">
        <v>1</v>
      </c>
      <c r="D859" s="23">
        <f t="shared" ca="1" si="26"/>
        <v>0</v>
      </c>
      <c r="E859" s="24">
        <f t="shared" ca="1" si="27"/>
        <v>0</v>
      </c>
    </row>
    <row r="860" spans="1:5" x14ac:dyDescent="0.25">
      <c r="A860" s="17">
        <f ca="1">INDEX(Stations,INT((ROWS(A$2:A860)-1)/(DATE(YEAR(Invoer!$A$5),12,31)-DATE(YEAR(Invoer!$A$5),1,1)+1))+2,1)</f>
        <v>82</v>
      </c>
      <c r="B860" t="str">
        <f ca="1">TEXT(DATE(YEAR(Invoer!$A$5),1,1)+MOD(ROWS(B$2:B860)-1,DATE(YEAR(Invoer!$A$5),12,31)-DATE(YEAR(Invoer!$A$5),1,1)+1),"jjjjmmdd")</f>
        <v>19400506</v>
      </c>
      <c r="C860" s="18">
        <v>1</v>
      </c>
      <c r="D860" s="23">
        <f t="shared" ca="1" si="26"/>
        <v>0</v>
      </c>
      <c r="E860" s="24">
        <f t="shared" ca="1" si="27"/>
        <v>0</v>
      </c>
    </row>
    <row r="861" spans="1:5" x14ac:dyDescent="0.25">
      <c r="A861" s="17">
        <f ca="1">INDEX(Stations,INT((ROWS(A$2:A861)-1)/(DATE(YEAR(Invoer!$A$5),12,31)-DATE(YEAR(Invoer!$A$5),1,1)+1))+2,1)</f>
        <v>82</v>
      </c>
      <c r="B861" t="str">
        <f ca="1">TEXT(DATE(YEAR(Invoer!$A$5),1,1)+MOD(ROWS(B$2:B861)-1,DATE(YEAR(Invoer!$A$5),12,31)-DATE(YEAR(Invoer!$A$5),1,1)+1),"jjjjmmdd")</f>
        <v>19400507</v>
      </c>
      <c r="C861" s="18">
        <v>1</v>
      </c>
      <c r="D861" s="23">
        <f t="shared" ca="1" si="26"/>
        <v>0</v>
      </c>
      <c r="E861" s="24">
        <f t="shared" ca="1" si="27"/>
        <v>0</v>
      </c>
    </row>
    <row r="862" spans="1:5" x14ac:dyDescent="0.25">
      <c r="A862" s="17">
        <f ca="1">INDEX(Stations,INT((ROWS(A$2:A862)-1)/(DATE(YEAR(Invoer!$A$5),12,31)-DATE(YEAR(Invoer!$A$5),1,1)+1))+2,1)</f>
        <v>82</v>
      </c>
      <c r="B862" t="str">
        <f ca="1">TEXT(DATE(YEAR(Invoer!$A$5),1,1)+MOD(ROWS(B$2:B862)-1,DATE(YEAR(Invoer!$A$5),12,31)-DATE(YEAR(Invoer!$A$5),1,1)+1),"jjjjmmdd")</f>
        <v>19400508</v>
      </c>
      <c r="C862" s="18">
        <v>1</v>
      </c>
      <c r="D862" s="23">
        <f t="shared" ca="1" si="26"/>
        <v>180</v>
      </c>
      <c r="E862" s="24">
        <f t="shared" ca="1" si="27"/>
        <v>0</v>
      </c>
    </row>
    <row r="863" spans="1:5" x14ac:dyDescent="0.25">
      <c r="A863" s="17">
        <f ca="1">INDEX(Stations,INT((ROWS(A$2:A863)-1)/(DATE(YEAR(Invoer!$A$5),12,31)-DATE(YEAR(Invoer!$A$5),1,1)+1))+2,1)</f>
        <v>82</v>
      </c>
      <c r="B863" t="str">
        <f ca="1">TEXT(DATE(YEAR(Invoer!$A$5),1,1)+MOD(ROWS(B$2:B863)-1,DATE(YEAR(Invoer!$A$5),12,31)-DATE(YEAR(Invoer!$A$5),1,1)+1),"jjjjmmdd")</f>
        <v>19400509</v>
      </c>
      <c r="C863" s="18">
        <v>1</v>
      </c>
      <c r="D863" s="23">
        <f t="shared" ca="1" si="26"/>
        <v>40</v>
      </c>
      <c r="E863" s="24">
        <f t="shared" ca="1" si="27"/>
        <v>0</v>
      </c>
    </row>
    <row r="864" spans="1:5" x14ac:dyDescent="0.25">
      <c r="A864" s="17">
        <f ca="1">INDEX(Stations,INT((ROWS(A$2:A864)-1)/(DATE(YEAR(Invoer!$A$5),12,31)-DATE(YEAR(Invoer!$A$5),1,1)+1))+2,1)</f>
        <v>82</v>
      </c>
      <c r="B864" t="str">
        <f ca="1">TEXT(DATE(YEAR(Invoer!$A$5),1,1)+MOD(ROWS(B$2:B864)-1,DATE(YEAR(Invoer!$A$5),12,31)-DATE(YEAR(Invoer!$A$5),1,1)+1),"jjjjmmdd")</f>
        <v>19400510</v>
      </c>
      <c r="C864" s="18">
        <v>1</v>
      </c>
      <c r="D864" s="23">
        <f t="shared" ca="1" si="26"/>
        <v>15</v>
      </c>
      <c r="E864" s="24">
        <f t="shared" ca="1" si="27"/>
        <v>0</v>
      </c>
    </row>
    <row r="865" spans="1:5" x14ac:dyDescent="0.25">
      <c r="A865" s="17">
        <f ca="1">INDEX(Stations,INT((ROWS(A$2:A865)-1)/(DATE(YEAR(Invoer!$A$5),12,31)-DATE(YEAR(Invoer!$A$5),1,1)+1))+2,1)</f>
        <v>82</v>
      </c>
      <c r="B865" t="str">
        <f ca="1">TEXT(DATE(YEAR(Invoer!$A$5),1,1)+MOD(ROWS(B$2:B865)-1,DATE(YEAR(Invoer!$A$5),12,31)-DATE(YEAR(Invoer!$A$5),1,1)+1),"jjjjmmdd")</f>
        <v>19400511</v>
      </c>
      <c r="C865" s="18">
        <v>1</v>
      </c>
      <c r="D865" s="23">
        <f t="shared" ca="1" si="26"/>
        <v>0</v>
      </c>
      <c r="E865" s="24">
        <f t="shared" ca="1" si="27"/>
        <v>0</v>
      </c>
    </row>
    <row r="866" spans="1:5" x14ac:dyDescent="0.25">
      <c r="A866" s="17">
        <f ca="1">INDEX(Stations,INT((ROWS(A$2:A866)-1)/(DATE(YEAR(Invoer!$A$5),12,31)-DATE(YEAR(Invoer!$A$5),1,1)+1))+2,1)</f>
        <v>82</v>
      </c>
      <c r="B866" t="str">
        <f ca="1">TEXT(DATE(YEAR(Invoer!$A$5),1,1)+MOD(ROWS(B$2:B866)-1,DATE(YEAR(Invoer!$A$5),12,31)-DATE(YEAR(Invoer!$A$5),1,1)+1),"jjjjmmdd")</f>
        <v>19400512</v>
      </c>
      <c r="C866" s="18">
        <v>1</v>
      </c>
      <c r="D866" s="23">
        <f t="shared" ca="1" si="26"/>
        <v>0</v>
      </c>
      <c r="E866" s="24">
        <f t="shared" ca="1" si="27"/>
        <v>0</v>
      </c>
    </row>
    <row r="867" spans="1:5" x14ac:dyDescent="0.25">
      <c r="A867" s="17">
        <f ca="1">INDEX(Stations,INT((ROWS(A$2:A867)-1)/(DATE(YEAR(Invoer!$A$5),12,31)-DATE(YEAR(Invoer!$A$5),1,1)+1))+2,1)</f>
        <v>82</v>
      </c>
      <c r="B867" t="str">
        <f ca="1">TEXT(DATE(YEAR(Invoer!$A$5),1,1)+MOD(ROWS(B$2:B867)-1,DATE(YEAR(Invoer!$A$5),12,31)-DATE(YEAR(Invoer!$A$5),1,1)+1),"jjjjmmdd")</f>
        <v>19400513</v>
      </c>
      <c r="C867" s="18">
        <v>1</v>
      </c>
      <c r="D867" s="23">
        <f t="shared" ca="1" si="26"/>
        <v>0</v>
      </c>
      <c r="E867" s="24">
        <f t="shared" ca="1" si="27"/>
        <v>0</v>
      </c>
    </row>
    <row r="868" spans="1:5" x14ac:dyDescent="0.25">
      <c r="A868" s="17">
        <f ca="1">INDEX(Stations,INT((ROWS(A$2:A868)-1)/(DATE(YEAR(Invoer!$A$5),12,31)-DATE(YEAR(Invoer!$A$5),1,1)+1))+2,1)</f>
        <v>82</v>
      </c>
      <c r="B868" t="str">
        <f ca="1">TEXT(DATE(YEAR(Invoer!$A$5),1,1)+MOD(ROWS(B$2:B868)-1,DATE(YEAR(Invoer!$A$5),12,31)-DATE(YEAR(Invoer!$A$5),1,1)+1),"jjjjmmdd")</f>
        <v>19400514</v>
      </c>
      <c r="C868" s="18">
        <v>1</v>
      </c>
      <c r="D868" s="23">
        <f t="shared" ca="1" si="26"/>
        <v>0</v>
      </c>
      <c r="E868" s="24">
        <f t="shared" ca="1" si="27"/>
        <v>0</v>
      </c>
    </row>
    <row r="869" spans="1:5" x14ac:dyDescent="0.25">
      <c r="A869" s="17">
        <f ca="1">INDEX(Stations,INT((ROWS(A$2:A869)-1)/(DATE(YEAR(Invoer!$A$5),12,31)-DATE(YEAR(Invoer!$A$5),1,1)+1))+2,1)</f>
        <v>82</v>
      </c>
      <c r="B869" t="str">
        <f ca="1">TEXT(DATE(YEAR(Invoer!$A$5),1,1)+MOD(ROWS(B$2:B869)-1,DATE(YEAR(Invoer!$A$5),12,31)-DATE(YEAR(Invoer!$A$5),1,1)+1),"jjjjmmdd")</f>
        <v>19400515</v>
      </c>
      <c r="C869" s="18">
        <v>1</v>
      </c>
      <c r="D869" s="23">
        <f t="shared" ca="1" si="26"/>
        <v>35</v>
      </c>
      <c r="E869" s="24">
        <f t="shared" ca="1" si="27"/>
        <v>0</v>
      </c>
    </row>
    <row r="870" spans="1:5" x14ac:dyDescent="0.25">
      <c r="A870" s="17">
        <f ca="1">INDEX(Stations,INT((ROWS(A$2:A870)-1)/(DATE(YEAR(Invoer!$A$5),12,31)-DATE(YEAR(Invoer!$A$5),1,1)+1))+2,1)</f>
        <v>82</v>
      </c>
      <c r="B870" t="str">
        <f ca="1">TEXT(DATE(YEAR(Invoer!$A$5),1,1)+MOD(ROWS(B$2:B870)-1,DATE(YEAR(Invoer!$A$5),12,31)-DATE(YEAR(Invoer!$A$5),1,1)+1),"jjjjmmdd")</f>
        <v>19400516</v>
      </c>
      <c r="C870" s="18">
        <v>1</v>
      </c>
      <c r="D870" s="23">
        <f t="shared" ca="1" si="26"/>
        <v>70</v>
      </c>
      <c r="E870" s="24">
        <f t="shared" ca="1" si="27"/>
        <v>0</v>
      </c>
    </row>
    <row r="871" spans="1:5" x14ac:dyDescent="0.25">
      <c r="A871" s="17">
        <f ca="1">INDEX(Stations,INT((ROWS(A$2:A871)-1)/(DATE(YEAR(Invoer!$A$5),12,31)-DATE(YEAR(Invoer!$A$5),1,1)+1))+2,1)</f>
        <v>82</v>
      </c>
      <c r="B871" t="str">
        <f ca="1">TEXT(DATE(YEAR(Invoer!$A$5),1,1)+MOD(ROWS(B$2:B871)-1,DATE(YEAR(Invoer!$A$5),12,31)-DATE(YEAR(Invoer!$A$5),1,1)+1),"jjjjmmdd")</f>
        <v>19400517</v>
      </c>
      <c r="C871" s="18">
        <v>1</v>
      </c>
      <c r="D871" s="23">
        <f t="shared" ca="1" si="26"/>
        <v>30</v>
      </c>
      <c r="E871" s="24">
        <f t="shared" ca="1" si="27"/>
        <v>0</v>
      </c>
    </row>
    <row r="872" spans="1:5" x14ac:dyDescent="0.25">
      <c r="A872" s="17">
        <f ca="1">INDEX(Stations,INT((ROWS(A$2:A872)-1)/(DATE(YEAR(Invoer!$A$5),12,31)-DATE(YEAR(Invoer!$A$5),1,1)+1))+2,1)</f>
        <v>82</v>
      </c>
      <c r="B872" t="str">
        <f ca="1">TEXT(DATE(YEAR(Invoer!$A$5),1,1)+MOD(ROWS(B$2:B872)-1,DATE(YEAR(Invoer!$A$5),12,31)-DATE(YEAR(Invoer!$A$5),1,1)+1),"jjjjmmdd")</f>
        <v>19400518</v>
      </c>
      <c r="C872" s="18">
        <v>1</v>
      </c>
      <c r="D872" s="23">
        <f t="shared" ca="1" si="26"/>
        <v>0</v>
      </c>
      <c r="E872" s="24">
        <f t="shared" ca="1" si="27"/>
        <v>0</v>
      </c>
    </row>
    <row r="873" spans="1:5" x14ac:dyDescent="0.25">
      <c r="A873" s="17">
        <f ca="1">INDEX(Stations,INT((ROWS(A$2:A873)-1)/(DATE(YEAR(Invoer!$A$5),12,31)-DATE(YEAR(Invoer!$A$5),1,1)+1))+2,1)</f>
        <v>82</v>
      </c>
      <c r="B873" t="str">
        <f ca="1">TEXT(DATE(YEAR(Invoer!$A$5),1,1)+MOD(ROWS(B$2:B873)-1,DATE(YEAR(Invoer!$A$5),12,31)-DATE(YEAR(Invoer!$A$5),1,1)+1),"jjjjmmdd")</f>
        <v>19400519</v>
      </c>
      <c r="C873" s="18">
        <v>1</v>
      </c>
      <c r="D873" s="23">
        <f t="shared" ca="1" si="26"/>
        <v>0</v>
      </c>
      <c r="E873" s="24">
        <f t="shared" ca="1" si="27"/>
        <v>0</v>
      </c>
    </row>
    <row r="874" spans="1:5" x14ac:dyDescent="0.25">
      <c r="A874" s="17">
        <f ca="1">INDEX(Stations,INT((ROWS(A$2:A874)-1)/(DATE(YEAR(Invoer!$A$5),12,31)-DATE(YEAR(Invoer!$A$5),1,1)+1))+2,1)</f>
        <v>82</v>
      </c>
      <c r="B874" t="str">
        <f ca="1">TEXT(DATE(YEAR(Invoer!$A$5),1,1)+MOD(ROWS(B$2:B874)-1,DATE(YEAR(Invoer!$A$5),12,31)-DATE(YEAR(Invoer!$A$5),1,1)+1),"jjjjmmdd")</f>
        <v>19400520</v>
      </c>
      <c r="C874" s="18">
        <v>1</v>
      </c>
      <c r="D874" s="23">
        <f t="shared" ca="1" si="26"/>
        <v>0</v>
      </c>
      <c r="E874" s="24">
        <f t="shared" ca="1" si="27"/>
        <v>0</v>
      </c>
    </row>
    <row r="875" spans="1:5" x14ac:dyDescent="0.25">
      <c r="A875" s="17">
        <f ca="1">INDEX(Stations,INT((ROWS(A$2:A875)-1)/(DATE(YEAR(Invoer!$A$5),12,31)-DATE(YEAR(Invoer!$A$5),1,1)+1))+2,1)</f>
        <v>82</v>
      </c>
      <c r="B875" t="str">
        <f ca="1">TEXT(DATE(YEAR(Invoer!$A$5),1,1)+MOD(ROWS(B$2:B875)-1,DATE(YEAR(Invoer!$A$5),12,31)-DATE(YEAR(Invoer!$A$5),1,1)+1),"jjjjmmdd")</f>
        <v>19400521</v>
      </c>
      <c r="C875" s="18">
        <v>1</v>
      </c>
      <c r="D875" s="23">
        <f t="shared" ca="1" si="26"/>
        <v>300</v>
      </c>
      <c r="E875" s="24">
        <f t="shared" ca="1" si="27"/>
        <v>0</v>
      </c>
    </row>
    <row r="876" spans="1:5" x14ac:dyDescent="0.25">
      <c r="A876" s="17">
        <f ca="1">INDEX(Stations,INT((ROWS(A$2:A876)-1)/(DATE(YEAR(Invoer!$A$5),12,31)-DATE(YEAR(Invoer!$A$5),1,1)+1))+2,1)</f>
        <v>82</v>
      </c>
      <c r="B876" t="str">
        <f ca="1">TEXT(DATE(YEAR(Invoer!$A$5),1,1)+MOD(ROWS(B$2:B876)-1,DATE(YEAR(Invoer!$A$5),12,31)-DATE(YEAR(Invoer!$A$5),1,1)+1),"jjjjmmdd")</f>
        <v>19400522</v>
      </c>
      <c r="C876" s="18">
        <v>1</v>
      </c>
      <c r="D876" s="23">
        <f t="shared" ca="1" si="26"/>
        <v>140</v>
      </c>
      <c r="E876" s="24">
        <f t="shared" ca="1" si="27"/>
        <v>0</v>
      </c>
    </row>
    <row r="877" spans="1:5" x14ac:dyDescent="0.25">
      <c r="A877" s="17">
        <f ca="1">INDEX(Stations,INT((ROWS(A$2:A877)-1)/(DATE(YEAR(Invoer!$A$5),12,31)-DATE(YEAR(Invoer!$A$5),1,1)+1))+2,1)</f>
        <v>82</v>
      </c>
      <c r="B877" t="str">
        <f ca="1">TEXT(DATE(YEAR(Invoer!$A$5),1,1)+MOD(ROWS(B$2:B877)-1,DATE(YEAR(Invoer!$A$5),12,31)-DATE(YEAR(Invoer!$A$5),1,1)+1),"jjjjmmdd")</f>
        <v>19400523</v>
      </c>
      <c r="C877" s="18">
        <v>1</v>
      </c>
      <c r="D877" s="23">
        <f t="shared" ca="1" si="26"/>
        <v>125</v>
      </c>
      <c r="E877" s="24">
        <f t="shared" ca="1" si="27"/>
        <v>0</v>
      </c>
    </row>
    <row r="878" spans="1:5" x14ac:dyDescent="0.25">
      <c r="A878" s="17">
        <f ca="1">INDEX(Stations,INT((ROWS(A$2:A878)-1)/(DATE(YEAR(Invoer!$A$5),12,31)-DATE(YEAR(Invoer!$A$5),1,1)+1))+2,1)</f>
        <v>82</v>
      </c>
      <c r="B878" t="str">
        <f ca="1">TEXT(DATE(YEAR(Invoer!$A$5),1,1)+MOD(ROWS(B$2:B878)-1,DATE(YEAR(Invoer!$A$5),12,31)-DATE(YEAR(Invoer!$A$5),1,1)+1),"jjjjmmdd")</f>
        <v>19400524</v>
      </c>
      <c r="C878" s="18">
        <v>1</v>
      </c>
      <c r="D878" s="23">
        <f t="shared" ca="1" si="26"/>
        <v>0</v>
      </c>
      <c r="E878" s="24">
        <f t="shared" ca="1" si="27"/>
        <v>0</v>
      </c>
    </row>
    <row r="879" spans="1:5" x14ac:dyDescent="0.25">
      <c r="A879" s="17">
        <f ca="1">INDEX(Stations,INT((ROWS(A$2:A879)-1)/(DATE(YEAR(Invoer!$A$5),12,31)-DATE(YEAR(Invoer!$A$5),1,1)+1))+2,1)</f>
        <v>82</v>
      </c>
      <c r="B879" t="str">
        <f ca="1">TEXT(DATE(YEAR(Invoer!$A$5),1,1)+MOD(ROWS(B$2:B879)-1,DATE(YEAR(Invoer!$A$5),12,31)-DATE(YEAR(Invoer!$A$5),1,1)+1),"jjjjmmdd")</f>
        <v>19400525</v>
      </c>
      <c r="C879" s="18">
        <v>1</v>
      </c>
      <c r="D879" s="23">
        <f t="shared" ca="1" si="26"/>
        <v>90</v>
      </c>
      <c r="E879" s="24">
        <f t="shared" ca="1" si="27"/>
        <v>0</v>
      </c>
    </row>
    <row r="880" spans="1:5" x14ac:dyDescent="0.25">
      <c r="A880" s="17">
        <f ca="1">INDEX(Stations,INT((ROWS(A$2:A880)-1)/(DATE(YEAR(Invoer!$A$5),12,31)-DATE(YEAR(Invoer!$A$5),1,1)+1))+2,1)</f>
        <v>82</v>
      </c>
      <c r="B880" t="str">
        <f ca="1">TEXT(DATE(YEAR(Invoer!$A$5),1,1)+MOD(ROWS(B$2:B880)-1,DATE(YEAR(Invoer!$A$5),12,31)-DATE(YEAR(Invoer!$A$5),1,1)+1),"jjjjmmdd")</f>
        <v>19400526</v>
      </c>
      <c r="C880" s="18">
        <v>1</v>
      </c>
      <c r="D880" s="23">
        <f t="shared" ca="1" si="26"/>
        <v>0</v>
      </c>
      <c r="E880" s="24">
        <f t="shared" ca="1" si="27"/>
        <v>0</v>
      </c>
    </row>
    <row r="881" spans="1:5" x14ac:dyDescent="0.25">
      <c r="A881" s="17">
        <f ca="1">INDEX(Stations,INT((ROWS(A$2:A881)-1)/(DATE(YEAR(Invoer!$A$5),12,31)-DATE(YEAR(Invoer!$A$5),1,1)+1))+2,1)</f>
        <v>82</v>
      </c>
      <c r="B881" t="str">
        <f ca="1">TEXT(DATE(YEAR(Invoer!$A$5),1,1)+MOD(ROWS(B$2:B881)-1,DATE(YEAR(Invoer!$A$5),12,31)-DATE(YEAR(Invoer!$A$5),1,1)+1),"jjjjmmdd")</f>
        <v>19400527</v>
      </c>
      <c r="C881" s="18">
        <v>1</v>
      </c>
      <c r="D881" s="23">
        <f t="shared" ca="1" si="26"/>
        <v>0</v>
      </c>
      <c r="E881" s="24">
        <f t="shared" ca="1" si="27"/>
        <v>0</v>
      </c>
    </row>
    <row r="882" spans="1:5" x14ac:dyDescent="0.25">
      <c r="A882" s="17">
        <f ca="1">INDEX(Stations,INT((ROWS(A$2:A882)-1)/(DATE(YEAR(Invoer!$A$5),12,31)-DATE(YEAR(Invoer!$A$5),1,1)+1))+2,1)</f>
        <v>82</v>
      </c>
      <c r="B882" t="str">
        <f ca="1">TEXT(DATE(YEAR(Invoer!$A$5),1,1)+MOD(ROWS(B$2:B882)-1,DATE(YEAR(Invoer!$A$5),12,31)-DATE(YEAR(Invoer!$A$5),1,1)+1),"jjjjmmdd")</f>
        <v>19400528</v>
      </c>
      <c r="C882" s="18">
        <v>1</v>
      </c>
      <c r="D882" s="23">
        <f t="shared" ca="1" si="26"/>
        <v>0</v>
      </c>
      <c r="E882" s="24">
        <f t="shared" ca="1" si="27"/>
        <v>0</v>
      </c>
    </row>
    <row r="883" spans="1:5" x14ac:dyDescent="0.25">
      <c r="A883" s="17">
        <f ca="1">INDEX(Stations,INT((ROWS(A$2:A883)-1)/(DATE(YEAR(Invoer!$A$5),12,31)-DATE(YEAR(Invoer!$A$5),1,1)+1))+2,1)</f>
        <v>82</v>
      </c>
      <c r="B883" t="str">
        <f ca="1">TEXT(DATE(YEAR(Invoer!$A$5),1,1)+MOD(ROWS(B$2:B883)-1,DATE(YEAR(Invoer!$A$5),12,31)-DATE(YEAR(Invoer!$A$5),1,1)+1),"jjjjmmdd")</f>
        <v>19400529</v>
      </c>
      <c r="C883" s="18">
        <v>1</v>
      </c>
      <c r="D883" s="23">
        <f t="shared" ca="1" si="26"/>
        <v>0</v>
      </c>
      <c r="E883" s="24">
        <f t="shared" ca="1" si="27"/>
        <v>0</v>
      </c>
    </row>
    <row r="884" spans="1:5" x14ac:dyDescent="0.25">
      <c r="A884" s="17">
        <f ca="1">INDEX(Stations,INT((ROWS(A$2:A884)-1)/(DATE(YEAR(Invoer!$A$5),12,31)-DATE(YEAR(Invoer!$A$5),1,1)+1))+2,1)</f>
        <v>82</v>
      </c>
      <c r="B884" t="str">
        <f ca="1">TEXT(DATE(YEAR(Invoer!$A$5),1,1)+MOD(ROWS(B$2:B884)-1,DATE(YEAR(Invoer!$A$5),12,31)-DATE(YEAR(Invoer!$A$5),1,1)+1),"jjjjmmdd")</f>
        <v>19400530</v>
      </c>
      <c r="C884" s="18">
        <v>1</v>
      </c>
      <c r="D884" s="23">
        <f t="shared" ca="1" si="26"/>
        <v>0</v>
      </c>
      <c r="E884" s="24">
        <f t="shared" ca="1" si="27"/>
        <v>0</v>
      </c>
    </row>
    <row r="885" spans="1:5" x14ac:dyDescent="0.25">
      <c r="A885" s="17">
        <f ca="1">INDEX(Stations,INT((ROWS(A$2:A885)-1)/(DATE(YEAR(Invoer!$A$5),12,31)-DATE(YEAR(Invoer!$A$5),1,1)+1))+2,1)</f>
        <v>82</v>
      </c>
      <c r="B885" t="str">
        <f ca="1">TEXT(DATE(YEAR(Invoer!$A$5),1,1)+MOD(ROWS(B$2:B885)-1,DATE(YEAR(Invoer!$A$5),12,31)-DATE(YEAR(Invoer!$A$5),1,1)+1),"jjjjmmdd")</f>
        <v>19400531</v>
      </c>
      <c r="C885" s="18">
        <v>1</v>
      </c>
      <c r="D885" s="23">
        <f t="shared" ca="1" si="26"/>
        <v>0</v>
      </c>
      <c r="E885" s="24">
        <f t="shared" ca="1" si="27"/>
        <v>0</v>
      </c>
    </row>
    <row r="886" spans="1:5" x14ac:dyDescent="0.25">
      <c r="A886" s="17">
        <f ca="1">INDEX(Stations,INT((ROWS(A$2:A886)-1)/(DATE(YEAR(Invoer!$A$5),12,31)-DATE(YEAR(Invoer!$A$5),1,1)+1))+2,1)</f>
        <v>82</v>
      </c>
      <c r="B886" t="str">
        <f ca="1">TEXT(DATE(YEAR(Invoer!$A$5),1,1)+MOD(ROWS(B$2:B886)-1,DATE(YEAR(Invoer!$A$5),12,31)-DATE(YEAR(Invoer!$A$5),1,1)+1),"jjjjmmdd")</f>
        <v>19400601</v>
      </c>
      <c r="C886" s="18">
        <v>1</v>
      </c>
      <c r="D886" s="23" t="str">
        <f t="shared" ca="1" si="26"/>
        <v>—</v>
      </c>
      <c r="E886" s="24">
        <f t="shared" ca="1" si="27"/>
        <v>7</v>
      </c>
    </row>
    <row r="887" spans="1:5" x14ac:dyDescent="0.25">
      <c r="A887" s="17">
        <f ca="1">INDEX(Stations,INT((ROWS(A$2:A887)-1)/(DATE(YEAR(Invoer!$A$5),12,31)-DATE(YEAR(Invoer!$A$5),1,1)+1))+2,1)</f>
        <v>82</v>
      </c>
      <c r="B887" t="str">
        <f ca="1">TEXT(DATE(YEAR(Invoer!$A$5),1,1)+MOD(ROWS(B$2:B887)-1,DATE(YEAR(Invoer!$A$5),12,31)-DATE(YEAR(Invoer!$A$5),1,1)+1),"jjjjmmdd")</f>
        <v>19400602</v>
      </c>
      <c r="C887" s="18">
        <v>1</v>
      </c>
      <c r="D887" s="23" t="str">
        <f t="shared" ca="1" si="26"/>
        <v>—</v>
      </c>
      <c r="E887" s="24">
        <f t="shared" ca="1" si="27"/>
        <v>7</v>
      </c>
    </row>
    <row r="888" spans="1:5" x14ac:dyDescent="0.25">
      <c r="A888" s="17">
        <f ca="1">INDEX(Stations,INT((ROWS(A$2:A888)-1)/(DATE(YEAR(Invoer!$A$5),12,31)-DATE(YEAR(Invoer!$A$5),1,1)+1))+2,1)</f>
        <v>82</v>
      </c>
      <c r="B888" t="str">
        <f ca="1">TEXT(DATE(YEAR(Invoer!$A$5),1,1)+MOD(ROWS(B$2:B888)-1,DATE(YEAR(Invoer!$A$5),12,31)-DATE(YEAR(Invoer!$A$5),1,1)+1),"jjjjmmdd")</f>
        <v>19400603</v>
      </c>
      <c r="C888" s="18">
        <v>1</v>
      </c>
      <c r="D888" s="23" t="str">
        <f t="shared" ca="1" si="26"/>
        <v>—</v>
      </c>
      <c r="E888" s="24">
        <f t="shared" ca="1" si="27"/>
        <v>7</v>
      </c>
    </row>
    <row r="889" spans="1:5" x14ac:dyDescent="0.25">
      <c r="A889" s="17">
        <f ca="1">INDEX(Stations,INT((ROWS(A$2:A889)-1)/(DATE(YEAR(Invoer!$A$5),12,31)-DATE(YEAR(Invoer!$A$5),1,1)+1))+2,1)</f>
        <v>82</v>
      </c>
      <c r="B889" t="str">
        <f ca="1">TEXT(DATE(YEAR(Invoer!$A$5),1,1)+MOD(ROWS(B$2:B889)-1,DATE(YEAR(Invoer!$A$5),12,31)-DATE(YEAR(Invoer!$A$5),1,1)+1),"jjjjmmdd")</f>
        <v>19400604</v>
      </c>
      <c r="C889" s="18">
        <v>1</v>
      </c>
      <c r="D889" s="23" t="str">
        <f t="shared" ca="1" si="26"/>
        <v>—</v>
      </c>
      <c r="E889" s="24">
        <f t="shared" ca="1" si="27"/>
        <v>7</v>
      </c>
    </row>
    <row r="890" spans="1:5" x14ac:dyDescent="0.25">
      <c r="A890" s="17">
        <f ca="1">INDEX(Stations,INT((ROWS(A$2:A890)-1)/(DATE(YEAR(Invoer!$A$5),12,31)-DATE(YEAR(Invoer!$A$5),1,1)+1))+2,1)</f>
        <v>82</v>
      </c>
      <c r="B890" t="str">
        <f ca="1">TEXT(DATE(YEAR(Invoer!$A$5),1,1)+MOD(ROWS(B$2:B890)-1,DATE(YEAR(Invoer!$A$5),12,31)-DATE(YEAR(Invoer!$A$5),1,1)+1),"jjjjmmdd")</f>
        <v>19400605</v>
      </c>
      <c r="C890" s="18">
        <v>1</v>
      </c>
      <c r="D890" s="23" t="str">
        <f t="shared" ca="1" si="26"/>
        <v>—</v>
      </c>
      <c r="E890" s="24">
        <f t="shared" ca="1" si="27"/>
        <v>7</v>
      </c>
    </row>
    <row r="891" spans="1:5" x14ac:dyDescent="0.25">
      <c r="A891" s="17">
        <f ca="1">INDEX(Stations,INT((ROWS(A$2:A891)-1)/(DATE(YEAR(Invoer!$A$5),12,31)-DATE(YEAR(Invoer!$A$5),1,1)+1))+2,1)</f>
        <v>82</v>
      </c>
      <c r="B891" t="str">
        <f ca="1">TEXT(DATE(YEAR(Invoer!$A$5),1,1)+MOD(ROWS(B$2:B891)-1,DATE(YEAR(Invoer!$A$5),12,31)-DATE(YEAR(Invoer!$A$5),1,1)+1),"jjjjmmdd")</f>
        <v>19400606</v>
      </c>
      <c r="C891" s="18">
        <v>1</v>
      </c>
      <c r="D891" s="23" t="str">
        <f t="shared" ca="1" si="26"/>
        <v>—</v>
      </c>
      <c r="E891" s="24">
        <f t="shared" ca="1" si="27"/>
        <v>7</v>
      </c>
    </row>
    <row r="892" spans="1:5" x14ac:dyDescent="0.25">
      <c r="A892" s="17">
        <f ca="1">INDEX(Stations,INT((ROWS(A$2:A892)-1)/(DATE(YEAR(Invoer!$A$5),12,31)-DATE(YEAR(Invoer!$A$5),1,1)+1))+2,1)</f>
        <v>82</v>
      </c>
      <c r="B892" t="str">
        <f ca="1">TEXT(DATE(YEAR(Invoer!$A$5),1,1)+MOD(ROWS(B$2:B892)-1,DATE(YEAR(Invoer!$A$5),12,31)-DATE(YEAR(Invoer!$A$5),1,1)+1),"jjjjmmdd")</f>
        <v>19400607</v>
      </c>
      <c r="C892" s="18">
        <v>1</v>
      </c>
      <c r="D892" s="23" t="str">
        <f t="shared" ca="1" si="26"/>
        <v>—</v>
      </c>
      <c r="E892" s="24">
        <f t="shared" ca="1" si="27"/>
        <v>7</v>
      </c>
    </row>
    <row r="893" spans="1:5" x14ac:dyDescent="0.25">
      <c r="A893" s="17">
        <f ca="1">INDEX(Stations,INT((ROWS(A$2:A893)-1)/(DATE(YEAR(Invoer!$A$5),12,31)-DATE(YEAR(Invoer!$A$5),1,1)+1))+2,1)</f>
        <v>82</v>
      </c>
      <c r="B893" t="str">
        <f ca="1">TEXT(DATE(YEAR(Invoer!$A$5),1,1)+MOD(ROWS(B$2:B893)-1,DATE(YEAR(Invoer!$A$5),12,31)-DATE(YEAR(Invoer!$A$5),1,1)+1),"jjjjmmdd")</f>
        <v>19400608</v>
      </c>
      <c r="C893" s="18">
        <v>1</v>
      </c>
      <c r="D893" s="23" t="str">
        <f t="shared" ca="1" si="26"/>
        <v>—</v>
      </c>
      <c r="E893" s="24">
        <f t="shared" ca="1" si="27"/>
        <v>7</v>
      </c>
    </row>
    <row r="894" spans="1:5" x14ac:dyDescent="0.25">
      <c r="A894" s="17">
        <f ca="1">INDEX(Stations,INT((ROWS(A$2:A894)-1)/(DATE(YEAR(Invoer!$A$5),12,31)-DATE(YEAR(Invoer!$A$5),1,1)+1))+2,1)</f>
        <v>82</v>
      </c>
      <c r="B894" t="str">
        <f ca="1">TEXT(DATE(YEAR(Invoer!$A$5),1,1)+MOD(ROWS(B$2:B894)-1,DATE(YEAR(Invoer!$A$5),12,31)-DATE(YEAR(Invoer!$A$5),1,1)+1),"jjjjmmdd")</f>
        <v>19400609</v>
      </c>
      <c r="C894" s="18">
        <v>1</v>
      </c>
      <c r="D894" s="23" t="str">
        <f t="shared" ca="1" si="26"/>
        <v>—</v>
      </c>
      <c r="E894" s="24">
        <f t="shared" ca="1" si="27"/>
        <v>7</v>
      </c>
    </row>
    <row r="895" spans="1:5" x14ac:dyDescent="0.25">
      <c r="A895" s="17">
        <f ca="1">INDEX(Stations,INT((ROWS(A$2:A895)-1)/(DATE(YEAR(Invoer!$A$5),12,31)-DATE(YEAR(Invoer!$A$5),1,1)+1))+2,1)</f>
        <v>82</v>
      </c>
      <c r="B895" t="str">
        <f ca="1">TEXT(DATE(YEAR(Invoer!$A$5),1,1)+MOD(ROWS(B$2:B895)-1,DATE(YEAR(Invoer!$A$5),12,31)-DATE(YEAR(Invoer!$A$5),1,1)+1),"jjjjmmdd")</f>
        <v>19400610</v>
      </c>
      <c r="C895" s="18">
        <v>1</v>
      </c>
      <c r="D895" s="23" t="str">
        <f t="shared" ca="1" si="26"/>
        <v>—</v>
      </c>
      <c r="E895" s="24">
        <f t="shared" ca="1" si="27"/>
        <v>7</v>
      </c>
    </row>
    <row r="896" spans="1:5" x14ac:dyDescent="0.25">
      <c r="A896" s="17">
        <f ca="1">INDEX(Stations,INT((ROWS(A$2:A896)-1)/(DATE(YEAR(Invoer!$A$5),12,31)-DATE(YEAR(Invoer!$A$5),1,1)+1))+2,1)</f>
        <v>82</v>
      </c>
      <c r="B896" t="str">
        <f ca="1">TEXT(DATE(YEAR(Invoer!$A$5),1,1)+MOD(ROWS(B$2:B896)-1,DATE(YEAR(Invoer!$A$5),12,31)-DATE(YEAR(Invoer!$A$5),1,1)+1),"jjjjmmdd")</f>
        <v>19400611</v>
      </c>
      <c r="C896" s="18">
        <v>1</v>
      </c>
      <c r="D896" s="23" t="str">
        <f t="shared" ca="1" si="26"/>
        <v>—</v>
      </c>
      <c r="E896" s="24">
        <f t="shared" ca="1" si="27"/>
        <v>7</v>
      </c>
    </row>
    <row r="897" spans="1:5" x14ac:dyDescent="0.25">
      <c r="A897" s="17">
        <f ca="1">INDEX(Stations,INT((ROWS(A$2:A897)-1)/(DATE(YEAR(Invoer!$A$5),12,31)-DATE(YEAR(Invoer!$A$5),1,1)+1))+2,1)</f>
        <v>82</v>
      </c>
      <c r="B897" t="str">
        <f ca="1">TEXT(DATE(YEAR(Invoer!$A$5),1,1)+MOD(ROWS(B$2:B897)-1,DATE(YEAR(Invoer!$A$5),12,31)-DATE(YEAR(Invoer!$A$5),1,1)+1),"jjjjmmdd")</f>
        <v>19400612</v>
      </c>
      <c r="C897" s="18">
        <v>1</v>
      </c>
      <c r="D897" s="23" t="str">
        <f t="shared" ca="1" si="26"/>
        <v>—</v>
      </c>
      <c r="E897" s="24">
        <f t="shared" ca="1" si="27"/>
        <v>7</v>
      </c>
    </row>
    <row r="898" spans="1:5" x14ac:dyDescent="0.25">
      <c r="A898" s="17">
        <f ca="1">INDEX(Stations,INT((ROWS(A$2:A898)-1)/(DATE(YEAR(Invoer!$A$5),12,31)-DATE(YEAR(Invoer!$A$5),1,1)+1))+2,1)</f>
        <v>82</v>
      </c>
      <c r="B898" t="str">
        <f ca="1">TEXT(DATE(YEAR(Invoer!$A$5),1,1)+MOD(ROWS(B$2:B898)-1,DATE(YEAR(Invoer!$A$5),12,31)-DATE(YEAR(Invoer!$A$5),1,1)+1),"jjjjmmdd")</f>
        <v>19400613</v>
      </c>
      <c r="C898" s="18">
        <v>1</v>
      </c>
      <c r="D898" s="23" t="str">
        <f t="shared" ref="D898:D961" ca="1" si="28">IF(OR(ISBLANK(VLOOKUP(DATEVALUE(LEFT(B898,4)&amp;"-"&amp;MID(B898,5,2)&amp;"-"&amp;RIGHT(B898,2)),Data,MATCH(VLOOKUP(A898,Stations,2,FALSE()),OFFSET(Data,1,0,1),0),FALSE())),ISTEXT(VLOOKUP(DATEVALUE(LEFT(B898,4)&amp;"-"&amp;MID(B898,5,2)&amp;"-"&amp;RIGHT(B898,2)),Data,MATCH(VLOOKUP(A898,Stations,2,FALSE()),OFFSET(Data,1,0,1),0),FALSE()))),"—",VLOOKUP(DATEVALUE(LEFT(B898,4)&amp;"-"&amp;MID(B898,5,2)&amp;"-"&amp;RIGHT(B898,2)),Data,MATCH(VLOOKUP(A898,Stations,2,FALSE()),OFFSET(Data,1,0,1),0),FALSE()))</f>
        <v>—</v>
      </c>
      <c r="E898" s="24">
        <f t="shared" ref="E898:E961" ca="1" si="29">IF(OR(ISBLANK(VLOOKUP(DATEVALUE(LEFT(B898,4)&amp;"-"&amp;MID(B898,5,2)&amp;"-"&amp;RIGHT(B898,2)),Data,MATCH(VLOOKUP(A898,Stations,2,FALSE()),OFFSET(Data,1,0,1),0),FALSE())),ISTEXT(VLOOKUP(DATEVALUE(LEFT(B898,4)&amp;"-"&amp;MID(B898,5,2)&amp;"-"&amp;RIGHT(B898,2)),Data,MATCH(VLOOKUP(A898,Stations,2,FALSE()),OFFSET(Data,1,0,1),0),FALSE()))),Lacking,IF(ISNA(MATCH(DATEVALUE(LEFT(B898,4)&amp;"-"&amp;MID(B898,5,2)&amp;"-"&amp;RIGHT(B898,2)),OFFSET(Catalogus,0,0,,1),0)),Ok,VLOOKUP(DATEVALUE(LEFT(B898,4)&amp;"-"&amp;MID(B898,5,2)&amp;"-"&amp;RIGHT(B898,2)),Catalogus,MATCH(VLOOKUP(A898,Stations,2,FALSE()),OFFSET(Catalogus,1,0,1),0),FALSE())))</f>
        <v>7</v>
      </c>
    </row>
    <row r="899" spans="1:5" x14ac:dyDescent="0.25">
      <c r="A899" s="17">
        <f ca="1">INDEX(Stations,INT((ROWS(A$2:A899)-1)/(DATE(YEAR(Invoer!$A$5),12,31)-DATE(YEAR(Invoer!$A$5),1,1)+1))+2,1)</f>
        <v>82</v>
      </c>
      <c r="B899" t="str">
        <f ca="1">TEXT(DATE(YEAR(Invoer!$A$5),1,1)+MOD(ROWS(B$2:B899)-1,DATE(YEAR(Invoer!$A$5),12,31)-DATE(YEAR(Invoer!$A$5),1,1)+1),"jjjjmmdd")</f>
        <v>19400614</v>
      </c>
      <c r="C899" s="18">
        <v>1</v>
      </c>
      <c r="D899" s="23" t="str">
        <f t="shared" ca="1" si="28"/>
        <v>—</v>
      </c>
      <c r="E899" s="24">
        <f t="shared" ca="1" si="29"/>
        <v>7</v>
      </c>
    </row>
    <row r="900" spans="1:5" x14ac:dyDescent="0.25">
      <c r="A900" s="17">
        <f ca="1">INDEX(Stations,INT((ROWS(A$2:A900)-1)/(DATE(YEAR(Invoer!$A$5),12,31)-DATE(YEAR(Invoer!$A$5),1,1)+1))+2,1)</f>
        <v>82</v>
      </c>
      <c r="B900" t="str">
        <f ca="1">TEXT(DATE(YEAR(Invoer!$A$5),1,1)+MOD(ROWS(B$2:B900)-1,DATE(YEAR(Invoer!$A$5),12,31)-DATE(YEAR(Invoer!$A$5),1,1)+1),"jjjjmmdd")</f>
        <v>19400615</v>
      </c>
      <c r="C900" s="18">
        <v>1</v>
      </c>
      <c r="D900" s="23" t="str">
        <f t="shared" ca="1" si="28"/>
        <v>—</v>
      </c>
      <c r="E900" s="24">
        <f t="shared" ca="1" si="29"/>
        <v>7</v>
      </c>
    </row>
    <row r="901" spans="1:5" x14ac:dyDescent="0.25">
      <c r="A901" s="17">
        <f ca="1">INDEX(Stations,INT((ROWS(A$2:A901)-1)/(DATE(YEAR(Invoer!$A$5),12,31)-DATE(YEAR(Invoer!$A$5),1,1)+1))+2,1)</f>
        <v>82</v>
      </c>
      <c r="B901" t="str">
        <f ca="1">TEXT(DATE(YEAR(Invoer!$A$5),1,1)+MOD(ROWS(B$2:B901)-1,DATE(YEAR(Invoer!$A$5),12,31)-DATE(YEAR(Invoer!$A$5),1,1)+1),"jjjjmmdd")</f>
        <v>19400616</v>
      </c>
      <c r="C901" s="18">
        <v>1</v>
      </c>
      <c r="D901" s="23" t="str">
        <f t="shared" ca="1" si="28"/>
        <v>—</v>
      </c>
      <c r="E901" s="24">
        <f t="shared" ca="1" si="29"/>
        <v>7</v>
      </c>
    </row>
    <row r="902" spans="1:5" x14ac:dyDescent="0.25">
      <c r="A902" s="17">
        <f ca="1">INDEX(Stations,INT((ROWS(A$2:A902)-1)/(DATE(YEAR(Invoer!$A$5),12,31)-DATE(YEAR(Invoer!$A$5),1,1)+1))+2,1)</f>
        <v>82</v>
      </c>
      <c r="B902" t="str">
        <f ca="1">TEXT(DATE(YEAR(Invoer!$A$5),1,1)+MOD(ROWS(B$2:B902)-1,DATE(YEAR(Invoer!$A$5),12,31)-DATE(YEAR(Invoer!$A$5),1,1)+1),"jjjjmmdd")</f>
        <v>19400617</v>
      </c>
      <c r="C902" s="18">
        <v>1</v>
      </c>
      <c r="D902" s="23" t="str">
        <f t="shared" ca="1" si="28"/>
        <v>—</v>
      </c>
      <c r="E902" s="24">
        <f t="shared" ca="1" si="29"/>
        <v>7</v>
      </c>
    </row>
    <row r="903" spans="1:5" x14ac:dyDescent="0.25">
      <c r="A903" s="17">
        <f ca="1">INDEX(Stations,INT((ROWS(A$2:A903)-1)/(DATE(YEAR(Invoer!$A$5),12,31)-DATE(YEAR(Invoer!$A$5),1,1)+1))+2,1)</f>
        <v>82</v>
      </c>
      <c r="B903" t="str">
        <f ca="1">TEXT(DATE(YEAR(Invoer!$A$5),1,1)+MOD(ROWS(B$2:B903)-1,DATE(YEAR(Invoer!$A$5),12,31)-DATE(YEAR(Invoer!$A$5),1,1)+1),"jjjjmmdd")</f>
        <v>19400618</v>
      </c>
      <c r="C903" s="18">
        <v>1</v>
      </c>
      <c r="D903" s="23" t="str">
        <f t="shared" ca="1" si="28"/>
        <v>—</v>
      </c>
      <c r="E903" s="24">
        <f t="shared" ca="1" si="29"/>
        <v>7</v>
      </c>
    </row>
    <row r="904" spans="1:5" x14ac:dyDescent="0.25">
      <c r="A904" s="17">
        <f ca="1">INDEX(Stations,INT((ROWS(A$2:A904)-1)/(DATE(YEAR(Invoer!$A$5),12,31)-DATE(YEAR(Invoer!$A$5),1,1)+1))+2,1)</f>
        <v>82</v>
      </c>
      <c r="B904" t="str">
        <f ca="1">TEXT(DATE(YEAR(Invoer!$A$5),1,1)+MOD(ROWS(B$2:B904)-1,DATE(YEAR(Invoer!$A$5),12,31)-DATE(YEAR(Invoer!$A$5),1,1)+1),"jjjjmmdd")</f>
        <v>19400619</v>
      </c>
      <c r="C904" s="18">
        <v>1</v>
      </c>
      <c r="D904" s="23" t="str">
        <f t="shared" ca="1" si="28"/>
        <v>—</v>
      </c>
      <c r="E904" s="24">
        <f t="shared" ca="1" si="29"/>
        <v>7</v>
      </c>
    </row>
    <row r="905" spans="1:5" x14ac:dyDescent="0.25">
      <c r="A905" s="17">
        <f ca="1">INDEX(Stations,INT((ROWS(A$2:A905)-1)/(DATE(YEAR(Invoer!$A$5),12,31)-DATE(YEAR(Invoer!$A$5),1,1)+1))+2,1)</f>
        <v>82</v>
      </c>
      <c r="B905" t="str">
        <f ca="1">TEXT(DATE(YEAR(Invoer!$A$5),1,1)+MOD(ROWS(B$2:B905)-1,DATE(YEAR(Invoer!$A$5),12,31)-DATE(YEAR(Invoer!$A$5),1,1)+1),"jjjjmmdd")</f>
        <v>19400620</v>
      </c>
      <c r="C905" s="18">
        <v>1</v>
      </c>
      <c r="D905" s="23" t="str">
        <f t="shared" ca="1" si="28"/>
        <v>—</v>
      </c>
      <c r="E905" s="24">
        <f t="shared" ca="1" si="29"/>
        <v>7</v>
      </c>
    </row>
    <row r="906" spans="1:5" x14ac:dyDescent="0.25">
      <c r="A906" s="17">
        <f ca="1">INDEX(Stations,INT((ROWS(A$2:A906)-1)/(DATE(YEAR(Invoer!$A$5),12,31)-DATE(YEAR(Invoer!$A$5),1,1)+1))+2,1)</f>
        <v>82</v>
      </c>
      <c r="B906" t="str">
        <f ca="1">TEXT(DATE(YEAR(Invoer!$A$5),1,1)+MOD(ROWS(B$2:B906)-1,DATE(YEAR(Invoer!$A$5),12,31)-DATE(YEAR(Invoer!$A$5),1,1)+1),"jjjjmmdd")</f>
        <v>19400621</v>
      </c>
      <c r="C906" s="18">
        <v>1</v>
      </c>
      <c r="D906" s="23" t="str">
        <f t="shared" ca="1" si="28"/>
        <v>—</v>
      </c>
      <c r="E906" s="24">
        <f t="shared" ca="1" si="29"/>
        <v>7</v>
      </c>
    </row>
    <row r="907" spans="1:5" x14ac:dyDescent="0.25">
      <c r="A907" s="17">
        <f ca="1">INDEX(Stations,INT((ROWS(A$2:A907)-1)/(DATE(YEAR(Invoer!$A$5),12,31)-DATE(YEAR(Invoer!$A$5),1,1)+1))+2,1)</f>
        <v>82</v>
      </c>
      <c r="B907" t="str">
        <f ca="1">TEXT(DATE(YEAR(Invoer!$A$5),1,1)+MOD(ROWS(B$2:B907)-1,DATE(YEAR(Invoer!$A$5),12,31)-DATE(YEAR(Invoer!$A$5),1,1)+1),"jjjjmmdd")</f>
        <v>19400622</v>
      </c>
      <c r="C907" s="18">
        <v>1</v>
      </c>
      <c r="D907" s="23" t="str">
        <f t="shared" ca="1" si="28"/>
        <v>—</v>
      </c>
      <c r="E907" s="24">
        <f t="shared" ca="1" si="29"/>
        <v>7</v>
      </c>
    </row>
    <row r="908" spans="1:5" x14ac:dyDescent="0.25">
      <c r="A908" s="17">
        <f ca="1">INDEX(Stations,INT((ROWS(A$2:A908)-1)/(DATE(YEAR(Invoer!$A$5),12,31)-DATE(YEAR(Invoer!$A$5),1,1)+1))+2,1)</f>
        <v>82</v>
      </c>
      <c r="B908" t="str">
        <f ca="1">TEXT(DATE(YEAR(Invoer!$A$5),1,1)+MOD(ROWS(B$2:B908)-1,DATE(YEAR(Invoer!$A$5),12,31)-DATE(YEAR(Invoer!$A$5),1,1)+1),"jjjjmmdd")</f>
        <v>19400623</v>
      </c>
      <c r="C908" s="18">
        <v>1</v>
      </c>
      <c r="D908" s="23" t="str">
        <f t="shared" ca="1" si="28"/>
        <v>—</v>
      </c>
      <c r="E908" s="24">
        <f t="shared" ca="1" si="29"/>
        <v>7</v>
      </c>
    </row>
    <row r="909" spans="1:5" x14ac:dyDescent="0.25">
      <c r="A909" s="17">
        <f ca="1">INDEX(Stations,INT((ROWS(A$2:A909)-1)/(DATE(YEAR(Invoer!$A$5),12,31)-DATE(YEAR(Invoer!$A$5),1,1)+1))+2,1)</f>
        <v>82</v>
      </c>
      <c r="B909" t="str">
        <f ca="1">TEXT(DATE(YEAR(Invoer!$A$5),1,1)+MOD(ROWS(B$2:B909)-1,DATE(YEAR(Invoer!$A$5),12,31)-DATE(YEAR(Invoer!$A$5),1,1)+1),"jjjjmmdd")</f>
        <v>19400624</v>
      </c>
      <c r="C909" s="18">
        <v>1</v>
      </c>
      <c r="D909" s="23" t="str">
        <f t="shared" ca="1" si="28"/>
        <v>—</v>
      </c>
      <c r="E909" s="24">
        <f t="shared" ca="1" si="29"/>
        <v>7</v>
      </c>
    </row>
    <row r="910" spans="1:5" x14ac:dyDescent="0.25">
      <c r="A910" s="17">
        <f ca="1">INDEX(Stations,INT((ROWS(A$2:A910)-1)/(DATE(YEAR(Invoer!$A$5),12,31)-DATE(YEAR(Invoer!$A$5),1,1)+1))+2,1)</f>
        <v>82</v>
      </c>
      <c r="B910" t="str">
        <f ca="1">TEXT(DATE(YEAR(Invoer!$A$5),1,1)+MOD(ROWS(B$2:B910)-1,DATE(YEAR(Invoer!$A$5),12,31)-DATE(YEAR(Invoer!$A$5),1,1)+1),"jjjjmmdd")</f>
        <v>19400625</v>
      </c>
      <c r="C910" s="18">
        <v>1</v>
      </c>
      <c r="D910" s="23" t="str">
        <f t="shared" ca="1" si="28"/>
        <v>—</v>
      </c>
      <c r="E910" s="24">
        <f t="shared" ca="1" si="29"/>
        <v>7</v>
      </c>
    </row>
    <row r="911" spans="1:5" x14ac:dyDescent="0.25">
      <c r="A911" s="17">
        <f ca="1">INDEX(Stations,INT((ROWS(A$2:A911)-1)/(DATE(YEAR(Invoer!$A$5),12,31)-DATE(YEAR(Invoer!$A$5),1,1)+1))+2,1)</f>
        <v>82</v>
      </c>
      <c r="B911" t="str">
        <f ca="1">TEXT(DATE(YEAR(Invoer!$A$5),1,1)+MOD(ROWS(B$2:B911)-1,DATE(YEAR(Invoer!$A$5),12,31)-DATE(YEAR(Invoer!$A$5),1,1)+1),"jjjjmmdd")</f>
        <v>19400626</v>
      </c>
      <c r="C911" s="18">
        <v>1</v>
      </c>
      <c r="D911" s="23" t="str">
        <f t="shared" ca="1" si="28"/>
        <v>—</v>
      </c>
      <c r="E911" s="24">
        <f t="shared" ca="1" si="29"/>
        <v>7</v>
      </c>
    </row>
    <row r="912" spans="1:5" x14ac:dyDescent="0.25">
      <c r="A912" s="17">
        <f ca="1">INDEX(Stations,INT((ROWS(A$2:A912)-1)/(DATE(YEAR(Invoer!$A$5),12,31)-DATE(YEAR(Invoer!$A$5),1,1)+1))+2,1)</f>
        <v>82</v>
      </c>
      <c r="B912" t="str">
        <f ca="1">TEXT(DATE(YEAR(Invoer!$A$5),1,1)+MOD(ROWS(B$2:B912)-1,DATE(YEAR(Invoer!$A$5),12,31)-DATE(YEAR(Invoer!$A$5),1,1)+1),"jjjjmmdd")</f>
        <v>19400627</v>
      </c>
      <c r="C912" s="18">
        <v>1</v>
      </c>
      <c r="D912" s="23" t="str">
        <f t="shared" ca="1" si="28"/>
        <v>—</v>
      </c>
      <c r="E912" s="24">
        <f t="shared" ca="1" si="29"/>
        <v>7</v>
      </c>
    </row>
    <row r="913" spans="1:5" x14ac:dyDescent="0.25">
      <c r="A913" s="17">
        <f ca="1">INDEX(Stations,INT((ROWS(A$2:A913)-1)/(DATE(YEAR(Invoer!$A$5),12,31)-DATE(YEAR(Invoer!$A$5),1,1)+1))+2,1)</f>
        <v>82</v>
      </c>
      <c r="B913" t="str">
        <f ca="1">TEXT(DATE(YEAR(Invoer!$A$5),1,1)+MOD(ROWS(B$2:B913)-1,DATE(YEAR(Invoer!$A$5),12,31)-DATE(YEAR(Invoer!$A$5),1,1)+1),"jjjjmmdd")</f>
        <v>19400628</v>
      </c>
      <c r="C913" s="18">
        <v>1</v>
      </c>
      <c r="D913" s="23" t="str">
        <f t="shared" ca="1" si="28"/>
        <v>—</v>
      </c>
      <c r="E913" s="24">
        <f t="shared" ca="1" si="29"/>
        <v>7</v>
      </c>
    </row>
    <row r="914" spans="1:5" x14ac:dyDescent="0.25">
      <c r="A914" s="17">
        <f ca="1">INDEX(Stations,INT((ROWS(A$2:A914)-1)/(DATE(YEAR(Invoer!$A$5),12,31)-DATE(YEAR(Invoer!$A$5),1,1)+1))+2,1)</f>
        <v>82</v>
      </c>
      <c r="B914" t="str">
        <f ca="1">TEXT(DATE(YEAR(Invoer!$A$5),1,1)+MOD(ROWS(B$2:B914)-1,DATE(YEAR(Invoer!$A$5),12,31)-DATE(YEAR(Invoer!$A$5),1,1)+1),"jjjjmmdd")</f>
        <v>19400629</v>
      </c>
      <c r="C914" s="18">
        <v>1</v>
      </c>
      <c r="D914" s="23" t="str">
        <f t="shared" ca="1" si="28"/>
        <v>—</v>
      </c>
      <c r="E914" s="24">
        <f t="shared" ca="1" si="29"/>
        <v>7</v>
      </c>
    </row>
    <row r="915" spans="1:5" x14ac:dyDescent="0.25">
      <c r="A915" s="17">
        <f ca="1">INDEX(Stations,INT((ROWS(A$2:A915)-1)/(DATE(YEAR(Invoer!$A$5),12,31)-DATE(YEAR(Invoer!$A$5),1,1)+1))+2,1)</f>
        <v>82</v>
      </c>
      <c r="B915" t="str">
        <f ca="1">TEXT(DATE(YEAR(Invoer!$A$5),1,1)+MOD(ROWS(B$2:B915)-1,DATE(YEAR(Invoer!$A$5),12,31)-DATE(YEAR(Invoer!$A$5),1,1)+1),"jjjjmmdd")</f>
        <v>19400630</v>
      </c>
      <c r="C915" s="18">
        <v>1</v>
      </c>
      <c r="D915" s="23" t="str">
        <f t="shared" ca="1" si="28"/>
        <v>—</v>
      </c>
      <c r="E915" s="24">
        <f t="shared" ca="1" si="29"/>
        <v>7</v>
      </c>
    </row>
    <row r="916" spans="1:5" x14ac:dyDescent="0.25">
      <c r="A916" s="17">
        <f ca="1">INDEX(Stations,INT((ROWS(A$2:A916)-1)/(DATE(YEAR(Invoer!$A$5),12,31)-DATE(YEAR(Invoer!$A$5),1,1)+1))+2,1)</f>
        <v>82</v>
      </c>
      <c r="B916" t="str">
        <f ca="1">TEXT(DATE(YEAR(Invoer!$A$5),1,1)+MOD(ROWS(B$2:B916)-1,DATE(YEAR(Invoer!$A$5),12,31)-DATE(YEAR(Invoer!$A$5),1,1)+1),"jjjjmmdd")</f>
        <v>19400701</v>
      </c>
      <c r="C916" s="18">
        <v>1</v>
      </c>
      <c r="D916" s="23">
        <f t="shared" ca="1" si="28"/>
        <v>0</v>
      </c>
      <c r="E916" s="24">
        <f t="shared" ca="1" si="29"/>
        <v>0</v>
      </c>
    </row>
    <row r="917" spans="1:5" x14ac:dyDescent="0.25">
      <c r="A917" s="17">
        <f ca="1">INDEX(Stations,INT((ROWS(A$2:A917)-1)/(DATE(YEAR(Invoer!$A$5),12,31)-DATE(YEAR(Invoer!$A$5),1,1)+1))+2,1)</f>
        <v>82</v>
      </c>
      <c r="B917" t="str">
        <f ca="1">TEXT(DATE(YEAR(Invoer!$A$5),1,1)+MOD(ROWS(B$2:B917)-1,DATE(YEAR(Invoer!$A$5),12,31)-DATE(YEAR(Invoer!$A$5),1,1)+1),"jjjjmmdd")</f>
        <v>19400702</v>
      </c>
      <c r="C917" s="18">
        <v>1</v>
      </c>
      <c r="D917" s="23">
        <f t="shared" ca="1" si="28"/>
        <v>0</v>
      </c>
      <c r="E917" s="24">
        <f t="shared" ca="1" si="29"/>
        <v>0</v>
      </c>
    </row>
    <row r="918" spans="1:5" x14ac:dyDescent="0.25">
      <c r="A918" s="17">
        <f ca="1">INDEX(Stations,INT((ROWS(A$2:A918)-1)/(DATE(YEAR(Invoer!$A$5),12,31)-DATE(YEAR(Invoer!$A$5),1,1)+1))+2,1)</f>
        <v>82</v>
      </c>
      <c r="B918" t="str">
        <f ca="1">TEXT(DATE(YEAR(Invoer!$A$5),1,1)+MOD(ROWS(B$2:B918)-1,DATE(YEAR(Invoer!$A$5),12,31)-DATE(YEAR(Invoer!$A$5),1,1)+1),"jjjjmmdd")</f>
        <v>19400703</v>
      </c>
      <c r="C918" s="18">
        <v>1</v>
      </c>
      <c r="D918" s="23">
        <f t="shared" ca="1" si="28"/>
        <v>0</v>
      </c>
      <c r="E918" s="24">
        <f t="shared" ca="1" si="29"/>
        <v>0</v>
      </c>
    </row>
    <row r="919" spans="1:5" x14ac:dyDescent="0.25">
      <c r="A919" s="17">
        <f ca="1">INDEX(Stations,INT((ROWS(A$2:A919)-1)/(DATE(YEAR(Invoer!$A$5),12,31)-DATE(YEAR(Invoer!$A$5),1,1)+1))+2,1)</f>
        <v>82</v>
      </c>
      <c r="B919" t="str">
        <f ca="1">TEXT(DATE(YEAR(Invoer!$A$5),1,1)+MOD(ROWS(B$2:B919)-1,DATE(YEAR(Invoer!$A$5),12,31)-DATE(YEAR(Invoer!$A$5),1,1)+1),"jjjjmmdd")</f>
        <v>19400704</v>
      </c>
      <c r="C919" s="18">
        <v>1</v>
      </c>
      <c r="D919" s="23">
        <f t="shared" ca="1" si="28"/>
        <v>0</v>
      </c>
      <c r="E919" s="24">
        <f t="shared" ca="1" si="29"/>
        <v>0</v>
      </c>
    </row>
    <row r="920" spans="1:5" x14ac:dyDescent="0.25">
      <c r="A920" s="17">
        <f ca="1">INDEX(Stations,INT((ROWS(A$2:A920)-1)/(DATE(YEAR(Invoer!$A$5),12,31)-DATE(YEAR(Invoer!$A$5),1,1)+1))+2,1)</f>
        <v>82</v>
      </c>
      <c r="B920" t="str">
        <f ca="1">TEXT(DATE(YEAR(Invoer!$A$5),1,1)+MOD(ROWS(B$2:B920)-1,DATE(YEAR(Invoer!$A$5),12,31)-DATE(YEAR(Invoer!$A$5),1,1)+1),"jjjjmmdd")</f>
        <v>19400705</v>
      </c>
      <c r="C920" s="18">
        <v>1</v>
      </c>
      <c r="D920" s="23">
        <f t="shared" ca="1" si="28"/>
        <v>0</v>
      </c>
      <c r="E920" s="24">
        <f t="shared" ca="1" si="29"/>
        <v>0</v>
      </c>
    </row>
    <row r="921" spans="1:5" x14ac:dyDescent="0.25">
      <c r="A921" s="17">
        <f ca="1">INDEX(Stations,INT((ROWS(A$2:A921)-1)/(DATE(YEAR(Invoer!$A$5),12,31)-DATE(YEAR(Invoer!$A$5),1,1)+1))+2,1)</f>
        <v>82</v>
      </c>
      <c r="B921" t="str">
        <f ca="1">TEXT(DATE(YEAR(Invoer!$A$5),1,1)+MOD(ROWS(B$2:B921)-1,DATE(YEAR(Invoer!$A$5),12,31)-DATE(YEAR(Invoer!$A$5),1,1)+1),"jjjjmmdd")</f>
        <v>19400706</v>
      </c>
      <c r="C921" s="18">
        <v>1</v>
      </c>
      <c r="D921" s="23">
        <f t="shared" ca="1" si="28"/>
        <v>0</v>
      </c>
      <c r="E921" s="24">
        <f t="shared" ca="1" si="29"/>
        <v>0</v>
      </c>
    </row>
    <row r="922" spans="1:5" x14ac:dyDescent="0.25">
      <c r="A922" s="17">
        <f ca="1">INDEX(Stations,INT((ROWS(A$2:A922)-1)/(DATE(YEAR(Invoer!$A$5),12,31)-DATE(YEAR(Invoer!$A$5),1,1)+1))+2,1)</f>
        <v>82</v>
      </c>
      <c r="B922" t="str">
        <f ca="1">TEXT(DATE(YEAR(Invoer!$A$5),1,1)+MOD(ROWS(B$2:B922)-1,DATE(YEAR(Invoer!$A$5),12,31)-DATE(YEAR(Invoer!$A$5),1,1)+1),"jjjjmmdd")</f>
        <v>19400707</v>
      </c>
      <c r="C922" s="18">
        <v>1</v>
      </c>
      <c r="D922" s="23">
        <f t="shared" ca="1" si="28"/>
        <v>110</v>
      </c>
      <c r="E922" s="24">
        <f t="shared" ca="1" si="29"/>
        <v>0</v>
      </c>
    </row>
    <row r="923" spans="1:5" x14ac:dyDescent="0.25">
      <c r="A923" s="17">
        <f ca="1">INDEX(Stations,INT((ROWS(A$2:A923)-1)/(DATE(YEAR(Invoer!$A$5),12,31)-DATE(YEAR(Invoer!$A$5),1,1)+1))+2,1)</f>
        <v>82</v>
      </c>
      <c r="B923" t="str">
        <f ca="1">TEXT(DATE(YEAR(Invoer!$A$5),1,1)+MOD(ROWS(B$2:B923)-1,DATE(YEAR(Invoer!$A$5),12,31)-DATE(YEAR(Invoer!$A$5),1,1)+1),"jjjjmmdd")</f>
        <v>19400708</v>
      </c>
      <c r="C923" s="18">
        <v>1</v>
      </c>
      <c r="D923" s="23">
        <f t="shared" ca="1" si="28"/>
        <v>75</v>
      </c>
      <c r="E923" s="24">
        <f t="shared" ca="1" si="29"/>
        <v>0</v>
      </c>
    </row>
    <row r="924" spans="1:5" x14ac:dyDescent="0.25">
      <c r="A924" s="17">
        <f ca="1">INDEX(Stations,INT((ROWS(A$2:A924)-1)/(DATE(YEAR(Invoer!$A$5),12,31)-DATE(YEAR(Invoer!$A$5),1,1)+1))+2,1)</f>
        <v>82</v>
      </c>
      <c r="B924" t="str">
        <f ca="1">TEXT(DATE(YEAR(Invoer!$A$5),1,1)+MOD(ROWS(B$2:B924)-1,DATE(YEAR(Invoer!$A$5),12,31)-DATE(YEAR(Invoer!$A$5),1,1)+1),"jjjjmmdd")</f>
        <v>19400709</v>
      </c>
      <c r="C924" s="18">
        <v>1</v>
      </c>
      <c r="D924" s="23">
        <f t="shared" ca="1" si="28"/>
        <v>0</v>
      </c>
      <c r="E924" s="24">
        <f t="shared" ca="1" si="29"/>
        <v>0</v>
      </c>
    </row>
    <row r="925" spans="1:5" x14ac:dyDescent="0.25">
      <c r="A925" s="17">
        <f ca="1">INDEX(Stations,INT((ROWS(A$2:A925)-1)/(DATE(YEAR(Invoer!$A$5),12,31)-DATE(YEAR(Invoer!$A$5),1,1)+1))+2,1)</f>
        <v>82</v>
      </c>
      <c r="B925" t="str">
        <f ca="1">TEXT(DATE(YEAR(Invoer!$A$5),1,1)+MOD(ROWS(B$2:B925)-1,DATE(YEAR(Invoer!$A$5),12,31)-DATE(YEAR(Invoer!$A$5),1,1)+1),"jjjjmmdd")</f>
        <v>19400710</v>
      </c>
      <c r="C925" s="18">
        <v>1</v>
      </c>
      <c r="D925" s="23">
        <f t="shared" ca="1" si="28"/>
        <v>0</v>
      </c>
      <c r="E925" s="24">
        <f t="shared" ca="1" si="29"/>
        <v>0</v>
      </c>
    </row>
    <row r="926" spans="1:5" x14ac:dyDescent="0.25">
      <c r="A926" s="17">
        <f ca="1">INDEX(Stations,INT((ROWS(A$2:A926)-1)/(DATE(YEAR(Invoer!$A$5),12,31)-DATE(YEAR(Invoer!$A$5),1,1)+1))+2,1)</f>
        <v>82</v>
      </c>
      <c r="B926" t="str">
        <f ca="1">TEXT(DATE(YEAR(Invoer!$A$5),1,1)+MOD(ROWS(B$2:B926)-1,DATE(YEAR(Invoer!$A$5),12,31)-DATE(YEAR(Invoer!$A$5),1,1)+1),"jjjjmmdd")</f>
        <v>19400711</v>
      </c>
      <c r="C926" s="18">
        <v>1</v>
      </c>
      <c r="D926" s="23">
        <f t="shared" ca="1" si="28"/>
        <v>0</v>
      </c>
      <c r="E926" s="24">
        <f t="shared" ca="1" si="29"/>
        <v>0</v>
      </c>
    </row>
    <row r="927" spans="1:5" x14ac:dyDescent="0.25">
      <c r="A927" s="17">
        <f ca="1">INDEX(Stations,INT((ROWS(A$2:A927)-1)/(DATE(YEAR(Invoer!$A$5),12,31)-DATE(YEAR(Invoer!$A$5),1,1)+1))+2,1)</f>
        <v>82</v>
      </c>
      <c r="B927" t="str">
        <f ca="1">TEXT(DATE(YEAR(Invoer!$A$5),1,1)+MOD(ROWS(B$2:B927)-1,DATE(YEAR(Invoer!$A$5),12,31)-DATE(YEAR(Invoer!$A$5),1,1)+1),"jjjjmmdd")</f>
        <v>19400712</v>
      </c>
      <c r="C927" s="18">
        <v>1</v>
      </c>
      <c r="D927" s="23">
        <f t="shared" ca="1" si="28"/>
        <v>0</v>
      </c>
      <c r="E927" s="24">
        <f t="shared" ca="1" si="29"/>
        <v>0</v>
      </c>
    </row>
    <row r="928" spans="1:5" x14ac:dyDescent="0.25">
      <c r="A928" s="17">
        <f ca="1">INDEX(Stations,INT((ROWS(A$2:A928)-1)/(DATE(YEAR(Invoer!$A$5),12,31)-DATE(YEAR(Invoer!$A$5),1,1)+1))+2,1)</f>
        <v>82</v>
      </c>
      <c r="B928" t="str">
        <f ca="1">TEXT(DATE(YEAR(Invoer!$A$5),1,1)+MOD(ROWS(B$2:B928)-1,DATE(YEAR(Invoer!$A$5),12,31)-DATE(YEAR(Invoer!$A$5),1,1)+1),"jjjjmmdd")</f>
        <v>19400713</v>
      </c>
      <c r="C928" s="18">
        <v>1</v>
      </c>
      <c r="D928" s="23">
        <f t="shared" ca="1" si="28"/>
        <v>0</v>
      </c>
      <c r="E928" s="24">
        <f t="shared" ca="1" si="29"/>
        <v>0</v>
      </c>
    </row>
    <row r="929" spans="1:5" x14ac:dyDescent="0.25">
      <c r="A929" s="17">
        <f ca="1">INDEX(Stations,INT((ROWS(A$2:A929)-1)/(DATE(YEAR(Invoer!$A$5),12,31)-DATE(YEAR(Invoer!$A$5),1,1)+1))+2,1)</f>
        <v>82</v>
      </c>
      <c r="B929" t="str">
        <f ca="1">TEXT(DATE(YEAR(Invoer!$A$5),1,1)+MOD(ROWS(B$2:B929)-1,DATE(YEAR(Invoer!$A$5),12,31)-DATE(YEAR(Invoer!$A$5),1,1)+1),"jjjjmmdd")</f>
        <v>19400714</v>
      </c>
      <c r="C929" s="18">
        <v>1</v>
      </c>
      <c r="D929" s="23">
        <f t="shared" ca="1" si="28"/>
        <v>50</v>
      </c>
      <c r="E929" s="24">
        <f t="shared" ca="1" si="29"/>
        <v>0</v>
      </c>
    </row>
    <row r="930" spans="1:5" x14ac:dyDescent="0.25">
      <c r="A930" s="17">
        <f ca="1">INDEX(Stations,INT((ROWS(A$2:A930)-1)/(DATE(YEAR(Invoer!$A$5),12,31)-DATE(YEAR(Invoer!$A$5),1,1)+1))+2,1)</f>
        <v>82</v>
      </c>
      <c r="B930" t="str">
        <f ca="1">TEXT(DATE(YEAR(Invoer!$A$5),1,1)+MOD(ROWS(B$2:B930)-1,DATE(YEAR(Invoer!$A$5),12,31)-DATE(YEAR(Invoer!$A$5),1,1)+1),"jjjjmmdd")</f>
        <v>19400715</v>
      </c>
      <c r="C930" s="18">
        <v>1</v>
      </c>
      <c r="D930" s="23">
        <f t="shared" ca="1" si="28"/>
        <v>45</v>
      </c>
      <c r="E930" s="24">
        <f t="shared" ca="1" si="29"/>
        <v>0</v>
      </c>
    </row>
    <row r="931" spans="1:5" x14ac:dyDescent="0.25">
      <c r="A931" s="17">
        <f ca="1">INDEX(Stations,INT((ROWS(A$2:A931)-1)/(DATE(YEAR(Invoer!$A$5),12,31)-DATE(YEAR(Invoer!$A$5),1,1)+1))+2,1)</f>
        <v>82</v>
      </c>
      <c r="B931" t="str">
        <f ca="1">TEXT(DATE(YEAR(Invoer!$A$5),1,1)+MOD(ROWS(B$2:B931)-1,DATE(YEAR(Invoer!$A$5),12,31)-DATE(YEAR(Invoer!$A$5),1,1)+1),"jjjjmmdd")</f>
        <v>19400716</v>
      </c>
      <c r="C931" s="18">
        <v>1</v>
      </c>
      <c r="D931" s="23">
        <f t="shared" ca="1" si="28"/>
        <v>33</v>
      </c>
      <c r="E931" s="24">
        <f t="shared" ca="1" si="29"/>
        <v>0</v>
      </c>
    </row>
    <row r="932" spans="1:5" x14ac:dyDescent="0.25">
      <c r="A932" s="17">
        <f ca="1">INDEX(Stations,INT((ROWS(A$2:A932)-1)/(DATE(YEAR(Invoer!$A$5),12,31)-DATE(YEAR(Invoer!$A$5),1,1)+1))+2,1)</f>
        <v>82</v>
      </c>
      <c r="B932" t="str">
        <f ca="1">TEXT(DATE(YEAR(Invoer!$A$5),1,1)+MOD(ROWS(B$2:B932)-1,DATE(YEAR(Invoer!$A$5),12,31)-DATE(YEAR(Invoer!$A$5),1,1)+1),"jjjjmmdd")</f>
        <v>19400717</v>
      </c>
      <c r="C932" s="18">
        <v>1</v>
      </c>
      <c r="D932" s="23">
        <f t="shared" ca="1" si="28"/>
        <v>136</v>
      </c>
      <c r="E932" s="24">
        <f t="shared" ca="1" si="29"/>
        <v>0</v>
      </c>
    </row>
    <row r="933" spans="1:5" x14ac:dyDescent="0.25">
      <c r="A933" s="17">
        <f ca="1">INDEX(Stations,INT((ROWS(A$2:A933)-1)/(DATE(YEAR(Invoer!$A$5),12,31)-DATE(YEAR(Invoer!$A$5),1,1)+1))+2,1)</f>
        <v>82</v>
      </c>
      <c r="B933" t="str">
        <f ca="1">TEXT(DATE(YEAR(Invoer!$A$5),1,1)+MOD(ROWS(B$2:B933)-1,DATE(YEAR(Invoer!$A$5),12,31)-DATE(YEAR(Invoer!$A$5),1,1)+1),"jjjjmmdd")</f>
        <v>19400718</v>
      </c>
      <c r="C933" s="18">
        <v>1</v>
      </c>
      <c r="D933" s="23">
        <f t="shared" ca="1" si="28"/>
        <v>0</v>
      </c>
      <c r="E933" s="24">
        <f t="shared" ca="1" si="29"/>
        <v>0</v>
      </c>
    </row>
    <row r="934" spans="1:5" x14ac:dyDescent="0.25">
      <c r="A934" s="17">
        <f ca="1">INDEX(Stations,INT((ROWS(A$2:A934)-1)/(DATE(YEAR(Invoer!$A$5),12,31)-DATE(YEAR(Invoer!$A$5),1,1)+1))+2,1)</f>
        <v>82</v>
      </c>
      <c r="B934" t="str">
        <f ca="1">TEXT(DATE(YEAR(Invoer!$A$5),1,1)+MOD(ROWS(B$2:B934)-1,DATE(YEAR(Invoer!$A$5),12,31)-DATE(YEAR(Invoer!$A$5),1,1)+1),"jjjjmmdd")</f>
        <v>19400719</v>
      </c>
      <c r="C934" s="18">
        <v>1</v>
      </c>
      <c r="D934" s="23">
        <f t="shared" ca="1" si="28"/>
        <v>0</v>
      </c>
      <c r="E934" s="24">
        <f t="shared" ca="1" si="29"/>
        <v>0</v>
      </c>
    </row>
    <row r="935" spans="1:5" x14ac:dyDescent="0.25">
      <c r="A935" s="17">
        <f ca="1">INDEX(Stations,INT((ROWS(A$2:A935)-1)/(DATE(YEAR(Invoer!$A$5),12,31)-DATE(YEAR(Invoer!$A$5),1,1)+1))+2,1)</f>
        <v>82</v>
      </c>
      <c r="B935" t="str">
        <f ca="1">TEXT(DATE(YEAR(Invoer!$A$5),1,1)+MOD(ROWS(B$2:B935)-1,DATE(YEAR(Invoer!$A$5),12,31)-DATE(YEAR(Invoer!$A$5),1,1)+1),"jjjjmmdd")</f>
        <v>19400720</v>
      </c>
      <c r="C935" s="18">
        <v>1</v>
      </c>
      <c r="D935" s="23">
        <f t="shared" ca="1" si="28"/>
        <v>0</v>
      </c>
      <c r="E935" s="24">
        <f t="shared" ca="1" si="29"/>
        <v>0</v>
      </c>
    </row>
    <row r="936" spans="1:5" x14ac:dyDescent="0.25">
      <c r="A936" s="17">
        <f ca="1">INDEX(Stations,INT((ROWS(A$2:A936)-1)/(DATE(YEAR(Invoer!$A$5),12,31)-DATE(YEAR(Invoer!$A$5),1,1)+1))+2,1)</f>
        <v>82</v>
      </c>
      <c r="B936" t="str">
        <f ca="1">TEXT(DATE(YEAR(Invoer!$A$5),1,1)+MOD(ROWS(B$2:B936)-1,DATE(YEAR(Invoer!$A$5),12,31)-DATE(YEAR(Invoer!$A$5),1,1)+1),"jjjjmmdd")</f>
        <v>19400721</v>
      </c>
      <c r="C936" s="18">
        <v>1</v>
      </c>
      <c r="D936" s="23">
        <f t="shared" ca="1" si="28"/>
        <v>65</v>
      </c>
      <c r="E936" s="24">
        <f t="shared" ca="1" si="29"/>
        <v>0</v>
      </c>
    </row>
    <row r="937" spans="1:5" x14ac:dyDescent="0.25">
      <c r="A937" s="17">
        <f ca="1">INDEX(Stations,INT((ROWS(A$2:A937)-1)/(DATE(YEAR(Invoer!$A$5),12,31)-DATE(YEAR(Invoer!$A$5),1,1)+1))+2,1)</f>
        <v>82</v>
      </c>
      <c r="B937" t="str">
        <f ca="1">TEXT(DATE(YEAR(Invoer!$A$5),1,1)+MOD(ROWS(B$2:B937)-1,DATE(YEAR(Invoer!$A$5),12,31)-DATE(YEAR(Invoer!$A$5),1,1)+1),"jjjjmmdd")</f>
        <v>19400722</v>
      </c>
      <c r="C937" s="18">
        <v>1</v>
      </c>
      <c r="D937" s="23">
        <f t="shared" ca="1" si="28"/>
        <v>85</v>
      </c>
      <c r="E937" s="24">
        <f t="shared" ca="1" si="29"/>
        <v>0</v>
      </c>
    </row>
    <row r="938" spans="1:5" x14ac:dyDescent="0.25">
      <c r="A938" s="17">
        <f ca="1">INDEX(Stations,INT((ROWS(A$2:A938)-1)/(DATE(YEAR(Invoer!$A$5),12,31)-DATE(YEAR(Invoer!$A$5),1,1)+1))+2,1)</f>
        <v>82</v>
      </c>
      <c r="B938" t="str">
        <f ca="1">TEXT(DATE(YEAR(Invoer!$A$5),1,1)+MOD(ROWS(B$2:B938)-1,DATE(YEAR(Invoer!$A$5),12,31)-DATE(YEAR(Invoer!$A$5),1,1)+1),"jjjjmmdd")</f>
        <v>19400723</v>
      </c>
      <c r="C938" s="18">
        <v>1</v>
      </c>
      <c r="D938" s="23">
        <f t="shared" ca="1" si="28"/>
        <v>120</v>
      </c>
      <c r="E938" s="24">
        <f t="shared" ca="1" si="29"/>
        <v>0</v>
      </c>
    </row>
    <row r="939" spans="1:5" x14ac:dyDescent="0.25">
      <c r="A939" s="17">
        <f ca="1">INDEX(Stations,INT((ROWS(A$2:A939)-1)/(DATE(YEAR(Invoer!$A$5),12,31)-DATE(YEAR(Invoer!$A$5),1,1)+1))+2,1)</f>
        <v>82</v>
      </c>
      <c r="B939" t="str">
        <f ca="1">TEXT(DATE(YEAR(Invoer!$A$5),1,1)+MOD(ROWS(B$2:B939)-1,DATE(YEAR(Invoer!$A$5),12,31)-DATE(YEAR(Invoer!$A$5),1,1)+1),"jjjjmmdd")</f>
        <v>19400724</v>
      </c>
      <c r="C939" s="18">
        <v>1</v>
      </c>
      <c r="D939" s="23">
        <f t="shared" ca="1" si="28"/>
        <v>15</v>
      </c>
      <c r="E939" s="24">
        <f t="shared" ca="1" si="29"/>
        <v>0</v>
      </c>
    </row>
    <row r="940" spans="1:5" x14ac:dyDescent="0.25">
      <c r="A940" s="17">
        <f ca="1">INDEX(Stations,INT((ROWS(A$2:A940)-1)/(DATE(YEAR(Invoer!$A$5),12,31)-DATE(YEAR(Invoer!$A$5),1,1)+1))+2,1)</f>
        <v>82</v>
      </c>
      <c r="B940" t="str">
        <f ca="1">TEXT(DATE(YEAR(Invoer!$A$5),1,1)+MOD(ROWS(B$2:B940)-1,DATE(YEAR(Invoer!$A$5),12,31)-DATE(YEAR(Invoer!$A$5),1,1)+1),"jjjjmmdd")</f>
        <v>19400725</v>
      </c>
      <c r="C940" s="18">
        <v>1</v>
      </c>
      <c r="D940" s="23">
        <f t="shared" ca="1" si="28"/>
        <v>0</v>
      </c>
      <c r="E940" s="24">
        <f t="shared" ca="1" si="29"/>
        <v>0</v>
      </c>
    </row>
    <row r="941" spans="1:5" x14ac:dyDescent="0.25">
      <c r="A941" s="17">
        <f ca="1">INDEX(Stations,INT((ROWS(A$2:A941)-1)/(DATE(YEAR(Invoer!$A$5),12,31)-DATE(YEAR(Invoer!$A$5),1,1)+1))+2,1)</f>
        <v>82</v>
      </c>
      <c r="B941" t="str">
        <f ca="1">TEXT(DATE(YEAR(Invoer!$A$5),1,1)+MOD(ROWS(B$2:B941)-1,DATE(YEAR(Invoer!$A$5),12,31)-DATE(YEAR(Invoer!$A$5),1,1)+1),"jjjjmmdd")</f>
        <v>19400726</v>
      </c>
      <c r="C941" s="18">
        <v>1</v>
      </c>
      <c r="D941" s="23">
        <f t="shared" ca="1" si="28"/>
        <v>0</v>
      </c>
      <c r="E941" s="24">
        <f t="shared" ca="1" si="29"/>
        <v>0</v>
      </c>
    </row>
    <row r="942" spans="1:5" x14ac:dyDescent="0.25">
      <c r="A942" s="17">
        <f ca="1">INDEX(Stations,INT((ROWS(A$2:A942)-1)/(DATE(YEAR(Invoer!$A$5),12,31)-DATE(YEAR(Invoer!$A$5),1,1)+1))+2,1)</f>
        <v>82</v>
      </c>
      <c r="B942" t="str">
        <f ca="1">TEXT(DATE(YEAR(Invoer!$A$5),1,1)+MOD(ROWS(B$2:B942)-1,DATE(YEAR(Invoer!$A$5),12,31)-DATE(YEAR(Invoer!$A$5),1,1)+1),"jjjjmmdd")</f>
        <v>19400727</v>
      </c>
      <c r="C942" s="18">
        <v>1</v>
      </c>
      <c r="D942" s="23">
        <f t="shared" ca="1" si="28"/>
        <v>30</v>
      </c>
      <c r="E942" s="24">
        <f t="shared" ca="1" si="29"/>
        <v>0</v>
      </c>
    </row>
    <row r="943" spans="1:5" x14ac:dyDescent="0.25">
      <c r="A943" s="17">
        <f ca="1">INDEX(Stations,INT((ROWS(A$2:A943)-1)/(DATE(YEAR(Invoer!$A$5),12,31)-DATE(YEAR(Invoer!$A$5),1,1)+1))+2,1)</f>
        <v>82</v>
      </c>
      <c r="B943" t="str">
        <f ca="1">TEXT(DATE(YEAR(Invoer!$A$5),1,1)+MOD(ROWS(B$2:B943)-1,DATE(YEAR(Invoer!$A$5),12,31)-DATE(YEAR(Invoer!$A$5),1,1)+1),"jjjjmmdd")</f>
        <v>19400728</v>
      </c>
      <c r="C943" s="18">
        <v>1</v>
      </c>
      <c r="D943" s="23">
        <f t="shared" ca="1" si="28"/>
        <v>0</v>
      </c>
      <c r="E943" s="24">
        <f t="shared" ca="1" si="29"/>
        <v>0</v>
      </c>
    </row>
    <row r="944" spans="1:5" x14ac:dyDescent="0.25">
      <c r="A944" s="17">
        <f ca="1">INDEX(Stations,INT((ROWS(A$2:A944)-1)/(DATE(YEAR(Invoer!$A$5),12,31)-DATE(YEAR(Invoer!$A$5),1,1)+1))+2,1)</f>
        <v>82</v>
      </c>
      <c r="B944" t="str">
        <f ca="1">TEXT(DATE(YEAR(Invoer!$A$5),1,1)+MOD(ROWS(B$2:B944)-1,DATE(YEAR(Invoer!$A$5),12,31)-DATE(YEAR(Invoer!$A$5),1,1)+1),"jjjjmmdd")</f>
        <v>19400729</v>
      </c>
      <c r="C944" s="18">
        <v>1</v>
      </c>
      <c r="D944" s="23">
        <f t="shared" ca="1" si="28"/>
        <v>0</v>
      </c>
      <c r="E944" s="24">
        <f t="shared" ca="1" si="29"/>
        <v>0</v>
      </c>
    </row>
    <row r="945" spans="1:5" x14ac:dyDescent="0.25">
      <c r="A945" s="17">
        <f ca="1">INDEX(Stations,INT((ROWS(A$2:A945)-1)/(DATE(YEAR(Invoer!$A$5),12,31)-DATE(YEAR(Invoer!$A$5),1,1)+1))+2,1)</f>
        <v>82</v>
      </c>
      <c r="B945" t="str">
        <f ca="1">TEXT(DATE(YEAR(Invoer!$A$5),1,1)+MOD(ROWS(B$2:B945)-1,DATE(YEAR(Invoer!$A$5),12,31)-DATE(YEAR(Invoer!$A$5),1,1)+1),"jjjjmmdd")</f>
        <v>19400730</v>
      </c>
      <c r="C945" s="18">
        <v>1</v>
      </c>
      <c r="D945" s="23">
        <f t="shared" ca="1" si="28"/>
        <v>0</v>
      </c>
      <c r="E945" s="24">
        <f t="shared" ca="1" si="29"/>
        <v>0</v>
      </c>
    </row>
    <row r="946" spans="1:5" x14ac:dyDescent="0.25">
      <c r="A946" s="17">
        <f ca="1">INDEX(Stations,INT((ROWS(A$2:A946)-1)/(DATE(YEAR(Invoer!$A$5),12,31)-DATE(YEAR(Invoer!$A$5),1,1)+1))+2,1)</f>
        <v>82</v>
      </c>
      <c r="B946" t="str">
        <f ca="1">TEXT(DATE(YEAR(Invoer!$A$5),1,1)+MOD(ROWS(B$2:B946)-1,DATE(YEAR(Invoer!$A$5),12,31)-DATE(YEAR(Invoer!$A$5),1,1)+1),"jjjjmmdd")</f>
        <v>19400731</v>
      </c>
      <c r="C946" s="18">
        <v>1</v>
      </c>
      <c r="D946" s="23">
        <f t="shared" ca="1" si="28"/>
        <v>0</v>
      </c>
      <c r="E946" s="24">
        <f t="shared" ca="1" si="29"/>
        <v>0</v>
      </c>
    </row>
    <row r="947" spans="1:5" x14ac:dyDescent="0.25">
      <c r="A947" s="17">
        <f ca="1">INDEX(Stations,INT((ROWS(A$2:A947)-1)/(DATE(YEAR(Invoer!$A$5),12,31)-DATE(YEAR(Invoer!$A$5),1,1)+1))+2,1)</f>
        <v>82</v>
      </c>
      <c r="B947" t="str">
        <f ca="1">TEXT(DATE(YEAR(Invoer!$A$5),1,1)+MOD(ROWS(B$2:B947)-1,DATE(YEAR(Invoer!$A$5),12,31)-DATE(YEAR(Invoer!$A$5),1,1)+1),"jjjjmmdd")</f>
        <v>19400801</v>
      </c>
      <c r="C947" s="18">
        <v>1</v>
      </c>
      <c r="D947" s="23">
        <f t="shared" ca="1" si="28"/>
        <v>0</v>
      </c>
      <c r="E947" s="24">
        <f t="shared" ca="1" si="29"/>
        <v>0</v>
      </c>
    </row>
    <row r="948" spans="1:5" x14ac:dyDescent="0.25">
      <c r="A948" s="17">
        <f ca="1">INDEX(Stations,INT((ROWS(A$2:A948)-1)/(DATE(YEAR(Invoer!$A$5),12,31)-DATE(YEAR(Invoer!$A$5),1,1)+1))+2,1)</f>
        <v>82</v>
      </c>
      <c r="B948" t="str">
        <f ca="1">TEXT(DATE(YEAR(Invoer!$A$5),1,1)+MOD(ROWS(B$2:B948)-1,DATE(YEAR(Invoer!$A$5),12,31)-DATE(YEAR(Invoer!$A$5),1,1)+1),"jjjjmmdd")</f>
        <v>19400802</v>
      </c>
      <c r="C948" s="18">
        <v>1</v>
      </c>
      <c r="D948" s="23">
        <f t="shared" ca="1" si="28"/>
        <v>0</v>
      </c>
      <c r="E948" s="24">
        <f t="shared" ca="1" si="29"/>
        <v>0</v>
      </c>
    </row>
    <row r="949" spans="1:5" x14ac:dyDescent="0.25">
      <c r="A949" s="17">
        <f ca="1">INDEX(Stations,INT((ROWS(A$2:A949)-1)/(DATE(YEAR(Invoer!$A$5),12,31)-DATE(YEAR(Invoer!$A$5),1,1)+1))+2,1)</f>
        <v>82</v>
      </c>
      <c r="B949" t="str">
        <f ca="1">TEXT(DATE(YEAR(Invoer!$A$5),1,1)+MOD(ROWS(B$2:B949)-1,DATE(YEAR(Invoer!$A$5),12,31)-DATE(YEAR(Invoer!$A$5),1,1)+1),"jjjjmmdd")</f>
        <v>19400803</v>
      </c>
      <c r="C949" s="18">
        <v>1</v>
      </c>
      <c r="D949" s="23">
        <f t="shared" ca="1" si="28"/>
        <v>0</v>
      </c>
      <c r="E949" s="24">
        <f t="shared" ca="1" si="29"/>
        <v>0</v>
      </c>
    </row>
    <row r="950" spans="1:5" x14ac:dyDescent="0.25">
      <c r="A950" s="17">
        <f ca="1">INDEX(Stations,INT((ROWS(A$2:A950)-1)/(DATE(YEAR(Invoer!$A$5),12,31)-DATE(YEAR(Invoer!$A$5),1,1)+1))+2,1)</f>
        <v>82</v>
      </c>
      <c r="B950" t="str">
        <f ca="1">TEXT(DATE(YEAR(Invoer!$A$5),1,1)+MOD(ROWS(B$2:B950)-1,DATE(YEAR(Invoer!$A$5),12,31)-DATE(YEAR(Invoer!$A$5),1,1)+1),"jjjjmmdd")</f>
        <v>19400804</v>
      </c>
      <c r="C950" s="18">
        <v>1</v>
      </c>
      <c r="D950" s="23">
        <f t="shared" ca="1" si="28"/>
        <v>35</v>
      </c>
      <c r="E950" s="24">
        <f t="shared" ca="1" si="29"/>
        <v>0</v>
      </c>
    </row>
    <row r="951" spans="1:5" x14ac:dyDescent="0.25">
      <c r="A951" s="17">
        <f ca="1">INDEX(Stations,INT((ROWS(A$2:A951)-1)/(DATE(YEAR(Invoer!$A$5),12,31)-DATE(YEAR(Invoer!$A$5),1,1)+1))+2,1)</f>
        <v>82</v>
      </c>
      <c r="B951" t="str">
        <f ca="1">TEXT(DATE(YEAR(Invoer!$A$5),1,1)+MOD(ROWS(B$2:B951)-1,DATE(YEAR(Invoer!$A$5),12,31)-DATE(YEAR(Invoer!$A$5),1,1)+1),"jjjjmmdd")</f>
        <v>19400805</v>
      </c>
      <c r="C951" s="18">
        <v>1</v>
      </c>
      <c r="D951" s="23">
        <f t="shared" ca="1" si="28"/>
        <v>250</v>
      </c>
      <c r="E951" s="24">
        <f t="shared" ca="1" si="29"/>
        <v>0</v>
      </c>
    </row>
    <row r="952" spans="1:5" x14ac:dyDescent="0.25">
      <c r="A952" s="17">
        <f ca="1">INDEX(Stations,INT((ROWS(A$2:A952)-1)/(DATE(YEAR(Invoer!$A$5),12,31)-DATE(YEAR(Invoer!$A$5),1,1)+1))+2,1)</f>
        <v>82</v>
      </c>
      <c r="B952" t="str">
        <f ca="1">TEXT(DATE(YEAR(Invoer!$A$5),1,1)+MOD(ROWS(B$2:B952)-1,DATE(YEAR(Invoer!$A$5),12,31)-DATE(YEAR(Invoer!$A$5),1,1)+1),"jjjjmmdd")</f>
        <v>19400806</v>
      </c>
      <c r="C952" s="18">
        <v>1</v>
      </c>
      <c r="D952" s="23">
        <f t="shared" ca="1" si="28"/>
        <v>0</v>
      </c>
      <c r="E952" s="24">
        <f t="shared" ca="1" si="29"/>
        <v>0</v>
      </c>
    </row>
    <row r="953" spans="1:5" x14ac:dyDescent="0.25">
      <c r="A953" s="17">
        <f ca="1">INDEX(Stations,INT((ROWS(A$2:A953)-1)/(DATE(YEAR(Invoer!$A$5),12,31)-DATE(YEAR(Invoer!$A$5),1,1)+1))+2,1)</f>
        <v>82</v>
      </c>
      <c r="B953" t="str">
        <f ca="1">TEXT(DATE(YEAR(Invoer!$A$5),1,1)+MOD(ROWS(B$2:B953)-1,DATE(YEAR(Invoer!$A$5),12,31)-DATE(YEAR(Invoer!$A$5),1,1)+1),"jjjjmmdd")</f>
        <v>19400807</v>
      </c>
      <c r="C953" s="18">
        <v>1</v>
      </c>
      <c r="D953" s="23">
        <f t="shared" ca="1" si="28"/>
        <v>0</v>
      </c>
      <c r="E953" s="24">
        <f t="shared" ca="1" si="29"/>
        <v>0</v>
      </c>
    </row>
    <row r="954" spans="1:5" x14ac:dyDescent="0.25">
      <c r="A954" s="17">
        <f ca="1">INDEX(Stations,INT((ROWS(A$2:A954)-1)/(DATE(YEAR(Invoer!$A$5),12,31)-DATE(YEAR(Invoer!$A$5),1,1)+1))+2,1)</f>
        <v>82</v>
      </c>
      <c r="B954" t="str">
        <f ca="1">TEXT(DATE(YEAR(Invoer!$A$5),1,1)+MOD(ROWS(B$2:B954)-1,DATE(YEAR(Invoer!$A$5),12,31)-DATE(YEAR(Invoer!$A$5),1,1)+1),"jjjjmmdd")</f>
        <v>19400808</v>
      </c>
      <c r="C954" s="18">
        <v>1</v>
      </c>
      <c r="D954" s="23">
        <f t="shared" ca="1" si="28"/>
        <v>0</v>
      </c>
      <c r="E954" s="24">
        <f t="shared" ca="1" si="29"/>
        <v>0</v>
      </c>
    </row>
    <row r="955" spans="1:5" x14ac:dyDescent="0.25">
      <c r="A955" s="17">
        <f ca="1">INDEX(Stations,INT((ROWS(A$2:A955)-1)/(DATE(YEAR(Invoer!$A$5),12,31)-DATE(YEAR(Invoer!$A$5),1,1)+1))+2,1)</f>
        <v>82</v>
      </c>
      <c r="B955" t="str">
        <f ca="1">TEXT(DATE(YEAR(Invoer!$A$5),1,1)+MOD(ROWS(B$2:B955)-1,DATE(YEAR(Invoer!$A$5),12,31)-DATE(YEAR(Invoer!$A$5),1,1)+1),"jjjjmmdd")</f>
        <v>19400809</v>
      </c>
      <c r="C955" s="18">
        <v>1</v>
      </c>
      <c r="D955" s="23">
        <f t="shared" ca="1" si="28"/>
        <v>0</v>
      </c>
      <c r="E955" s="24">
        <f t="shared" ca="1" si="29"/>
        <v>0</v>
      </c>
    </row>
    <row r="956" spans="1:5" x14ac:dyDescent="0.25">
      <c r="A956" s="17">
        <f ca="1">INDEX(Stations,INT((ROWS(A$2:A956)-1)/(DATE(YEAR(Invoer!$A$5),12,31)-DATE(YEAR(Invoer!$A$5),1,1)+1))+2,1)</f>
        <v>82</v>
      </c>
      <c r="B956" t="str">
        <f ca="1">TEXT(DATE(YEAR(Invoer!$A$5),1,1)+MOD(ROWS(B$2:B956)-1,DATE(YEAR(Invoer!$A$5),12,31)-DATE(YEAR(Invoer!$A$5),1,1)+1),"jjjjmmdd")</f>
        <v>19400810</v>
      </c>
      <c r="C956" s="18">
        <v>1</v>
      </c>
      <c r="D956" s="23">
        <f t="shared" ca="1" si="28"/>
        <v>30</v>
      </c>
      <c r="E956" s="24">
        <f t="shared" ca="1" si="29"/>
        <v>0</v>
      </c>
    </row>
    <row r="957" spans="1:5" x14ac:dyDescent="0.25">
      <c r="A957" s="17">
        <f ca="1">INDEX(Stations,INT((ROWS(A$2:A957)-1)/(DATE(YEAR(Invoer!$A$5),12,31)-DATE(YEAR(Invoer!$A$5),1,1)+1))+2,1)</f>
        <v>82</v>
      </c>
      <c r="B957" t="str">
        <f ca="1">TEXT(DATE(YEAR(Invoer!$A$5),1,1)+MOD(ROWS(B$2:B957)-1,DATE(YEAR(Invoer!$A$5),12,31)-DATE(YEAR(Invoer!$A$5),1,1)+1),"jjjjmmdd")</f>
        <v>19400811</v>
      </c>
      <c r="C957" s="18">
        <v>1</v>
      </c>
      <c r="D957" s="23">
        <f t="shared" ca="1" si="28"/>
        <v>15</v>
      </c>
      <c r="E957" s="24">
        <f t="shared" ca="1" si="29"/>
        <v>0</v>
      </c>
    </row>
    <row r="958" spans="1:5" x14ac:dyDescent="0.25">
      <c r="A958" s="17">
        <f ca="1">INDEX(Stations,INT((ROWS(A$2:A958)-1)/(DATE(YEAR(Invoer!$A$5),12,31)-DATE(YEAR(Invoer!$A$5),1,1)+1))+2,1)</f>
        <v>82</v>
      </c>
      <c r="B958" t="str">
        <f ca="1">TEXT(DATE(YEAR(Invoer!$A$5),1,1)+MOD(ROWS(B$2:B958)-1,DATE(YEAR(Invoer!$A$5),12,31)-DATE(YEAR(Invoer!$A$5),1,1)+1),"jjjjmmdd")</f>
        <v>19400812</v>
      </c>
      <c r="C958" s="18">
        <v>1</v>
      </c>
      <c r="D958" s="23">
        <f t="shared" ca="1" si="28"/>
        <v>20</v>
      </c>
      <c r="E958" s="24">
        <f t="shared" ca="1" si="29"/>
        <v>0</v>
      </c>
    </row>
    <row r="959" spans="1:5" x14ac:dyDescent="0.25">
      <c r="A959" s="17">
        <f ca="1">INDEX(Stations,INT((ROWS(A$2:A959)-1)/(DATE(YEAR(Invoer!$A$5),12,31)-DATE(YEAR(Invoer!$A$5),1,1)+1))+2,1)</f>
        <v>82</v>
      </c>
      <c r="B959" t="str">
        <f ca="1">TEXT(DATE(YEAR(Invoer!$A$5),1,1)+MOD(ROWS(B$2:B959)-1,DATE(YEAR(Invoer!$A$5),12,31)-DATE(YEAR(Invoer!$A$5),1,1)+1),"jjjjmmdd")</f>
        <v>19400813</v>
      </c>
      <c r="C959" s="18">
        <v>1</v>
      </c>
      <c r="D959" s="23">
        <f t="shared" ca="1" si="28"/>
        <v>0</v>
      </c>
      <c r="E959" s="24">
        <f t="shared" ca="1" si="29"/>
        <v>0</v>
      </c>
    </row>
    <row r="960" spans="1:5" x14ac:dyDescent="0.25">
      <c r="A960" s="17">
        <f ca="1">INDEX(Stations,INT((ROWS(A$2:A960)-1)/(DATE(YEAR(Invoer!$A$5),12,31)-DATE(YEAR(Invoer!$A$5),1,1)+1))+2,1)</f>
        <v>82</v>
      </c>
      <c r="B960" t="str">
        <f ca="1">TEXT(DATE(YEAR(Invoer!$A$5),1,1)+MOD(ROWS(B$2:B960)-1,DATE(YEAR(Invoer!$A$5),12,31)-DATE(YEAR(Invoer!$A$5),1,1)+1),"jjjjmmdd")</f>
        <v>19400814</v>
      </c>
      <c r="C960" s="18">
        <v>1</v>
      </c>
      <c r="D960" s="23">
        <f t="shared" ca="1" si="28"/>
        <v>0</v>
      </c>
      <c r="E960" s="24">
        <f t="shared" ca="1" si="29"/>
        <v>0</v>
      </c>
    </row>
    <row r="961" spans="1:5" x14ac:dyDescent="0.25">
      <c r="A961" s="17">
        <f ca="1">INDEX(Stations,INT((ROWS(A$2:A961)-1)/(DATE(YEAR(Invoer!$A$5),12,31)-DATE(YEAR(Invoer!$A$5),1,1)+1))+2,1)</f>
        <v>82</v>
      </c>
      <c r="B961" t="str">
        <f ca="1">TEXT(DATE(YEAR(Invoer!$A$5),1,1)+MOD(ROWS(B$2:B961)-1,DATE(YEAR(Invoer!$A$5),12,31)-DATE(YEAR(Invoer!$A$5),1,1)+1),"jjjjmmdd")</f>
        <v>19400815</v>
      </c>
      <c r="C961" s="18">
        <v>1</v>
      </c>
      <c r="D961" s="23">
        <f t="shared" ca="1" si="28"/>
        <v>0</v>
      </c>
      <c r="E961" s="24">
        <f t="shared" ca="1" si="29"/>
        <v>0</v>
      </c>
    </row>
    <row r="962" spans="1:5" x14ac:dyDescent="0.25">
      <c r="A962" s="17">
        <f ca="1">INDEX(Stations,INT((ROWS(A$2:A962)-1)/(DATE(YEAR(Invoer!$A$5),12,31)-DATE(YEAR(Invoer!$A$5),1,1)+1))+2,1)</f>
        <v>82</v>
      </c>
      <c r="B962" t="str">
        <f ca="1">TEXT(DATE(YEAR(Invoer!$A$5),1,1)+MOD(ROWS(B$2:B962)-1,DATE(YEAR(Invoer!$A$5),12,31)-DATE(YEAR(Invoer!$A$5),1,1)+1),"jjjjmmdd")</f>
        <v>19400816</v>
      </c>
      <c r="C962" s="18">
        <v>1</v>
      </c>
      <c r="D962" s="23">
        <f t="shared" ref="D962:D1025" ca="1" si="30">IF(OR(ISBLANK(VLOOKUP(DATEVALUE(LEFT(B962,4)&amp;"-"&amp;MID(B962,5,2)&amp;"-"&amp;RIGHT(B962,2)),Data,MATCH(VLOOKUP(A962,Stations,2,FALSE()),OFFSET(Data,1,0,1),0),FALSE())),ISTEXT(VLOOKUP(DATEVALUE(LEFT(B962,4)&amp;"-"&amp;MID(B962,5,2)&amp;"-"&amp;RIGHT(B962,2)),Data,MATCH(VLOOKUP(A962,Stations,2,FALSE()),OFFSET(Data,1,0,1),0),FALSE()))),"—",VLOOKUP(DATEVALUE(LEFT(B962,4)&amp;"-"&amp;MID(B962,5,2)&amp;"-"&amp;RIGHT(B962,2)),Data,MATCH(VLOOKUP(A962,Stations,2,FALSE()),OFFSET(Data,1,0,1),0),FALSE()))</f>
        <v>0</v>
      </c>
      <c r="E962" s="24">
        <f t="shared" ref="E962:E1025" ca="1" si="31">IF(OR(ISBLANK(VLOOKUP(DATEVALUE(LEFT(B962,4)&amp;"-"&amp;MID(B962,5,2)&amp;"-"&amp;RIGHT(B962,2)),Data,MATCH(VLOOKUP(A962,Stations,2,FALSE()),OFFSET(Data,1,0,1),0),FALSE())),ISTEXT(VLOOKUP(DATEVALUE(LEFT(B962,4)&amp;"-"&amp;MID(B962,5,2)&amp;"-"&amp;RIGHT(B962,2)),Data,MATCH(VLOOKUP(A962,Stations,2,FALSE()),OFFSET(Data,1,0,1),0),FALSE()))),Lacking,IF(ISNA(MATCH(DATEVALUE(LEFT(B962,4)&amp;"-"&amp;MID(B962,5,2)&amp;"-"&amp;RIGHT(B962,2)),OFFSET(Catalogus,0,0,,1),0)),Ok,VLOOKUP(DATEVALUE(LEFT(B962,4)&amp;"-"&amp;MID(B962,5,2)&amp;"-"&amp;RIGHT(B962,2)),Catalogus,MATCH(VLOOKUP(A962,Stations,2,FALSE()),OFFSET(Catalogus,1,0,1),0),FALSE())))</f>
        <v>0</v>
      </c>
    </row>
    <row r="963" spans="1:5" x14ac:dyDescent="0.25">
      <c r="A963" s="17">
        <f ca="1">INDEX(Stations,INT((ROWS(A$2:A963)-1)/(DATE(YEAR(Invoer!$A$5),12,31)-DATE(YEAR(Invoer!$A$5),1,1)+1))+2,1)</f>
        <v>82</v>
      </c>
      <c r="B963" t="str">
        <f ca="1">TEXT(DATE(YEAR(Invoer!$A$5),1,1)+MOD(ROWS(B$2:B963)-1,DATE(YEAR(Invoer!$A$5),12,31)-DATE(YEAR(Invoer!$A$5),1,1)+1),"jjjjmmdd")</f>
        <v>19400817</v>
      </c>
      <c r="C963" s="18">
        <v>1</v>
      </c>
      <c r="D963" s="23">
        <f t="shared" ca="1" si="30"/>
        <v>0</v>
      </c>
      <c r="E963" s="24">
        <f t="shared" ca="1" si="31"/>
        <v>0</v>
      </c>
    </row>
    <row r="964" spans="1:5" x14ac:dyDescent="0.25">
      <c r="A964" s="17">
        <f ca="1">INDEX(Stations,INT((ROWS(A$2:A964)-1)/(DATE(YEAR(Invoer!$A$5),12,31)-DATE(YEAR(Invoer!$A$5),1,1)+1))+2,1)</f>
        <v>82</v>
      </c>
      <c r="B964" t="str">
        <f ca="1">TEXT(DATE(YEAR(Invoer!$A$5),1,1)+MOD(ROWS(B$2:B964)-1,DATE(YEAR(Invoer!$A$5),12,31)-DATE(YEAR(Invoer!$A$5),1,1)+1),"jjjjmmdd")</f>
        <v>19400818</v>
      </c>
      <c r="C964" s="18">
        <v>1</v>
      </c>
      <c r="D964" s="23">
        <f t="shared" ca="1" si="30"/>
        <v>50</v>
      </c>
      <c r="E964" s="24">
        <f t="shared" ca="1" si="31"/>
        <v>0</v>
      </c>
    </row>
    <row r="965" spans="1:5" x14ac:dyDescent="0.25">
      <c r="A965" s="17">
        <f ca="1">INDEX(Stations,INT((ROWS(A$2:A965)-1)/(DATE(YEAR(Invoer!$A$5),12,31)-DATE(YEAR(Invoer!$A$5),1,1)+1))+2,1)</f>
        <v>82</v>
      </c>
      <c r="B965" t="str">
        <f ca="1">TEXT(DATE(YEAR(Invoer!$A$5),1,1)+MOD(ROWS(B$2:B965)-1,DATE(YEAR(Invoer!$A$5),12,31)-DATE(YEAR(Invoer!$A$5),1,1)+1),"jjjjmmdd")</f>
        <v>19400819</v>
      </c>
      <c r="C965" s="18">
        <v>1</v>
      </c>
      <c r="D965" s="23">
        <f t="shared" ca="1" si="30"/>
        <v>75</v>
      </c>
      <c r="E965" s="24">
        <f t="shared" ca="1" si="31"/>
        <v>0</v>
      </c>
    </row>
    <row r="966" spans="1:5" x14ac:dyDescent="0.25">
      <c r="A966" s="17">
        <f ca="1">INDEX(Stations,INT((ROWS(A$2:A966)-1)/(DATE(YEAR(Invoer!$A$5),12,31)-DATE(YEAR(Invoer!$A$5),1,1)+1))+2,1)</f>
        <v>82</v>
      </c>
      <c r="B966" t="str">
        <f ca="1">TEXT(DATE(YEAR(Invoer!$A$5),1,1)+MOD(ROWS(B$2:B966)-1,DATE(YEAR(Invoer!$A$5),12,31)-DATE(YEAR(Invoer!$A$5),1,1)+1),"jjjjmmdd")</f>
        <v>19400820</v>
      </c>
      <c r="C966" s="18">
        <v>1</v>
      </c>
      <c r="D966" s="23">
        <f t="shared" ca="1" si="30"/>
        <v>0</v>
      </c>
      <c r="E966" s="24">
        <f t="shared" ca="1" si="31"/>
        <v>0</v>
      </c>
    </row>
    <row r="967" spans="1:5" x14ac:dyDescent="0.25">
      <c r="A967" s="17">
        <f ca="1">INDEX(Stations,INT((ROWS(A$2:A967)-1)/(DATE(YEAR(Invoer!$A$5),12,31)-DATE(YEAR(Invoer!$A$5),1,1)+1))+2,1)</f>
        <v>82</v>
      </c>
      <c r="B967" t="str">
        <f ca="1">TEXT(DATE(YEAR(Invoer!$A$5),1,1)+MOD(ROWS(B$2:B967)-1,DATE(YEAR(Invoer!$A$5),12,31)-DATE(YEAR(Invoer!$A$5),1,1)+1),"jjjjmmdd")</f>
        <v>19400821</v>
      </c>
      <c r="C967" s="18">
        <v>1</v>
      </c>
      <c r="D967" s="23">
        <f t="shared" ca="1" si="30"/>
        <v>0</v>
      </c>
      <c r="E967" s="24">
        <f t="shared" ca="1" si="31"/>
        <v>0</v>
      </c>
    </row>
    <row r="968" spans="1:5" x14ac:dyDescent="0.25">
      <c r="A968" s="17">
        <f ca="1">INDEX(Stations,INT((ROWS(A$2:A968)-1)/(DATE(YEAR(Invoer!$A$5),12,31)-DATE(YEAR(Invoer!$A$5),1,1)+1))+2,1)</f>
        <v>82</v>
      </c>
      <c r="B968" t="str">
        <f ca="1">TEXT(DATE(YEAR(Invoer!$A$5),1,1)+MOD(ROWS(B$2:B968)-1,DATE(YEAR(Invoer!$A$5),12,31)-DATE(YEAR(Invoer!$A$5),1,1)+1),"jjjjmmdd")</f>
        <v>19400822</v>
      </c>
      <c r="C968" s="18">
        <v>1</v>
      </c>
      <c r="D968" s="23">
        <f t="shared" ca="1" si="30"/>
        <v>0</v>
      </c>
      <c r="E968" s="24">
        <f t="shared" ca="1" si="31"/>
        <v>0</v>
      </c>
    </row>
    <row r="969" spans="1:5" x14ac:dyDescent="0.25">
      <c r="A969" s="17">
        <f ca="1">INDEX(Stations,INT((ROWS(A$2:A969)-1)/(DATE(YEAR(Invoer!$A$5),12,31)-DATE(YEAR(Invoer!$A$5),1,1)+1))+2,1)</f>
        <v>82</v>
      </c>
      <c r="B969" t="str">
        <f ca="1">TEXT(DATE(YEAR(Invoer!$A$5),1,1)+MOD(ROWS(B$2:B969)-1,DATE(YEAR(Invoer!$A$5),12,31)-DATE(YEAR(Invoer!$A$5),1,1)+1),"jjjjmmdd")</f>
        <v>19400823</v>
      </c>
      <c r="C969" s="18">
        <v>1</v>
      </c>
      <c r="D969" s="23">
        <f t="shared" ca="1" si="30"/>
        <v>0</v>
      </c>
      <c r="E969" s="24">
        <f t="shared" ca="1" si="31"/>
        <v>0</v>
      </c>
    </row>
    <row r="970" spans="1:5" x14ac:dyDescent="0.25">
      <c r="A970" s="17">
        <f ca="1">INDEX(Stations,INT((ROWS(A$2:A970)-1)/(DATE(YEAR(Invoer!$A$5),12,31)-DATE(YEAR(Invoer!$A$5),1,1)+1))+2,1)</f>
        <v>82</v>
      </c>
      <c r="B970" t="str">
        <f ca="1">TEXT(DATE(YEAR(Invoer!$A$5),1,1)+MOD(ROWS(B$2:B970)-1,DATE(YEAR(Invoer!$A$5),12,31)-DATE(YEAR(Invoer!$A$5),1,1)+1),"jjjjmmdd")</f>
        <v>19400824</v>
      </c>
      <c r="C970" s="18">
        <v>1</v>
      </c>
      <c r="D970" s="23">
        <f t="shared" ca="1" si="30"/>
        <v>0</v>
      </c>
      <c r="E970" s="24">
        <f t="shared" ca="1" si="31"/>
        <v>0</v>
      </c>
    </row>
    <row r="971" spans="1:5" x14ac:dyDescent="0.25">
      <c r="A971" s="17">
        <f ca="1">INDEX(Stations,INT((ROWS(A$2:A971)-1)/(DATE(YEAR(Invoer!$A$5),12,31)-DATE(YEAR(Invoer!$A$5),1,1)+1))+2,1)</f>
        <v>82</v>
      </c>
      <c r="B971" t="str">
        <f ca="1">TEXT(DATE(YEAR(Invoer!$A$5),1,1)+MOD(ROWS(B$2:B971)-1,DATE(YEAR(Invoer!$A$5),12,31)-DATE(YEAR(Invoer!$A$5),1,1)+1),"jjjjmmdd")</f>
        <v>19400825</v>
      </c>
      <c r="C971" s="18">
        <v>1</v>
      </c>
      <c r="D971" s="23">
        <f t="shared" ca="1" si="30"/>
        <v>0</v>
      </c>
      <c r="E971" s="24">
        <f t="shared" ca="1" si="31"/>
        <v>0</v>
      </c>
    </row>
    <row r="972" spans="1:5" x14ac:dyDescent="0.25">
      <c r="A972" s="17">
        <f ca="1">INDEX(Stations,INT((ROWS(A$2:A972)-1)/(DATE(YEAR(Invoer!$A$5),12,31)-DATE(YEAR(Invoer!$A$5),1,1)+1))+2,1)</f>
        <v>82</v>
      </c>
      <c r="B972" t="str">
        <f ca="1">TEXT(DATE(YEAR(Invoer!$A$5),1,1)+MOD(ROWS(B$2:B972)-1,DATE(YEAR(Invoer!$A$5),12,31)-DATE(YEAR(Invoer!$A$5),1,1)+1),"jjjjmmdd")</f>
        <v>19400826</v>
      </c>
      <c r="C972" s="18">
        <v>1</v>
      </c>
      <c r="D972" s="23">
        <f t="shared" ca="1" si="30"/>
        <v>0</v>
      </c>
      <c r="E972" s="24">
        <f t="shared" ca="1" si="31"/>
        <v>0</v>
      </c>
    </row>
    <row r="973" spans="1:5" x14ac:dyDescent="0.25">
      <c r="A973" s="17">
        <f ca="1">INDEX(Stations,INT((ROWS(A$2:A973)-1)/(DATE(YEAR(Invoer!$A$5),12,31)-DATE(YEAR(Invoer!$A$5),1,1)+1))+2,1)</f>
        <v>82</v>
      </c>
      <c r="B973" t="str">
        <f ca="1">TEXT(DATE(YEAR(Invoer!$A$5),1,1)+MOD(ROWS(B$2:B973)-1,DATE(YEAR(Invoer!$A$5),12,31)-DATE(YEAR(Invoer!$A$5),1,1)+1),"jjjjmmdd")</f>
        <v>19400827</v>
      </c>
      <c r="C973" s="18">
        <v>1</v>
      </c>
      <c r="D973" s="23">
        <f t="shared" ca="1" si="30"/>
        <v>0</v>
      </c>
      <c r="E973" s="24">
        <f t="shared" ca="1" si="31"/>
        <v>0</v>
      </c>
    </row>
    <row r="974" spans="1:5" x14ac:dyDescent="0.25">
      <c r="A974" s="17">
        <f ca="1">INDEX(Stations,INT((ROWS(A$2:A974)-1)/(DATE(YEAR(Invoer!$A$5),12,31)-DATE(YEAR(Invoer!$A$5),1,1)+1))+2,1)</f>
        <v>82</v>
      </c>
      <c r="B974" t="str">
        <f ca="1">TEXT(DATE(YEAR(Invoer!$A$5),1,1)+MOD(ROWS(B$2:B974)-1,DATE(YEAR(Invoer!$A$5),12,31)-DATE(YEAR(Invoer!$A$5),1,1)+1),"jjjjmmdd")</f>
        <v>19400828</v>
      </c>
      <c r="C974" s="18">
        <v>1</v>
      </c>
      <c r="D974" s="23">
        <f t="shared" ca="1" si="30"/>
        <v>0</v>
      </c>
      <c r="E974" s="24">
        <f t="shared" ca="1" si="31"/>
        <v>0</v>
      </c>
    </row>
    <row r="975" spans="1:5" x14ac:dyDescent="0.25">
      <c r="A975" s="17">
        <f ca="1">INDEX(Stations,INT((ROWS(A$2:A975)-1)/(DATE(YEAR(Invoer!$A$5),12,31)-DATE(YEAR(Invoer!$A$5),1,1)+1))+2,1)</f>
        <v>82</v>
      </c>
      <c r="B975" t="str">
        <f ca="1">TEXT(DATE(YEAR(Invoer!$A$5),1,1)+MOD(ROWS(B$2:B975)-1,DATE(YEAR(Invoer!$A$5),12,31)-DATE(YEAR(Invoer!$A$5),1,1)+1),"jjjjmmdd")</f>
        <v>19400829</v>
      </c>
      <c r="C975" s="18">
        <v>1</v>
      </c>
      <c r="D975" s="23">
        <f t="shared" ca="1" si="30"/>
        <v>0</v>
      </c>
      <c r="E975" s="24">
        <f t="shared" ca="1" si="31"/>
        <v>0</v>
      </c>
    </row>
    <row r="976" spans="1:5" x14ac:dyDescent="0.25">
      <c r="A976" s="17">
        <f ca="1">INDEX(Stations,INT((ROWS(A$2:A976)-1)/(DATE(YEAR(Invoer!$A$5),12,31)-DATE(YEAR(Invoer!$A$5),1,1)+1))+2,1)</f>
        <v>82</v>
      </c>
      <c r="B976" t="str">
        <f ca="1">TEXT(DATE(YEAR(Invoer!$A$5),1,1)+MOD(ROWS(B$2:B976)-1,DATE(YEAR(Invoer!$A$5),12,31)-DATE(YEAR(Invoer!$A$5),1,1)+1),"jjjjmmdd")</f>
        <v>19400830</v>
      </c>
      <c r="C976" s="18">
        <v>1</v>
      </c>
      <c r="D976" s="23">
        <f t="shared" ca="1" si="30"/>
        <v>0</v>
      </c>
      <c r="E976" s="24">
        <f t="shared" ca="1" si="31"/>
        <v>0</v>
      </c>
    </row>
    <row r="977" spans="1:5" x14ac:dyDescent="0.25">
      <c r="A977" s="17">
        <f ca="1">INDEX(Stations,INT((ROWS(A$2:A977)-1)/(DATE(YEAR(Invoer!$A$5),12,31)-DATE(YEAR(Invoer!$A$5),1,1)+1))+2,1)</f>
        <v>82</v>
      </c>
      <c r="B977" t="str">
        <f ca="1">TEXT(DATE(YEAR(Invoer!$A$5),1,1)+MOD(ROWS(B$2:B977)-1,DATE(YEAR(Invoer!$A$5),12,31)-DATE(YEAR(Invoer!$A$5),1,1)+1),"jjjjmmdd")</f>
        <v>19400831</v>
      </c>
      <c r="C977" s="18">
        <v>1</v>
      </c>
      <c r="D977" s="23">
        <f t="shared" ca="1" si="30"/>
        <v>280</v>
      </c>
      <c r="E977" s="24">
        <f t="shared" ca="1" si="31"/>
        <v>0</v>
      </c>
    </row>
    <row r="978" spans="1:5" x14ac:dyDescent="0.25">
      <c r="A978" s="17">
        <f ca="1">INDEX(Stations,INT((ROWS(A$2:A978)-1)/(DATE(YEAR(Invoer!$A$5),12,31)-DATE(YEAR(Invoer!$A$5),1,1)+1))+2,1)</f>
        <v>82</v>
      </c>
      <c r="B978" t="str">
        <f ca="1">TEXT(DATE(YEAR(Invoer!$A$5),1,1)+MOD(ROWS(B$2:B978)-1,DATE(YEAR(Invoer!$A$5),12,31)-DATE(YEAR(Invoer!$A$5),1,1)+1),"jjjjmmdd")</f>
        <v>19400901</v>
      </c>
      <c r="C978" s="18">
        <v>1</v>
      </c>
      <c r="D978" s="23">
        <f t="shared" ca="1" si="30"/>
        <v>75</v>
      </c>
      <c r="E978" s="24">
        <f t="shared" ca="1" si="31"/>
        <v>0</v>
      </c>
    </row>
    <row r="979" spans="1:5" x14ac:dyDescent="0.25">
      <c r="A979" s="17">
        <f ca="1">INDEX(Stations,INT((ROWS(A$2:A979)-1)/(DATE(YEAR(Invoer!$A$5),12,31)-DATE(YEAR(Invoer!$A$5),1,1)+1))+2,1)</f>
        <v>82</v>
      </c>
      <c r="B979" t="str">
        <f ca="1">TEXT(DATE(YEAR(Invoer!$A$5),1,1)+MOD(ROWS(B$2:B979)-1,DATE(YEAR(Invoer!$A$5),12,31)-DATE(YEAR(Invoer!$A$5),1,1)+1),"jjjjmmdd")</f>
        <v>19400902</v>
      </c>
      <c r="C979" s="18">
        <v>1</v>
      </c>
      <c r="D979" s="23">
        <f t="shared" ca="1" si="30"/>
        <v>0</v>
      </c>
      <c r="E979" s="24">
        <f t="shared" ca="1" si="31"/>
        <v>0</v>
      </c>
    </row>
    <row r="980" spans="1:5" x14ac:dyDescent="0.25">
      <c r="A980" s="17">
        <f ca="1">INDEX(Stations,INT((ROWS(A$2:A980)-1)/(DATE(YEAR(Invoer!$A$5),12,31)-DATE(YEAR(Invoer!$A$5),1,1)+1))+2,1)</f>
        <v>82</v>
      </c>
      <c r="B980" t="str">
        <f ca="1">TEXT(DATE(YEAR(Invoer!$A$5),1,1)+MOD(ROWS(B$2:B980)-1,DATE(YEAR(Invoer!$A$5),12,31)-DATE(YEAR(Invoer!$A$5),1,1)+1),"jjjjmmdd")</f>
        <v>19400903</v>
      </c>
      <c r="C980" s="18">
        <v>1</v>
      </c>
      <c r="D980" s="23">
        <f t="shared" ca="1" si="30"/>
        <v>0</v>
      </c>
      <c r="E980" s="24">
        <f t="shared" ca="1" si="31"/>
        <v>0</v>
      </c>
    </row>
    <row r="981" spans="1:5" x14ac:dyDescent="0.25">
      <c r="A981" s="17">
        <f ca="1">INDEX(Stations,INT((ROWS(A$2:A981)-1)/(DATE(YEAR(Invoer!$A$5),12,31)-DATE(YEAR(Invoer!$A$5),1,1)+1))+2,1)</f>
        <v>82</v>
      </c>
      <c r="B981" t="str">
        <f ca="1">TEXT(DATE(YEAR(Invoer!$A$5),1,1)+MOD(ROWS(B$2:B981)-1,DATE(YEAR(Invoer!$A$5),12,31)-DATE(YEAR(Invoer!$A$5),1,1)+1),"jjjjmmdd")</f>
        <v>19400904</v>
      </c>
      <c r="C981" s="18">
        <v>1</v>
      </c>
      <c r="D981" s="23">
        <f t="shared" ca="1" si="30"/>
        <v>80</v>
      </c>
      <c r="E981" s="24">
        <f t="shared" ca="1" si="31"/>
        <v>0</v>
      </c>
    </row>
    <row r="982" spans="1:5" x14ac:dyDescent="0.25">
      <c r="A982" s="17">
        <f ca="1">INDEX(Stations,INT((ROWS(A$2:A982)-1)/(DATE(YEAR(Invoer!$A$5),12,31)-DATE(YEAR(Invoer!$A$5),1,1)+1))+2,1)</f>
        <v>82</v>
      </c>
      <c r="B982" t="str">
        <f ca="1">TEXT(DATE(YEAR(Invoer!$A$5),1,1)+MOD(ROWS(B$2:B982)-1,DATE(YEAR(Invoer!$A$5),12,31)-DATE(YEAR(Invoer!$A$5),1,1)+1),"jjjjmmdd")</f>
        <v>19400905</v>
      </c>
      <c r="C982" s="18">
        <v>1</v>
      </c>
      <c r="D982" s="23">
        <f t="shared" ca="1" si="30"/>
        <v>75</v>
      </c>
      <c r="E982" s="24">
        <f t="shared" ca="1" si="31"/>
        <v>0</v>
      </c>
    </row>
    <row r="983" spans="1:5" x14ac:dyDescent="0.25">
      <c r="A983" s="17">
        <f ca="1">INDEX(Stations,INT((ROWS(A$2:A983)-1)/(DATE(YEAR(Invoer!$A$5),12,31)-DATE(YEAR(Invoer!$A$5),1,1)+1))+2,1)</f>
        <v>82</v>
      </c>
      <c r="B983" t="str">
        <f ca="1">TEXT(DATE(YEAR(Invoer!$A$5),1,1)+MOD(ROWS(B$2:B983)-1,DATE(YEAR(Invoer!$A$5),12,31)-DATE(YEAR(Invoer!$A$5),1,1)+1),"jjjjmmdd")</f>
        <v>19400906</v>
      </c>
      <c r="C983" s="18">
        <v>1</v>
      </c>
      <c r="D983" s="23">
        <f t="shared" ca="1" si="30"/>
        <v>120</v>
      </c>
      <c r="E983" s="24">
        <f t="shared" ca="1" si="31"/>
        <v>0</v>
      </c>
    </row>
    <row r="984" spans="1:5" x14ac:dyDescent="0.25">
      <c r="A984" s="17">
        <f ca="1">INDEX(Stations,INT((ROWS(A$2:A984)-1)/(DATE(YEAR(Invoer!$A$5),12,31)-DATE(YEAR(Invoer!$A$5),1,1)+1))+2,1)</f>
        <v>82</v>
      </c>
      <c r="B984" t="str">
        <f ca="1">TEXT(DATE(YEAR(Invoer!$A$5),1,1)+MOD(ROWS(B$2:B984)-1,DATE(YEAR(Invoer!$A$5),12,31)-DATE(YEAR(Invoer!$A$5),1,1)+1),"jjjjmmdd")</f>
        <v>19400907</v>
      </c>
      <c r="C984" s="18">
        <v>1</v>
      </c>
      <c r="D984" s="23">
        <f t="shared" ca="1" si="30"/>
        <v>0</v>
      </c>
      <c r="E984" s="24">
        <f t="shared" ca="1" si="31"/>
        <v>0</v>
      </c>
    </row>
    <row r="985" spans="1:5" x14ac:dyDescent="0.25">
      <c r="A985" s="17">
        <f ca="1">INDEX(Stations,INT((ROWS(A$2:A985)-1)/(DATE(YEAR(Invoer!$A$5),12,31)-DATE(YEAR(Invoer!$A$5),1,1)+1))+2,1)</f>
        <v>82</v>
      </c>
      <c r="B985" t="str">
        <f ca="1">TEXT(DATE(YEAR(Invoer!$A$5),1,1)+MOD(ROWS(B$2:B985)-1,DATE(YEAR(Invoer!$A$5),12,31)-DATE(YEAR(Invoer!$A$5),1,1)+1),"jjjjmmdd")</f>
        <v>19400908</v>
      </c>
      <c r="C985" s="18">
        <v>1</v>
      </c>
      <c r="D985" s="23">
        <f t="shared" ca="1" si="30"/>
        <v>0</v>
      </c>
      <c r="E985" s="24">
        <f t="shared" ca="1" si="31"/>
        <v>0</v>
      </c>
    </row>
    <row r="986" spans="1:5" x14ac:dyDescent="0.25">
      <c r="A986" s="17">
        <f ca="1">INDEX(Stations,INT((ROWS(A$2:A986)-1)/(DATE(YEAR(Invoer!$A$5),12,31)-DATE(YEAR(Invoer!$A$5),1,1)+1))+2,1)</f>
        <v>82</v>
      </c>
      <c r="B986" t="str">
        <f ca="1">TEXT(DATE(YEAR(Invoer!$A$5),1,1)+MOD(ROWS(B$2:B986)-1,DATE(YEAR(Invoer!$A$5),12,31)-DATE(YEAR(Invoer!$A$5),1,1)+1),"jjjjmmdd")</f>
        <v>19400909</v>
      </c>
      <c r="C986" s="18">
        <v>1</v>
      </c>
      <c r="D986" s="23">
        <f t="shared" ca="1" si="30"/>
        <v>0</v>
      </c>
      <c r="E986" s="24">
        <f t="shared" ca="1" si="31"/>
        <v>0</v>
      </c>
    </row>
    <row r="987" spans="1:5" x14ac:dyDescent="0.25">
      <c r="A987" s="17">
        <f ca="1">INDEX(Stations,INT((ROWS(A$2:A987)-1)/(DATE(YEAR(Invoer!$A$5),12,31)-DATE(YEAR(Invoer!$A$5),1,1)+1))+2,1)</f>
        <v>82</v>
      </c>
      <c r="B987" t="str">
        <f ca="1">TEXT(DATE(YEAR(Invoer!$A$5),1,1)+MOD(ROWS(B$2:B987)-1,DATE(YEAR(Invoer!$A$5),12,31)-DATE(YEAR(Invoer!$A$5),1,1)+1),"jjjjmmdd")</f>
        <v>19400910</v>
      </c>
      <c r="C987" s="18">
        <v>1</v>
      </c>
      <c r="D987" s="23">
        <f t="shared" ca="1" si="30"/>
        <v>0</v>
      </c>
      <c r="E987" s="24">
        <f t="shared" ca="1" si="31"/>
        <v>0</v>
      </c>
    </row>
    <row r="988" spans="1:5" x14ac:dyDescent="0.25">
      <c r="A988" s="17">
        <f ca="1">INDEX(Stations,INT((ROWS(A$2:A988)-1)/(DATE(YEAR(Invoer!$A$5),12,31)-DATE(YEAR(Invoer!$A$5),1,1)+1))+2,1)</f>
        <v>82</v>
      </c>
      <c r="B988" t="str">
        <f ca="1">TEXT(DATE(YEAR(Invoer!$A$5),1,1)+MOD(ROWS(B$2:B988)-1,DATE(YEAR(Invoer!$A$5),12,31)-DATE(YEAR(Invoer!$A$5),1,1)+1),"jjjjmmdd")</f>
        <v>19400911</v>
      </c>
      <c r="C988" s="18">
        <v>1</v>
      </c>
      <c r="D988" s="23">
        <f t="shared" ca="1" si="30"/>
        <v>0</v>
      </c>
      <c r="E988" s="24">
        <f t="shared" ca="1" si="31"/>
        <v>0</v>
      </c>
    </row>
    <row r="989" spans="1:5" x14ac:dyDescent="0.25">
      <c r="A989" s="17">
        <f ca="1">INDEX(Stations,INT((ROWS(A$2:A989)-1)/(DATE(YEAR(Invoer!$A$5),12,31)-DATE(YEAR(Invoer!$A$5),1,1)+1))+2,1)</f>
        <v>82</v>
      </c>
      <c r="B989" t="str">
        <f ca="1">TEXT(DATE(YEAR(Invoer!$A$5),1,1)+MOD(ROWS(B$2:B989)-1,DATE(YEAR(Invoer!$A$5),12,31)-DATE(YEAR(Invoer!$A$5),1,1)+1),"jjjjmmdd")</f>
        <v>19400912</v>
      </c>
      <c r="C989" s="18">
        <v>1</v>
      </c>
      <c r="D989" s="23">
        <f t="shared" ca="1" si="30"/>
        <v>0</v>
      </c>
      <c r="E989" s="24">
        <f t="shared" ca="1" si="31"/>
        <v>0</v>
      </c>
    </row>
    <row r="990" spans="1:5" x14ac:dyDescent="0.25">
      <c r="A990" s="17">
        <f ca="1">INDEX(Stations,INT((ROWS(A$2:A990)-1)/(DATE(YEAR(Invoer!$A$5),12,31)-DATE(YEAR(Invoer!$A$5),1,1)+1))+2,1)</f>
        <v>82</v>
      </c>
      <c r="B990" t="str">
        <f ca="1">TEXT(DATE(YEAR(Invoer!$A$5),1,1)+MOD(ROWS(B$2:B990)-1,DATE(YEAR(Invoer!$A$5),12,31)-DATE(YEAR(Invoer!$A$5),1,1)+1),"jjjjmmdd")</f>
        <v>19400913</v>
      </c>
      <c r="C990" s="18">
        <v>1</v>
      </c>
      <c r="D990" s="23">
        <f t="shared" ca="1" si="30"/>
        <v>0</v>
      </c>
      <c r="E990" s="24">
        <f t="shared" ca="1" si="31"/>
        <v>0</v>
      </c>
    </row>
    <row r="991" spans="1:5" x14ac:dyDescent="0.25">
      <c r="A991" s="17">
        <f ca="1">INDEX(Stations,INT((ROWS(A$2:A991)-1)/(DATE(YEAR(Invoer!$A$5),12,31)-DATE(YEAR(Invoer!$A$5),1,1)+1))+2,1)</f>
        <v>82</v>
      </c>
      <c r="B991" t="str">
        <f ca="1">TEXT(DATE(YEAR(Invoer!$A$5),1,1)+MOD(ROWS(B$2:B991)-1,DATE(YEAR(Invoer!$A$5),12,31)-DATE(YEAR(Invoer!$A$5),1,1)+1),"jjjjmmdd")</f>
        <v>19400914</v>
      </c>
      <c r="C991" s="18">
        <v>1</v>
      </c>
      <c r="D991" s="23">
        <f t="shared" ca="1" si="30"/>
        <v>0</v>
      </c>
      <c r="E991" s="24">
        <f t="shared" ca="1" si="31"/>
        <v>0</v>
      </c>
    </row>
    <row r="992" spans="1:5" x14ac:dyDescent="0.25">
      <c r="A992" s="17">
        <f ca="1">INDEX(Stations,INT((ROWS(A$2:A992)-1)/(DATE(YEAR(Invoer!$A$5),12,31)-DATE(YEAR(Invoer!$A$5),1,1)+1))+2,1)</f>
        <v>82</v>
      </c>
      <c r="B992" t="str">
        <f ca="1">TEXT(DATE(YEAR(Invoer!$A$5),1,1)+MOD(ROWS(B$2:B992)-1,DATE(YEAR(Invoer!$A$5),12,31)-DATE(YEAR(Invoer!$A$5),1,1)+1),"jjjjmmdd")</f>
        <v>19400915</v>
      </c>
      <c r="C992" s="18">
        <v>1</v>
      </c>
      <c r="D992" s="23">
        <f t="shared" ca="1" si="30"/>
        <v>0</v>
      </c>
      <c r="E992" s="24">
        <f t="shared" ca="1" si="31"/>
        <v>0</v>
      </c>
    </row>
    <row r="993" spans="1:5" x14ac:dyDescent="0.25">
      <c r="A993" s="17">
        <f ca="1">INDEX(Stations,INT((ROWS(A$2:A993)-1)/(DATE(YEAR(Invoer!$A$5),12,31)-DATE(YEAR(Invoer!$A$5),1,1)+1))+2,1)</f>
        <v>82</v>
      </c>
      <c r="B993" t="str">
        <f ca="1">TEXT(DATE(YEAR(Invoer!$A$5),1,1)+MOD(ROWS(B$2:B993)-1,DATE(YEAR(Invoer!$A$5),12,31)-DATE(YEAR(Invoer!$A$5),1,1)+1),"jjjjmmdd")</f>
        <v>19400916</v>
      </c>
      <c r="C993" s="18">
        <v>1</v>
      </c>
      <c r="D993" s="23">
        <f t="shared" ca="1" si="30"/>
        <v>0</v>
      </c>
      <c r="E993" s="24">
        <f t="shared" ca="1" si="31"/>
        <v>0</v>
      </c>
    </row>
    <row r="994" spans="1:5" x14ac:dyDescent="0.25">
      <c r="A994" s="17">
        <f ca="1">INDEX(Stations,INT((ROWS(A$2:A994)-1)/(DATE(YEAR(Invoer!$A$5),12,31)-DATE(YEAR(Invoer!$A$5),1,1)+1))+2,1)</f>
        <v>82</v>
      </c>
      <c r="B994" t="str">
        <f ca="1">TEXT(DATE(YEAR(Invoer!$A$5),1,1)+MOD(ROWS(B$2:B994)-1,DATE(YEAR(Invoer!$A$5),12,31)-DATE(YEAR(Invoer!$A$5),1,1)+1),"jjjjmmdd")</f>
        <v>19400917</v>
      </c>
      <c r="C994" s="18">
        <v>1</v>
      </c>
      <c r="D994" s="23">
        <f t="shared" ca="1" si="30"/>
        <v>360</v>
      </c>
      <c r="E994" s="24">
        <f t="shared" ca="1" si="31"/>
        <v>0</v>
      </c>
    </row>
    <row r="995" spans="1:5" x14ac:dyDescent="0.25">
      <c r="A995" s="17">
        <f ca="1">INDEX(Stations,INT((ROWS(A$2:A995)-1)/(DATE(YEAR(Invoer!$A$5),12,31)-DATE(YEAR(Invoer!$A$5),1,1)+1))+2,1)</f>
        <v>82</v>
      </c>
      <c r="B995" t="str">
        <f ca="1">TEXT(DATE(YEAR(Invoer!$A$5),1,1)+MOD(ROWS(B$2:B995)-1,DATE(YEAR(Invoer!$A$5),12,31)-DATE(YEAR(Invoer!$A$5),1,1)+1),"jjjjmmdd")</f>
        <v>19400918</v>
      </c>
      <c r="C995" s="18">
        <v>1</v>
      </c>
      <c r="D995" s="23">
        <f t="shared" ca="1" si="30"/>
        <v>280</v>
      </c>
      <c r="E995" s="24">
        <f t="shared" ca="1" si="31"/>
        <v>0</v>
      </c>
    </row>
    <row r="996" spans="1:5" x14ac:dyDescent="0.25">
      <c r="A996" s="17">
        <f ca="1">INDEX(Stations,INT((ROWS(A$2:A996)-1)/(DATE(YEAR(Invoer!$A$5),12,31)-DATE(YEAR(Invoer!$A$5),1,1)+1))+2,1)</f>
        <v>82</v>
      </c>
      <c r="B996" t="str">
        <f ca="1">TEXT(DATE(YEAR(Invoer!$A$5),1,1)+MOD(ROWS(B$2:B996)-1,DATE(YEAR(Invoer!$A$5),12,31)-DATE(YEAR(Invoer!$A$5),1,1)+1),"jjjjmmdd")</f>
        <v>19400919</v>
      </c>
      <c r="C996" s="18">
        <v>1</v>
      </c>
      <c r="D996" s="23">
        <f t="shared" ca="1" si="30"/>
        <v>0</v>
      </c>
      <c r="E996" s="24">
        <f t="shared" ca="1" si="31"/>
        <v>0</v>
      </c>
    </row>
    <row r="997" spans="1:5" x14ac:dyDescent="0.25">
      <c r="A997" s="17">
        <f ca="1">INDEX(Stations,INT((ROWS(A$2:A997)-1)/(DATE(YEAR(Invoer!$A$5),12,31)-DATE(YEAR(Invoer!$A$5),1,1)+1))+2,1)</f>
        <v>82</v>
      </c>
      <c r="B997" t="str">
        <f ca="1">TEXT(DATE(YEAR(Invoer!$A$5),1,1)+MOD(ROWS(B$2:B997)-1,DATE(YEAR(Invoer!$A$5),12,31)-DATE(YEAR(Invoer!$A$5),1,1)+1),"jjjjmmdd")</f>
        <v>19400920</v>
      </c>
      <c r="C997" s="18">
        <v>1</v>
      </c>
      <c r="D997" s="23">
        <f t="shared" ca="1" si="30"/>
        <v>0</v>
      </c>
      <c r="E997" s="24">
        <f t="shared" ca="1" si="31"/>
        <v>0</v>
      </c>
    </row>
    <row r="998" spans="1:5" x14ac:dyDescent="0.25">
      <c r="A998" s="17">
        <f ca="1">INDEX(Stations,INT((ROWS(A$2:A998)-1)/(DATE(YEAR(Invoer!$A$5),12,31)-DATE(YEAR(Invoer!$A$5),1,1)+1))+2,1)</f>
        <v>82</v>
      </c>
      <c r="B998" t="str">
        <f ca="1">TEXT(DATE(YEAR(Invoer!$A$5),1,1)+MOD(ROWS(B$2:B998)-1,DATE(YEAR(Invoer!$A$5),12,31)-DATE(YEAR(Invoer!$A$5),1,1)+1),"jjjjmmdd")</f>
        <v>19400921</v>
      </c>
      <c r="C998" s="18">
        <v>1</v>
      </c>
      <c r="D998" s="23">
        <f t="shared" ca="1" si="30"/>
        <v>135</v>
      </c>
      <c r="E998" s="24">
        <f t="shared" ca="1" si="31"/>
        <v>0</v>
      </c>
    </row>
    <row r="999" spans="1:5" x14ac:dyDescent="0.25">
      <c r="A999" s="17">
        <f ca="1">INDEX(Stations,INT((ROWS(A$2:A999)-1)/(DATE(YEAR(Invoer!$A$5),12,31)-DATE(YEAR(Invoer!$A$5),1,1)+1))+2,1)</f>
        <v>82</v>
      </c>
      <c r="B999" t="str">
        <f ca="1">TEXT(DATE(YEAR(Invoer!$A$5),1,1)+MOD(ROWS(B$2:B999)-1,DATE(YEAR(Invoer!$A$5),12,31)-DATE(YEAR(Invoer!$A$5),1,1)+1),"jjjjmmdd")</f>
        <v>19400922</v>
      </c>
      <c r="C999" s="18">
        <v>1</v>
      </c>
      <c r="D999" s="23">
        <f t="shared" ca="1" si="30"/>
        <v>0</v>
      </c>
      <c r="E999" s="24">
        <f t="shared" ca="1" si="31"/>
        <v>0</v>
      </c>
    </row>
    <row r="1000" spans="1:5" x14ac:dyDescent="0.25">
      <c r="A1000" s="17">
        <f ca="1">INDEX(Stations,INT((ROWS(A$2:A1000)-1)/(DATE(YEAR(Invoer!$A$5),12,31)-DATE(YEAR(Invoer!$A$5),1,1)+1))+2,1)</f>
        <v>82</v>
      </c>
      <c r="B1000" t="str">
        <f ca="1">TEXT(DATE(YEAR(Invoer!$A$5),1,1)+MOD(ROWS(B$2:B1000)-1,DATE(YEAR(Invoer!$A$5),12,31)-DATE(YEAR(Invoer!$A$5),1,1)+1),"jjjjmmdd")</f>
        <v>19400923</v>
      </c>
      <c r="C1000" s="18">
        <v>1</v>
      </c>
      <c r="D1000" s="23">
        <f t="shared" ca="1" si="30"/>
        <v>0</v>
      </c>
      <c r="E1000" s="24">
        <f t="shared" ca="1" si="31"/>
        <v>0</v>
      </c>
    </row>
    <row r="1001" spans="1:5" x14ac:dyDescent="0.25">
      <c r="A1001" s="17">
        <f ca="1">INDEX(Stations,INT((ROWS(A$2:A1001)-1)/(DATE(YEAR(Invoer!$A$5),12,31)-DATE(YEAR(Invoer!$A$5),1,1)+1))+2,1)</f>
        <v>82</v>
      </c>
      <c r="B1001" t="str">
        <f ca="1">TEXT(DATE(YEAR(Invoer!$A$5),1,1)+MOD(ROWS(B$2:B1001)-1,DATE(YEAR(Invoer!$A$5),12,31)-DATE(YEAR(Invoer!$A$5),1,1)+1),"jjjjmmdd")</f>
        <v>19400924</v>
      </c>
      <c r="C1001" s="18">
        <v>1</v>
      </c>
      <c r="D1001" s="23">
        <f t="shared" ca="1" si="30"/>
        <v>0</v>
      </c>
      <c r="E1001" s="24">
        <f t="shared" ca="1" si="31"/>
        <v>0</v>
      </c>
    </row>
    <row r="1002" spans="1:5" x14ac:dyDescent="0.25">
      <c r="A1002" s="17">
        <f ca="1">INDEX(Stations,INT((ROWS(A$2:A1002)-1)/(DATE(YEAR(Invoer!$A$5),12,31)-DATE(YEAR(Invoer!$A$5),1,1)+1))+2,1)</f>
        <v>82</v>
      </c>
      <c r="B1002" t="str">
        <f ca="1">TEXT(DATE(YEAR(Invoer!$A$5),1,1)+MOD(ROWS(B$2:B1002)-1,DATE(YEAR(Invoer!$A$5),12,31)-DATE(YEAR(Invoer!$A$5),1,1)+1),"jjjjmmdd")</f>
        <v>19400925</v>
      </c>
      <c r="C1002" s="18">
        <v>1</v>
      </c>
      <c r="D1002" s="23">
        <f t="shared" ca="1" si="30"/>
        <v>45</v>
      </c>
      <c r="E1002" s="24">
        <f t="shared" ca="1" si="31"/>
        <v>0</v>
      </c>
    </row>
    <row r="1003" spans="1:5" x14ac:dyDescent="0.25">
      <c r="A1003" s="17">
        <f ca="1">INDEX(Stations,INT((ROWS(A$2:A1003)-1)/(DATE(YEAR(Invoer!$A$5),12,31)-DATE(YEAR(Invoer!$A$5),1,1)+1))+2,1)</f>
        <v>82</v>
      </c>
      <c r="B1003" t="str">
        <f ca="1">TEXT(DATE(YEAR(Invoer!$A$5),1,1)+MOD(ROWS(B$2:B1003)-1,DATE(YEAR(Invoer!$A$5),12,31)-DATE(YEAR(Invoer!$A$5),1,1)+1),"jjjjmmdd")</f>
        <v>19400926</v>
      </c>
      <c r="C1003" s="18">
        <v>1</v>
      </c>
      <c r="D1003" s="23">
        <f t="shared" ca="1" si="30"/>
        <v>0</v>
      </c>
      <c r="E1003" s="24">
        <f t="shared" ca="1" si="31"/>
        <v>0</v>
      </c>
    </row>
    <row r="1004" spans="1:5" x14ac:dyDescent="0.25">
      <c r="A1004" s="17">
        <f ca="1">INDEX(Stations,INT((ROWS(A$2:A1004)-1)/(DATE(YEAR(Invoer!$A$5),12,31)-DATE(YEAR(Invoer!$A$5),1,1)+1))+2,1)</f>
        <v>82</v>
      </c>
      <c r="B1004" t="str">
        <f ca="1">TEXT(DATE(YEAR(Invoer!$A$5),1,1)+MOD(ROWS(B$2:B1004)-1,DATE(YEAR(Invoer!$A$5),12,31)-DATE(YEAR(Invoer!$A$5),1,1)+1),"jjjjmmdd")</f>
        <v>19400927</v>
      </c>
      <c r="C1004" s="18">
        <v>1</v>
      </c>
      <c r="D1004" s="23">
        <f t="shared" ca="1" si="30"/>
        <v>0</v>
      </c>
      <c r="E1004" s="24">
        <f t="shared" ca="1" si="31"/>
        <v>0</v>
      </c>
    </row>
    <row r="1005" spans="1:5" x14ac:dyDescent="0.25">
      <c r="A1005" s="17">
        <f ca="1">INDEX(Stations,INT((ROWS(A$2:A1005)-1)/(DATE(YEAR(Invoer!$A$5),12,31)-DATE(YEAR(Invoer!$A$5),1,1)+1))+2,1)</f>
        <v>82</v>
      </c>
      <c r="B1005" t="str">
        <f ca="1">TEXT(DATE(YEAR(Invoer!$A$5),1,1)+MOD(ROWS(B$2:B1005)-1,DATE(YEAR(Invoer!$A$5),12,31)-DATE(YEAR(Invoer!$A$5),1,1)+1),"jjjjmmdd")</f>
        <v>19400928</v>
      </c>
      <c r="C1005" s="18">
        <v>1</v>
      </c>
      <c r="D1005" s="23">
        <f t="shared" ca="1" si="30"/>
        <v>0</v>
      </c>
      <c r="E1005" s="24">
        <f t="shared" ca="1" si="31"/>
        <v>0</v>
      </c>
    </row>
    <row r="1006" spans="1:5" x14ac:dyDescent="0.25">
      <c r="A1006" s="17">
        <f ca="1">INDEX(Stations,INT((ROWS(A$2:A1006)-1)/(DATE(YEAR(Invoer!$A$5),12,31)-DATE(YEAR(Invoer!$A$5),1,1)+1))+2,1)</f>
        <v>82</v>
      </c>
      <c r="B1006" t="str">
        <f ca="1">TEXT(DATE(YEAR(Invoer!$A$5),1,1)+MOD(ROWS(B$2:B1006)-1,DATE(YEAR(Invoer!$A$5),12,31)-DATE(YEAR(Invoer!$A$5),1,1)+1),"jjjjmmdd")</f>
        <v>19400929</v>
      </c>
      <c r="C1006" s="18">
        <v>1</v>
      </c>
      <c r="D1006" s="23">
        <f t="shared" ca="1" si="30"/>
        <v>370</v>
      </c>
      <c r="E1006" s="24">
        <f t="shared" ca="1" si="31"/>
        <v>0</v>
      </c>
    </row>
    <row r="1007" spans="1:5" x14ac:dyDescent="0.25">
      <c r="A1007" s="17">
        <f ca="1">INDEX(Stations,INT((ROWS(A$2:A1007)-1)/(DATE(YEAR(Invoer!$A$5),12,31)-DATE(YEAR(Invoer!$A$5),1,1)+1))+2,1)</f>
        <v>82</v>
      </c>
      <c r="B1007" t="str">
        <f ca="1">TEXT(DATE(YEAR(Invoer!$A$5),1,1)+MOD(ROWS(B$2:B1007)-1,DATE(YEAR(Invoer!$A$5),12,31)-DATE(YEAR(Invoer!$A$5),1,1)+1),"jjjjmmdd")</f>
        <v>19400930</v>
      </c>
      <c r="C1007" s="18">
        <v>1</v>
      </c>
      <c r="D1007" s="23">
        <f t="shared" ca="1" si="30"/>
        <v>0</v>
      </c>
      <c r="E1007" s="24">
        <f t="shared" ca="1" si="31"/>
        <v>0</v>
      </c>
    </row>
    <row r="1008" spans="1:5" x14ac:dyDescent="0.25">
      <c r="A1008" s="17">
        <f ca="1">INDEX(Stations,INT((ROWS(A$2:A1008)-1)/(DATE(YEAR(Invoer!$A$5),12,31)-DATE(YEAR(Invoer!$A$5),1,1)+1))+2,1)</f>
        <v>82</v>
      </c>
      <c r="B1008" t="str">
        <f ca="1">TEXT(DATE(YEAR(Invoer!$A$5),1,1)+MOD(ROWS(B$2:B1008)-1,DATE(YEAR(Invoer!$A$5),12,31)-DATE(YEAR(Invoer!$A$5),1,1)+1),"jjjjmmdd")</f>
        <v>19401001</v>
      </c>
      <c r="C1008" s="18">
        <v>1</v>
      </c>
      <c r="D1008" s="23">
        <f t="shared" ca="1" si="30"/>
        <v>0</v>
      </c>
      <c r="E1008" s="24">
        <f t="shared" ca="1" si="31"/>
        <v>0</v>
      </c>
    </row>
    <row r="1009" spans="1:5" x14ac:dyDescent="0.25">
      <c r="A1009" s="17">
        <f ca="1">INDEX(Stations,INT((ROWS(A$2:A1009)-1)/(DATE(YEAR(Invoer!$A$5),12,31)-DATE(YEAR(Invoer!$A$5),1,1)+1))+2,1)</f>
        <v>82</v>
      </c>
      <c r="B1009" t="str">
        <f ca="1">TEXT(DATE(YEAR(Invoer!$A$5),1,1)+MOD(ROWS(B$2:B1009)-1,DATE(YEAR(Invoer!$A$5),12,31)-DATE(YEAR(Invoer!$A$5),1,1)+1),"jjjjmmdd")</f>
        <v>19401002</v>
      </c>
      <c r="C1009" s="18">
        <v>1</v>
      </c>
      <c r="D1009" s="23">
        <f t="shared" ca="1" si="30"/>
        <v>40</v>
      </c>
      <c r="E1009" s="24">
        <f t="shared" ca="1" si="31"/>
        <v>0</v>
      </c>
    </row>
    <row r="1010" spans="1:5" x14ac:dyDescent="0.25">
      <c r="A1010" s="17">
        <f ca="1">INDEX(Stations,INT((ROWS(A$2:A1010)-1)/(DATE(YEAR(Invoer!$A$5),12,31)-DATE(YEAR(Invoer!$A$5),1,1)+1))+2,1)</f>
        <v>82</v>
      </c>
      <c r="B1010" t="str">
        <f ca="1">TEXT(DATE(YEAR(Invoer!$A$5),1,1)+MOD(ROWS(B$2:B1010)-1,DATE(YEAR(Invoer!$A$5),12,31)-DATE(YEAR(Invoer!$A$5),1,1)+1),"jjjjmmdd")</f>
        <v>19401003</v>
      </c>
      <c r="C1010" s="18">
        <v>1</v>
      </c>
      <c r="D1010" s="23">
        <f t="shared" ca="1" si="30"/>
        <v>0</v>
      </c>
      <c r="E1010" s="24">
        <f t="shared" ca="1" si="31"/>
        <v>0</v>
      </c>
    </row>
    <row r="1011" spans="1:5" x14ac:dyDescent="0.25">
      <c r="A1011" s="17">
        <f ca="1">INDEX(Stations,INT((ROWS(A$2:A1011)-1)/(DATE(YEAR(Invoer!$A$5),12,31)-DATE(YEAR(Invoer!$A$5),1,1)+1))+2,1)</f>
        <v>82</v>
      </c>
      <c r="B1011" t="str">
        <f ca="1">TEXT(DATE(YEAR(Invoer!$A$5),1,1)+MOD(ROWS(B$2:B1011)-1,DATE(YEAR(Invoer!$A$5),12,31)-DATE(YEAR(Invoer!$A$5),1,1)+1),"jjjjmmdd")</f>
        <v>19401004</v>
      </c>
      <c r="C1011" s="18">
        <v>1</v>
      </c>
      <c r="D1011" s="23">
        <f t="shared" ca="1" si="30"/>
        <v>0</v>
      </c>
      <c r="E1011" s="24">
        <f t="shared" ca="1" si="31"/>
        <v>0</v>
      </c>
    </row>
    <row r="1012" spans="1:5" x14ac:dyDescent="0.25">
      <c r="A1012" s="17">
        <f ca="1">INDEX(Stations,INT((ROWS(A$2:A1012)-1)/(DATE(YEAR(Invoer!$A$5),12,31)-DATE(YEAR(Invoer!$A$5),1,1)+1))+2,1)</f>
        <v>82</v>
      </c>
      <c r="B1012" t="str">
        <f ca="1">TEXT(DATE(YEAR(Invoer!$A$5),1,1)+MOD(ROWS(B$2:B1012)-1,DATE(YEAR(Invoer!$A$5),12,31)-DATE(YEAR(Invoer!$A$5),1,1)+1),"jjjjmmdd")</f>
        <v>19401005</v>
      </c>
      <c r="C1012" s="18">
        <v>1</v>
      </c>
      <c r="D1012" s="23">
        <f t="shared" ca="1" si="30"/>
        <v>0</v>
      </c>
      <c r="E1012" s="24">
        <f t="shared" ca="1" si="31"/>
        <v>0</v>
      </c>
    </row>
    <row r="1013" spans="1:5" x14ac:dyDescent="0.25">
      <c r="A1013" s="17">
        <f ca="1">INDEX(Stations,INT((ROWS(A$2:A1013)-1)/(DATE(YEAR(Invoer!$A$5),12,31)-DATE(YEAR(Invoer!$A$5),1,1)+1))+2,1)</f>
        <v>82</v>
      </c>
      <c r="B1013" t="str">
        <f ca="1">TEXT(DATE(YEAR(Invoer!$A$5),1,1)+MOD(ROWS(B$2:B1013)-1,DATE(YEAR(Invoer!$A$5),12,31)-DATE(YEAR(Invoer!$A$5),1,1)+1),"jjjjmmdd")</f>
        <v>19401006</v>
      </c>
      <c r="C1013" s="18">
        <v>1</v>
      </c>
      <c r="D1013" s="23">
        <f t="shared" ca="1" si="30"/>
        <v>0</v>
      </c>
      <c r="E1013" s="24">
        <f t="shared" ca="1" si="31"/>
        <v>0</v>
      </c>
    </row>
    <row r="1014" spans="1:5" x14ac:dyDescent="0.25">
      <c r="A1014" s="17">
        <f ca="1">INDEX(Stations,INT((ROWS(A$2:A1014)-1)/(DATE(YEAR(Invoer!$A$5),12,31)-DATE(YEAR(Invoer!$A$5),1,1)+1))+2,1)</f>
        <v>82</v>
      </c>
      <c r="B1014" t="str">
        <f ca="1">TEXT(DATE(YEAR(Invoer!$A$5),1,1)+MOD(ROWS(B$2:B1014)-1,DATE(YEAR(Invoer!$A$5),12,31)-DATE(YEAR(Invoer!$A$5),1,1)+1),"jjjjmmdd")</f>
        <v>19401007</v>
      </c>
      <c r="C1014" s="18">
        <v>1</v>
      </c>
      <c r="D1014" s="23">
        <f t="shared" ca="1" si="30"/>
        <v>0</v>
      </c>
      <c r="E1014" s="24">
        <f t="shared" ca="1" si="31"/>
        <v>0</v>
      </c>
    </row>
    <row r="1015" spans="1:5" x14ac:dyDescent="0.25">
      <c r="A1015" s="17">
        <f ca="1">INDEX(Stations,INT((ROWS(A$2:A1015)-1)/(DATE(YEAR(Invoer!$A$5),12,31)-DATE(YEAR(Invoer!$A$5),1,1)+1))+2,1)</f>
        <v>82</v>
      </c>
      <c r="B1015" t="str">
        <f ca="1">TEXT(DATE(YEAR(Invoer!$A$5),1,1)+MOD(ROWS(B$2:B1015)-1,DATE(YEAR(Invoer!$A$5),12,31)-DATE(YEAR(Invoer!$A$5),1,1)+1),"jjjjmmdd")</f>
        <v>19401008</v>
      </c>
      <c r="C1015" s="18">
        <v>1</v>
      </c>
      <c r="D1015" s="23">
        <f t="shared" ca="1" si="30"/>
        <v>0</v>
      </c>
      <c r="E1015" s="24">
        <f t="shared" ca="1" si="31"/>
        <v>0</v>
      </c>
    </row>
    <row r="1016" spans="1:5" x14ac:dyDescent="0.25">
      <c r="A1016" s="17">
        <f ca="1">INDEX(Stations,INT((ROWS(A$2:A1016)-1)/(DATE(YEAR(Invoer!$A$5),12,31)-DATE(YEAR(Invoer!$A$5),1,1)+1))+2,1)</f>
        <v>82</v>
      </c>
      <c r="B1016" t="str">
        <f ca="1">TEXT(DATE(YEAR(Invoer!$A$5),1,1)+MOD(ROWS(B$2:B1016)-1,DATE(YEAR(Invoer!$A$5),12,31)-DATE(YEAR(Invoer!$A$5),1,1)+1),"jjjjmmdd")</f>
        <v>19401009</v>
      </c>
      <c r="C1016" s="18">
        <v>1</v>
      </c>
      <c r="D1016" s="23">
        <f t="shared" ca="1" si="30"/>
        <v>0</v>
      </c>
      <c r="E1016" s="24">
        <f t="shared" ca="1" si="31"/>
        <v>0</v>
      </c>
    </row>
    <row r="1017" spans="1:5" x14ac:dyDescent="0.25">
      <c r="A1017" s="17">
        <f ca="1">INDEX(Stations,INT((ROWS(A$2:A1017)-1)/(DATE(YEAR(Invoer!$A$5),12,31)-DATE(YEAR(Invoer!$A$5),1,1)+1))+2,1)</f>
        <v>82</v>
      </c>
      <c r="B1017" t="str">
        <f ca="1">TEXT(DATE(YEAR(Invoer!$A$5),1,1)+MOD(ROWS(B$2:B1017)-1,DATE(YEAR(Invoer!$A$5),12,31)-DATE(YEAR(Invoer!$A$5),1,1)+1),"jjjjmmdd")</f>
        <v>19401010</v>
      </c>
      <c r="C1017" s="18">
        <v>1</v>
      </c>
      <c r="D1017" s="23">
        <f t="shared" ca="1" si="30"/>
        <v>0</v>
      </c>
      <c r="E1017" s="24">
        <f t="shared" ca="1" si="31"/>
        <v>0</v>
      </c>
    </row>
    <row r="1018" spans="1:5" x14ac:dyDescent="0.25">
      <c r="A1018" s="17">
        <f ca="1">INDEX(Stations,INT((ROWS(A$2:A1018)-1)/(DATE(YEAR(Invoer!$A$5),12,31)-DATE(YEAR(Invoer!$A$5),1,1)+1))+2,1)</f>
        <v>82</v>
      </c>
      <c r="B1018" t="str">
        <f ca="1">TEXT(DATE(YEAR(Invoer!$A$5),1,1)+MOD(ROWS(B$2:B1018)-1,DATE(YEAR(Invoer!$A$5),12,31)-DATE(YEAR(Invoer!$A$5),1,1)+1),"jjjjmmdd")</f>
        <v>19401011</v>
      </c>
      <c r="C1018" s="18">
        <v>1</v>
      </c>
      <c r="D1018" s="23">
        <f t="shared" ca="1" si="30"/>
        <v>0</v>
      </c>
      <c r="E1018" s="24">
        <f t="shared" ca="1" si="31"/>
        <v>0</v>
      </c>
    </row>
    <row r="1019" spans="1:5" x14ac:dyDescent="0.25">
      <c r="A1019" s="17">
        <f ca="1">INDEX(Stations,INT((ROWS(A$2:A1019)-1)/(DATE(YEAR(Invoer!$A$5),12,31)-DATE(YEAR(Invoer!$A$5),1,1)+1))+2,1)</f>
        <v>82</v>
      </c>
      <c r="B1019" t="str">
        <f ca="1">TEXT(DATE(YEAR(Invoer!$A$5),1,1)+MOD(ROWS(B$2:B1019)-1,DATE(YEAR(Invoer!$A$5),12,31)-DATE(YEAR(Invoer!$A$5),1,1)+1),"jjjjmmdd")</f>
        <v>19401012</v>
      </c>
      <c r="C1019" s="18">
        <v>1</v>
      </c>
      <c r="D1019" s="23">
        <f t="shared" ca="1" si="30"/>
        <v>20</v>
      </c>
      <c r="E1019" s="24">
        <f t="shared" ca="1" si="31"/>
        <v>0</v>
      </c>
    </row>
    <row r="1020" spans="1:5" x14ac:dyDescent="0.25">
      <c r="A1020" s="17">
        <f ca="1">INDEX(Stations,INT((ROWS(A$2:A1020)-1)/(DATE(YEAR(Invoer!$A$5),12,31)-DATE(YEAR(Invoer!$A$5),1,1)+1))+2,1)</f>
        <v>82</v>
      </c>
      <c r="B1020" t="str">
        <f ca="1">TEXT(DATE(YEAR(Invoer!$A$5),1,1)+MOD(ROWS(B$2:B1020)-1,DATE(YEAR(Invoer!$A$5),12,31)-DATE(YEAR(Invoer!$A$5),1,1)+1),"jjjjmmdd")</f>
        <v>19401013</v>
      </c>
      <c r="C1020" s="18">
        <v>1</v>
      </c>
      <c r="D1020" s="23">
        <f t="shared" ca="1" si="30"/>
        <v>475</v>
      </c>
      <c r="E1020" s="24">
        <f t="shared" ca="1" si="31"/>
        <v>0</v>
      </c>
    </row>
    <row r="1021" spans="1:5" x14ac:dyDescent="0.25">
      <c r="A1021" s="17">
        <f ca="1">INDEX(Stations,INT((ROWS(A$2:A1021)-1)/(DATE(YEAR(Invoer!$A$5),12,31)-DATE(YEAR(Invoer!$A$5),1,1)+1))+2,1)</f>
        <v>82</v>
      </c>
      <c r="B1021" t="str">
        <f ca="1">TEXT(DATE(YEAR(Invoer!$A$5),1,1)+MOD(ROWS(B$2:B1021)-1,DATE(YEAR(Invoer!$A$5),12,31)-DATE(YEAR(Invoer!$A$5),1,1)+1),"jjjjmmdd")</f>
        <v>19401014</v>
      </c>
      <c r="C1021" s="18">
        <v>1</v>
      </c>
      <c r="D1021" s="23">
        <f t="shared" ca="1" si="30"/>
        <v>110</v>
      </c>
      <c r="E1021" s="24">
        <f t="shared" ca="1" si="31"/>
        <v>0</v>
      </c>
    </row>
    <row r="1022" spans="1:5" x14ac:dyDescent="0.25">
      <c r="A1022" s="17">
        <f ca="1">INDEX(Stations,INT((ROWS(A$2:A1022)-1)/(DATE(YEAR(Invoer!$A$5),12,31)-DATE(YEAR(Invoer!$A$5),1,1)+1))+2,1)</f>
        <v>82</v>
      </c>
      <c r="B1022" t="str">
        <f ca="1">TEXT(DATE(YEAR(Invoer!$A$5),1,1)+MOD(ROWS(B$2:B1022)-1,DATE(YEAR(Invoer!$A$5),12,31)-DATE(YEAR(Invoer!$A$5),1,1)+1),"jjjjmmdd")</f>
        <v>19401015</v>
      </c>
      <c r="C1022" s="18">
        <v>1</v>
      </c>
      <c r="D1022" s="23">
        <f t="shared" ca="1" si="30"/>
        <v>185</v>
      </c>
      <c r="E1022" s="24">
        <f t="shared" ca="1" si="31"/>
        <v>0</v>
      </c>
    </row>
    <row r="1023" spans="1:5" x14ac:dyDescent="0.25">
      <c r="A1023" s="17">
        <f ca="1">INDEX(Stations,INT((ROWS(A$2:A1023)-1)/(DATE(YEAR(Invoer!$A$5),12,31)-DATE(YEAR(Invoer!$A$5),1,1)+1))+2,1)</f>
        <v>82</v>
      </c>
      <c r="B1023" t="str">
        <f ca="1">TEXT(DATE(YEAR(Invoer!$A$5),1,1)+MOD(ROWS(B$2:B1023)-1,DATE(YEAR(Invoer!$A$5),12,31)-DATE(YEAR(Invoer!$A$5),1,1)+1),"jjjjmmdd")</f>
        <v>19401016</v>
      </c>
      <c r="C1023" s="18">
        <v>1</v>
      </c>
      <c r="D1023" s="23">
        <f t="shared" ca="1" si="30"/>
        <v>0</v>
      </c>
      <c r="E1023" s="24">
        <f t="shared" ca="1" si="31"/>
        <v>0</v>
      </c>
    </row>
    <row r="1024" spans="1:5" x14ac:dyDescent="0.25">
      <c r="A1024" s="17">
        <f ca="1">INDEX(Stations,INT((ROWS(A$2:A1024)-1)/(DATE(YEAR(Invoer!$A$5),12,31)-DATE(YEAR(Invoer!$A$5),1,1)+1))+2,1)</f>
        <v>82</v>
      </c>
      <c r="B1024" t="str">
        <f ca="1">TEXT(DATE(YEAR(Invoer!$A$5),1,1)+MOD(ROWS(B$2:B1024)-1,DATE(YEAR(Invoer!$A$5),12,31)-DATE(YEAR(Invoer!$A$5),1,1)+1),"jjjjmmdd")</f>
        <v>19401017</v>
      </c>
      <c r="C1024" s="18">
        <v>1</v>
      </c>
      <c r="D1024" s="23">
        <f t="shared" ca="1" si="30"/>
        <v>170</v>
      </c>
      <c r="E1024" s="24">
        <f t="shared" ca="1" si="31"/>
        <v>0</v>
      </c>
    </row>
    <row r="1025" spans="1:5" x14ac:dyDescent="0.25">
      <c r="A1025" s="17">
        <f ca="1">INDEX(Stations,INT((ROWS(A$2:A1025)-1)/(DATE(YEAR(Invoer!$A$5),12,31)-DATE(YEAR(Invoer!$A$5),1,1)+1))+2,1)</f>
        <v>82</v>
      </c>
      <c r="B1025" t="str">
        <f ca="1">TEXT(DATE(YEAR(Invoer!$A$5),1,1)+MOD(ROWS(B$2:B1025)-1,DATE(YEAR(Invoer!$A$5),12,31)-DATE(YEAR(Invoer!$A$5),1,1)+1),"jjjjmmdd")</f>
        <v>19401018</v>
      </c>
      <c r="C1025" s="18">
        <v>1</v>
      </c>
      <c r="D1025" s="23">
        <f t="shared" ca="1" si="30"/>
        <v>0</v>
      </c>
      <c r="E1025" s="24">
        <f t="shared" ca="1" si="31"/>
        <v>0</v>
      </c>
    </row>
    <row r="1026" spans="1:5" x14ac:dyDescent="0.25">
      <c r="A1026" s="17">
        <f ca="1">INDEX(Stations,INT((ROWS(A$2:A1026)-1)/(DATE(YEAR(Invoer!$A$5),12,31)-DATE(YEAR(Invoer!$A$5),1,1)+1))+2,1)</f>
        <v>82</v>
      </c>
      <c r="B1026" t="str">
        <f ca="1">TEXT(DATE(YEAR(Invoer!$A$5),1,1)+MOD(ROWS(B$2:B1026)-1,DATE(YEAR(Invoer!$A$5),12,31)-DATE(YEAR(Invoer!$A$5),1,1)+1),"jjjjmmdd")</f>
        <v>19401019</v>
      </c>
      <c r="C1026" s="18">
        <v>1</v>
      </c>
      <c r="D1026" s="23">
        <f t="shared" ref="D1026:D1089" ca="1" si="32">IF(OR(ISBLANK(VLOOKUP(DATEVALUE(LEFT(B1026,4)&amp;"-"&amp;MID(B1026,5,2)&amp;"-"&amp;RIGHT(B1026,2)),Data,MATCH(VLOOKUP(A1026,Stations,2,FALSE()),OFFSET(Data,1,0,1),0),FALSE())),ISTEXT(VLOOKUP(DATEVALUE(LEFT(B1026,4)&amp;"-"&amp;MID(B1026,5,2)&amp;"-"&amp;RIGHT(B1026,2)),Data,MATCH(VLOOKUP(A1026,Stations,2,FALSE()),OFFSET(Data,1,0,1),0),FALSE()))),"—",VLOOKUP(DATEVALUE(LEFT(B1026,4)&amp;"-"&amp;MID(B1026,5,2)&amp;"-"&amp;RIGHT(B1026,2)),Data,MATCH(VLOOKUP(A1026,Stations,2,FALSE()),OFFSET(Data,1,0,1),0),FALSE()))</f>
        <v>20</v>
      </c>
      <c r="E1026" s="24">
        <f t="shared" ref="E1026:E1089" ca="1" si="33">IF(OR(ISBLANK(VLOOKUP(DATEVALUE(LEFT(B1026,4)&amp;"-"&amp;MID(B1026,5,2)&amp;"-"&amp;RIGHT(B1026,2)),Data,MATCH(VLOOKUP(A1026,Stations,2,FALSE()),OFFSET(Data,1,0,1),0),FALSE())),ISTEXT(VLOOKUP(DATEVALUE(LEFT(B1026,4)&amp;"-"&amp;MID(B1026,5,2)&amp;"-"&amp;RIGHT(B1026,2)),Data,MATCH(VLOOKUP(A1026,Stations,2,FALSE()),OFFSET(Data,1,0,1),0),FALSE()))),Lacking,IF(ISNA(MATCH(DATEVALUE(LEFT(B1026,4)&amp;"-"&amp;MID(B1026,5,2)&amp;"-"&amp;RIGHT(B1026,2)),OFFSET(Catalogus,0,0,,1),0)),Ok,VLOOKUP(DATEVALUE(LEFT(B1026,4)&amp;"-"&amp;MID(B1026,5,2)&amp;"-"&amp;RIGHT(B1026,2)),Catalogus,MATCH(VLOOKUP(A1026,Stations,2,FALSE()),OFFSET(Catalogus,1,0,1),0),FALSE())))</f>
        <v>0</v>
      </c>
    </row>
    <row r="1027" spans="1:5" x14ac:dyDescent="0.25">
      <c r="A1027" s="17">
        <f ca="1">INDEX(Stations,INT((ROWS(A$2:A1027)-1)/(DATE(YEAR(Invoer!$A$5),12,31)-DATE(YEAR(Invoer!$A$5),1,1)+1))+2,1)</f>
        <v>82</v>
      </c>
      <c r="B1027" t="str">
        <f ca="1">TEXT(DATE(YEAR(Invoer!$A$5),1,1)+MOD(ROWS(B$2:B1027)-1,DATE(YEAR(Invoer!$A$5),12,31)-DATE(YEAR(Invoer!$A$5),1,1)+1),"jjjjmmdd")</f>
        <v>19401020</v>
      </c>
      <c r="C1027" s="18">
        <v>1</v>
      </c>
      <c r="D1027" s="23">
        <f t="shared" ca="1" si="32"/>
        <v>0</v>
      </c>
      <c r="E1027" s="24">
        <f t="shared" ca="1" si="33"/>
        <v>0</v>
      </c>
    </row>
    <row r="1028" spans="1:5" x14ac:dyDescent="0.25">
      <c r="A1028" s="17">
        <f ca="1">INDEX(Stations,INT((ROWS(A$2:A1028)-1)/(DATE(YEAR(Invoer!$A$5),12,31)-DATE(YEAR(Invoer!$A$5),1,1)+1))+2,1)</f>
        <v>82</v>
      </c>
      <c r="B1028" t="str">
        <f ca="1">TEXT(DATE(YEAR(Invoer!$A$5),1,1)+MOD(ROWS(B$2:B1028)-1,DATE(YEAR(Invoer!$A$5),12,31)-DATE(YEAR(Invoer!$A$5),1,1)+1),"jjjjmmdd")</f>
        <v>19401021</v>
      </c>
      <c r="C1028" s="18">
        <v>1</v>
      </c>
      <c r="D1028" s="23">
        <f t="shared" ca="1" si="32"/>
        <v>15</v>
      </c>
      <c r="E1028" s="24">
        <f t="shared" ca="1" si="33"/>
        <v>0</v>
      </c>
    </row>
    <row r="1029" spans="1:5" x14ac:dyDescent="0.25">
      <c r="A1029" s="17">
        <f ca="1">INDEX(Stations,INT((ROWS(A$2:A1029)-1)/(DATE(YEAR(Invoer!$A$5),12,31)-DATE(YEAR(Invoer!$A$5),1,1)+1))+2,1)</f>
        <v>82</v>
      </c>
      <c r="B1029" t="str">
        <f ca="1">TEXT(DATE(YEAR(Invoer!$A$5),1,1)+MOD(ROWS(B$2:B1029)-1,DATE(YEAR(Invoer!$A$5),12,31)-DATE(YEAR(Invoer!$A$5),1,1)+1),"jjjjmmdd")</f>
        <v>19401022</v>
      </c>
      <c r="C1029" s="18">
        <v>1</v>
      </c>
      <c r="D1029" s="23">
        <f t="shared" ca="1" si="32"/>
        <v>90</v>
      </c>
      <c r="E1029" s="24">
        <f t="shared" ca="1" si="33"/>
        <v>0</v>
      </c>
    </row>
    <row r="1030" spans="1:5" x14ac:dyDescent="0.25">
      <c r="A1030" s="17">
        <f ca="1">INDEX(Stations,INT((ROWS(A$2:A1030)-1)/(DATE(YEAR(Invoer!$A$5),12,31)-DATE(YEAR(Invoer!$A$5),1,1)+1))+2,1)</f>
        <v>82</v>
      </c>
      <c r="B1030" t="str">
        <f ca="1">TEXT(DATE(YEAR(Invoer!$A$5),1,1)+MOD(ROWS(B$2:B1030)-1,DATE(YEAR(Invoer!$A$5),12,31)-DATE(YEAR(Invoer!$A$5),1,1)+1),"jjjjmmdd")</f>
        <v>19401023</v>
      </c>
      <c r="C1030" s="18">
        <v>1</v>
      </c>
      <c r="D1030" s="23">
        <f t="shared" ca="1" si="32"/>
        <v>0</v>
      </c>
      <c r="E1030" s="24">
        <f t="shared" ca="1" si="33"/>
        <v>0</v>
      </c>
    </row>
    <row r="1031" spans="1:5" x14ac:dyDescent="0.25">
      <c r="A1031" s="17">
        <f ca="1">INDEX(Stations,INT((ROWS(A$2:A1031)-1)/(DATE(YEAR(Invoer!$A$5),12,31)-DATE(YEAR(Invoer!$A$5),1,1)+1))+2,1)</f>
        <v>82</v>
      </c>
      <c r="B1031" t="str">
        <f ca="1">TEXT(DATE(YEAR(Invoer!$A$5),1,1)+MOD(ROWS(B$2:B1031)-1,DATE(YEAR(Invoer!$A$5),12,31)-DATE(YEAR(Invoer!$A$5),1,1)+1),"jjjjmmdd")</f>
        <v>19401024</v>
      </c>
      <c r="C1031" s="18">
        <v>1</v>
      </c>
      <c r="D1031" s="23">
        <f t="shared" ca="1" si="32"/>
        <v>0</v>
      </c>
      <c r="E1031" s="24">
        <f t="shared" ca="1" si="33"/>
        <v>0</v>
      </c>
    </row>
    <row r="1032" spans="1:5" x14ac:dyDescent="0.25">
      <c r="A1032" s="17">
        <f ca="1">INDEX(Stations,INT((ROWS(A$2:A1032)-1)/(DATE(YEAR(Invoer!$A$5),12,31)-DATE(YEAR(Invoer!$A$5),1,1)+1))+2,1)</f>
        <v>82</v>
      </c>
      <c r="B1032" t="str">
        <f ca="1">TEXT(DATE(YEAR(Invoer!$A$5),1,1)+MOD(ROWS(B$2:B1032)-1,DATE(YEAR(Invoer!$A$5),12,31)-DATE(YEAR(Invoer!$A$5),1,1)+1),"jjjjmmdd")</f>
        <v>19401025</v>
      </c>
      <c r="C1032" s="18">
        <v>1</v>
      </c>
      <c r="D1032" s="23">
        <f t="shared" ca="1" si="32"/>
        <v>230</v>
      </c>
      <c r="E1032" s="24">
        <f t="shared" ca="1" si="33"/>
        <v>0</v>
      </c>
    </row>
    <row r="1033" spans="1:5" x14ac:dyDescent="0.25">
      <c r="A1033" s="17">
        <f ca="1">INDEX(Stations,INT((ROWS(A$2:A1033)-1)/(DATE(YEAR(Invoer!$A$5),12,31)-DATE(YEAR(Invoer!$A$5),1,1)+1))+2,1)</f>
        <v>82</v>
      </c>
      <c r="B1033" t="str">
        <f ca="1">TEXT(DATE(YEAR(Invoer!$A$5),1,1)+MOD(ROWS(B$2:B1033)-1,DATE(YEAR(Invoer!$A$5),12,31)-DATE(YEAR(Invoer!$A$5),1,1)+1),"jjjjmmdd")</f>
        <v>19401026</v>
      </c>
      <c r="C1033" s="18">
        <v>1</v>
      </c>
      <c r="D1033" s="23">
        <f t="shared" ca="1" si="32"/>
        <v>0</v>
      </c>
      <c r="E1033" s="24">
        <f t="shared" ca="1" si="33"/>
        <v>0</v>
      </c>
    </row>
    <row r="1034" spans="1:5" x14ac:dyDescent="0.25">
      <c r="A1034" s="17">
        <f ca="1">INDEX(Stations,INT((ROWS(A$2:A1034)-1)/(DATE(YEAR(Invoer!$A$5),12,31)-DATE(YEAR(Invoer!$A$5),1,1)+1))+2,1)</f>
        <v>82</v>
      </c>
      <c r="B1034" t="str">
        <f ca="1">TEXT(DATE(YEAR(Invoer!$A$5),1,1)+MOD(ROWS(B$2:B1034)-1,DATE(YEAR(Invoer!$A$5),12,31)-DATE(YEAR(Invoer!$A$5),1,1)+1),"jjjjmmdd")</f>
        <v>19401027</v>
      </c>
      <c r="C1034" s="18">
        <v>1</v>
      </c>
      <c r="D1034" s="23">
        <f t="shared" ca="1" si="32"/>
        <v>0</v>
      </c>
      <c r="E1034" s="24">
        <f t="shared" ca="1" si="33"/>
        <v>0</v>
      </c>
    </row>
    <row r="1035" spans="1:5" x14ac:dyDescent="0.25">
      <c r="A1035" s="17">
        <f ca="1">INDEX(Stations,INT((ROWS(A$2:A1035)-1)/(DATE(YEAR(Invoer!$A$5),12,31)-DATE(YEAR(Invoer!$A$5),1,1)+1))+2,1)</f>
        <v>82</v>
      </c>
      <c r="B1035" t="str">
        <f ca="1">TEXT(DATE(YEAR(Invoer!$A$5),1,1)+MOD(ROWS(B$2:B1035)-1,DATE(YEAR(Invoer!$A$5),12,31)-DATE(YEAR(Invoer!$A$5),1,1)+1),"jjjjmmdd")</f>
        <v>19401028</v>
      </c>
      <c r="C1035" s="18">
        <v>1</v>
      </c>
      <c r="D1035" s="23">
        <f t="shared" ca="1" si="32"/>
        <v>0</v>
      </c>
      <c r="E1035" s="24">
        <f t="shared" ca="1" si="33"/>
        <v>0</v>
      </c>
    </row>
    <row r="1036" spans="1:5" x14ac:dyDescent="0.25">
      <c r="A1036" s="17">
        <f ca="1">INDEX(Stations,INT((ROWS(A$2:A1036)-1)/(DATE(YEAR(Invoer!$A$5),12,31)-DATE(YEAR(Invoer!$A$5),1,1)+1))+2,1)</f>
        <v>82</v>
      </c>
      <c r="B1036" t="str">
        <f ca="1">TEXT(DATE(YEAR(Invoer!$A$5),1,1)+MOD(ROWS(B$2:B1036)-1,DATE(YEAR(Invoer!$A$5),12,31)-DATE(YEAR(Invoer!$A$5),1,1)+1),"jjjjmmdd")</f>
        <v>19401029</v>
      </c>
      <c r="C1036" s="18">
        <v>1</v>
      </c>
      <c r="D1036" s="23">
        <f t="shared" ca="1" si="32"/>
        <v>0</v>
      </c>
      <c r="E1036" s="24">
        <f t="shared" ca="1" si="33"/>
        <v>0</v>
      </c>
    </row>
    <row r="1037" spans="1:5" x14ac:dyDescent="0.25">
      <c r="A1037" s="17">
        <f ca="1">INDEX(Stations,INT((ROWS(A$2:A1037)-1)/(DATE(YEAR(Invoer!$A$5),12,31)-DATE(YEAR(Invoer!$A$5),1,1)+1))+2,1)</f>
        <v>82</v>
      </c>
      <c r="B1037" t="str">
        <f ca="1">TEXT(DATE(YEAR(Invoer!$A$5),1,1)+MOD(ROWS(B$2:B1037)-1,DATE(YEAR(Invoer!$A$5),12,31)-DATE(YEAR(Invoer!$A$5),1,1)+1),"jjjjmmdd")</f>
        <v>19401030</v>
      </c>
      <c r="C1037" s="18">
        <v>1</v>
      </c>
      <c r="D1037" s="23">
        <f t="shared" ca="1" si="32"/>
        <v>30</v>
      </c>
      <c r="E1037" s="24">
        <f t="shared" ca="1" si="33"/>
        <v>0</v>
      </c>
    </row>
    <row r="1038" spans="1:5" x14ac:dyDescent="0.25">
      <c r="A1038" s="17">
        <f ca="1">INDEX(Stations,INT((ROWS(A$2:A1038)-1)/(DATE(YEAR(Invoer!$A$5),12,31)-DATE(YEAR(Invoer!$A$5),1,1)+1))+2,1)</f>
        <v>82</v>
      </c>
      <c r="B1038" t="str">
        <f ca="1">TEXT(DATE(YEAR(Invoer!$A$5),1,1)+MOD(ROWS(B$2:B1038)-1,DATE(YEAR(Invoer!$A$5),12,31)-DATE(YEAR(Invoer!$A$5),1,1)+1),"jjjjmmdd")</f>
        <v>19401031</v>
      </c>
      <c r="C1038" s="18">
        <v>1</v>
      </c>
      <c r="D1038" s="23">
        <f t="shared" ca="1" si="32"/>
        <v>55</v>
      </c>
      <c r="E1038" s="24">
        <f t="shared" ca="1" si="33"/>
        <v>0</v>
      </c>
    </row>
    <row r="1039" spans="1:5" x14ac:dyDescent="0.25">
      <c r="A1039" s="17">
        <f ca="1">INDEX(Stations,INT((ROWS(A$2:A1039)-1)/(DATE(YEAR(Invoer!$A$5),12,31)-DATE(YEAR(Invoer!$A$5),1,1)+1))+2,1)</f>
        <v>82</v>
      </c>
      <c r="B1039" t="str">
        <f ca="1">TEXT(DATE(YEAR(Invoer!$A$5),1,1)+MOD(ROWS(B$2:B1039)-1,DATE(YEAR(Invoer!$A$5),12,31)-DATE(YEAR(Invoer!$A$5),1,1)+1),"jjjjmmdd")</f>
        <v>19401101</v>
      </c>
      <c r="C1039" s="18">
        <v>1</v>
      </c>
      <c r="D1039" s="23">
        <f t="shared" ca="1" si="32"/>
        <v>65</v>
      </c>
      <c r="E1039" s="24">
        <f t="shared" ca="1" si="33"/>
        <v>0</v>
      </c>
    </row>
    <row r="1040" spans="1:5" x14ac:dyDescent="0.25">
      <c r="A1040" s="17">
        <f ca="1">INDEX(Stations,INT((ROWS(A$2:A1040)-1)/(DATE(YEAR(Invoer!$A$5),12,31)-DATE(YEAR(Invoer!$A$5),1,1)+1))+2,1)</f>
        <v>82</v>
      </c>
      <c r="B1040" t="str">
        <f ca="1">TEXT(DATE(YEAR(Invoer!$A$5),1,1)+MOD(ROWS(B$2:B1040)-1,DATE(YEAR(Invoer!$A$5),12,31)-DATE(YEAR(Invoer!$A$5),1,1)+1),"jjjjmmdd")</f>
        <v>19401102</v>
      </c>
      <c r="C1040" s="18">
        <v>1</v>
      </c>
      <c r="D1040" s="23">
        <f t="shared" ca="1" si="32"/>
        <v>0</v>
      </c>
      <c r="E1040" s="24">
        <f t="shared" ca="1" si="33"/>
        <v>0</v>
      </c>
    </row>
    <row r="1041" spans="1:5" x14ac:dyDescent="0.25">
      <c r="A1041" s="17">
        <f ca="1">INDEX(Stations,INT((ROWS(A$2:A1041)-1)/(DATE(YEAR(Invoer!$A$5),12,31)-DATE(YEAR(Invoer!$A$5),1,1)+1))+2,1)</f>
        <v>82</v>
      </c>
      <c r="B1041" t="str">
        <f ca="1">TEXT(DATE(YEAR(Invoer!$A$5),1,1)+MOD(ROWS(B$2:B1041)-1,DATE(YEAR(Invoer!$A$5),12,31)-DATE(YEAR(Invoer!$A$5),1,1)+1),"jjjjmmdd")</f>
        <v>19401103</v>
      </c>
      <c r="C1041" s="18">
        <v>1</v>
      </c>
      <c r="D1041" s="23">
        <f t="shared" ca="1" si="32"/>
        <v>0</v>
      </c>
      <c r="E1041" s="24">
        <f t="shared" ca="1" si="33"/>
        <v>0</v>
      </c>
    </row>
    <row r="1042" spans="1:5" x14ac:dyDescent="0.25">
      <c r="A1042" s="17">
        <f ca="1">INDEX(Stations,INT((ROWS(A$2:A1042)-1)/(DATE(YEAR(Invoer!$A$5),12,31)-DATE(YEAR(Invoer!$A$5),1,1)+1))+2,1)</f>
        <v>82</v>
      </c>
      <c r="B1042" t="str">
        <f ca="1">TEXT(DATE(YEAR(Invoer!$A$5),1,1)+MOD(ROWS(B$2:B1042)-1,DATE(YEAR(Invoer!$A$5),12,31)-DATE(YEAR(Invoer!$A$5),1,1)+1),"jjjjmmdd")</f>
        <v>19401104</v>
      </c>
      <c r="C1042" s="18">
        <v>1</v>
      </c>
      <c r="D1042" s="23">
        <f t="shared" ca="1" si="32"/>
        <v>65</v>
      </c>
      <c r="E1042" s="24">
        <f t="shared" ca="1" si="33"/>
        <v>0</v>
      </c>
    </row>
    <row r="1043" spans="1:5" x14ac:dyDescent="0.25">
      <c r="A1043" s="17">
        <f ca="1">INDEX(Stations,INT((ROWS(A$2:A1043)-1)/(DATE(YEAR(Invoer!$A$5),12,31)-DATE(YEAR(Invoer!$A$5),1,1)+1))+2,1)</f>
        <v>82</v>
      </c>
      <c r="B1043" t="str">
        <f ca="1">TEXT(DATE(YEAR(Invoer!$A$5),1,1)+MOD(ROWS(B$2:B1043)-1,DATE(YEAR(Invoer!$A$5),12,31)-DATE(YEAR(Invoer!$A$5),1,1)+1),"jjjjmmdd")</f>
        <v>19401105</v>
      </c>
      <c r="C1043" s="18">
        <v>1</v>
      </c>
      <c r="D1043" s="23">
        <f t="shared" ca="1" si="32"/>
        <v>50</v>
      </c>
      <c r="E1043" s="24">
        <f t="shared" ca="1" si="33"/>
        <v>0</v>
      </c>
    </row>
    <row r="1044" spans="1:5" x14ac:dyDescent="0.25">
      <c r="A1044" s="17">
        <f ca="1">INDEX(Stations,INT((ROWS(A$2:A1044)-1)/(DATE(YEAR(Invoer!$A$5),12,31)-DATE(YEAR(Invoer!$A$5),1,1)+1))+2,1)</f>
        <v>82</v>
      </c>
      <c r="B1044" t="str">
        <f ca="1">TEXT(DATE(YEAR(Invoer!$A$5),1,1)+MOD(ROWS(B$2:B1044)-1,DATE(YEAR(Invoer!$A$5),12,31)-DATE(YEAR(Invoer!$A$5),1,1)+1),"jjjjmmdd")</f>
        <v>19401106</v>
      </c>
      <c r="C1044" s="18">
        <v>1</v>
      </c>
      <c r="D1044" s="23">
        <f t="shared" ca="1" si="32"/>
        <v>0</v>
      </c>
      <c r="E1044" s="24">
        <f t="shared" ca="1" si="33"/>
        <v>0</v>
      </c>
    </row>
    <row r="1045" spans="1:5" x14ac:dyDescent="0.25">
      <c r="A1045" s="17">
        <f ca="1">INDEX(Stations,INT((ROWS(A$2:A1045)-1)/(DATE(YEAR(Invoer!$A$5),12,31)-DATE(YEAR(Invoer!$A$5),1,1)+1))+2,1)</f>
        <v>82</v>
      </c>
      <c r="B1045" t="str">
        <f ca="1">TEXT(DATE(YEAR(Invoer!$A$5),1,1)+MOD(ROWS(B$2:B1045)-1,DATE(YEAR(Invoer!$A$5),12,31)-DATE(YEAR(Invoer!$A$5),1,1)+1),"jjjjmmdd")</f>
        <v>19401107</v>
      </c>
      <c r="C1045" s="18">
        <v>1</v>
      </c>
      <c r="D1045" s="23">
        <f t="shared" ca="1" si="32"/>
        <v>0</v>
      </c>
      <c r="E1045" s="24">
        <f t="shared" ca="1" si="33"/>
        <v>0</v>
      </c>
    </row>
    <row r="1046" spans="1:5" x14ac:dyDescent="0.25">
      <c r="A1046" s="17">
        <f ca="1">INDEX(Stations,INT((ROWS(A$2:A1046)-1)/(DATE(YEAR(Invoer!$A$5),12,31)-DATE(YEAR(Invoer!$A$5),1,1)+1))+2,1)</f>
        <v>82</v>
      </c>
      <c r="B1046" t="str">
        <f ca="1">TEXT(DATE(YEAR(Invoer!$A$5),1,1)+MOD(ROWS(B$2:B1046)-1,DATE(YEAR(Invoer!$A$5),12,31)-DATE(YEAR(Invoer!$A$5),1,1)+1),"jjjjmmdd")</f>
        <v>19401108</v>
      </c>
      <c r="C1046" s="18">
        <v>1</v>
      </c>
      <c r="D1046" s="23">
        <f t="shared" ca="1" si="32"/>
        <v>0</v>
      </c>
      <c r="E1046" s="24">
        <f t="shared" ca="1" si="33"/>
        <v>0</v>
      </c>
    </row>
    <row r="1047" spans="1:5" x14ac:dyDescent="0.25">
      <c r="A1047" s="17">
        <f ca="1">INDEX(Stations,INT((ROWS(A$2:A1047)-1)/(DATE(YEAR(Invoer!$A$5),12,31)-DATE(YEAR(Invoer!$A$5),1,1)+1))+2,1)</f>
        <v>82</v>
      </c>
      <c r="B1047" t="str">
        <f ca="1">TEXT(DATE(YEAR(Invoer!$A$5),1,1)+MOD(ROWS(B$2:B1047)-1,DATE(YEAR(Invoer!$A$5),12,31)-DATE(YEAR(Invoer!$A$5),1,1)+1),"jjjjmmdd")</f>
        <v>19401109</v>
      </c>
      <c r="C1047" s="18">
        <v>1</v>
      </c>
      <c r="D1047" s="23">
        <f t="shared" ca="1" si="32"/>
        <v>0</v>
      </c>
      <c r="E1047" s="24">
        <f t="shared" ca="1" si="33"/>
        <v>0</v>
      </c>
    </row>
    <row r="1048" spans="1:5" x14ac:dyDescent="0.25">
      <c r="A1048" s="17">
        <f ca="1">INDEX(Stations,INT((ROWS(A$2:A1048)-1)/(DATE(YEAR(Invoer!$A$5),12,31)-DATE(YEAR(Invoer!$A$5),1,1)+1))+2,1)</f>
        <v>82</v>
      </c>
      <c r="B1048" t="str">
        <f ca="1">TEXT(DATE(YEAR(Invoer!$A$5),1,1)+MOD(ROWS(B$2:B1048)-1,DATE(YEAR(Invoer!$A$5),12,31)-DATE(YEAR(Invoer!$A$5),1,1)+1),"jjjjmmdd")</f>
        <v>19401110</v>
      </c>
      <c r="C1048" s="18">
        <v>1</v>
      </c>
      <c r="D1048" s="23">
        <f t="shared" ca="1" si="32"/>
        <v>0</v>
      </c>
      <c r="E1048" s="24">
        <f t="shared" ca="1" si="33"/>
        <v>0</v>
      </c>
    </row>
    <row r="1049" spans="1:5" x14ac:dyDescent="0.25">
      <c r="A1049" s="17">
        <f ca="1">INDEX(Stations,INT((ROWS(A$2:A1049)-1)/(DATE(YEAR(Invoer!$A$5),12,31)-DATE(YEAR(Invoer!$A$5),1,1)+1))+2,1)</f>
        <v>82</v>
      </c>
      <c r="B1049" t="str">
        <f ca="1">TEXT(DATE(YEAR(Invoer!$A$5),1,1)+MOD(ROWS(B$2:B1049)-1,DATE(YEAR(Invoer!$A$5),12,31)-DATE(YEAR(Invoer!$A$5),1,1)+1),"jjjjmmdd")</f>
        <v>19401111</v>
      </c>
      <c r="C1049" s="18">
        <v>1</v>
      </c>
      <c r="D1049" s="23">
        <f t="shared" ca="1" si="32"/>
        <v>65</v>
      </c>
      <c r="E1049" s="24">
        <f t="shared" ca="1" si="33"/>
        <v>0</v>
      </c>
    </row>
    <row r="1050" spans="1:5" x14ac:dyDescent="0.25">
      <c r="A1050" s="17">
        <f ca="1">INDEX(Stations,INT((ROWS(A$2:A1050)-1)/(DATE(YEAR(Invoer!$A$5),12,31)-DATE(YEAR(Invoer!$A$5),1,1)+1))+2,1)</f>
        <v>82</v>
      </c>
      <c r="B1050" t="str">
        <f ca="1">TEXT(DATE(YEAR(Invoer!$A$5),1,1)+MOD(ROWS(B$2:B1050)-1,DATE(YEAR(Invoer!$A$5),12,31)-DATE(YEAR(Invoer!$A$5),1,1)+1),"jjjjmmdd")</f>
        <v>19401112</v>
      </c>
      <c r="C1050" s="18">
        <v>1</v>
      </c>
      <c r="D1050" s="23">
        <f t="shared" ca="1" si="32"/>
        <v>90</v>
      </c>
      <c r="E1050" s="24">
        <f t="shared" ca="1" si="33"/>
        <v>0</v>
      </c>
    </row>
    <row r="1051" spans="1:5" x14ac:dyDescent="0.25">
      <c r="A1051" s="17">
        <f ca="1">INDEX(Stations,INT((ROWS(A$2:A1051)-1)/(DATE(YEAR(Invoer!$A$5),12,31)-DATE(YEAR(Invoer!$A$5),1,1)+1))+2,1)</f>
        <v>82</v>
      </c>
      <c r="B1051" t="str">
        <f ca="1">TEXT(DATE(YEAR(Invoer!$A$5),1,1)+MOD(ROWS(B$2:B1051)-1,DATE(YEAR(Invoer!$A$5),12,31)-DATE(YEAR(Invoer!$A$5),1,1)+1),"jjjjmmdd")</f>
        <v>19401113</v>
      </c>
      <c r="C1051" s="18">
        <v>1</v>
      </c>
      <c r="D1051" s="23">
        <f t="shared" ca="1" si="32"/>
        <v>80</v>
      </c>
      <c r="E1051" s="24">
        <f t="shared" ca="1" si="33"/>
        <v>0</v>
      </c>
    </row>
    <row r="1052" spans="1:5" x14ac:dyDescent="0.25">
      <c r="A1052" s="17">
        <f ca="1">INDEX(Stations,INT((ROWS(A$2:A1052)-1)/(DATE(YEAR(Invoer!$A$5),12,31)-DATE(YEAR(Invoer!$A$5),1,1)+1))+2,1)</f>
        <v>82</v>
      </c>
      <c r="B1052" t="str">
        <f ca="1">TEXT(DATE(YEAR(Invoer!$A$5),1,1)+MOD(ROWS(B$2:B1052)-1,DATE(YEAR(Invoer!$A$5),12,31)-DATE(YEAR(Invoer!$A$5),1,1)+1),"jjjjmmdd")</f>
        <v>19401114</v>
      </c>
      <c r="C1052" s="18">
        <v>1</v>
      </c>
      <c r="D1052" s="23">
        <f t="shared" ca="1" si="32"/>
        <v>35</v>
      </c>
      <c r="E1052" s="24">
        <f t="shared" ca="1" si="33"/>
        <v>0</v>
      </c>
    </row>
    <row r="1053" spans="1:5" x14ac:dyDescent="0.25">
      <c r="A1053" s="17">
        <f ca="1">INDEX(Stations,INT((ROWS(A$2:A1053)-1)/(DATE(YEAR(Invoer!$A$5),12,31)-DATE(YEAR(Invoer!$A$5),1,1)+1))+2,1)</f>
        <v>82</v>
      </c>
      <c r="B1053" t="str">
        <f ca="1">TEXT(DATE(YEAR(Invoer!$A$5),1,1)+MOD(ROWS(B$2:B1053)-1,DATE(YEAR(Invoer!$A$5),12,31)-DATE(YEAR(Invoer!$A$5),1,1)+1),"jjjjmmdd")</f>
        <v>19401115</v>
      </c>
      <c r="C1053" s="18">
        <v>1</v>
      </c>
      <c r="D1053" s="23">
        <f t="shared" ca="1" si="32"/>
        <v>115</v>
      </c>
      <c r="E1053" s="24">
        <f t="shared" ca="1" si="33"/>
        <v>0</v>
      </c>
    </row>
    <row r="1054" spans="1:5" x14ac:dyDescent="0.25">
      <c r="A1054" s="17">
        <f ca="1">INDEX(Stations,INT((ROWS(A$2:A1054)-1)/(DATE(YEAR(Invoer!$A$5),12,31)-DATE(YEAR(Invoer!$A$5),1,1)+1))+2,1)</f>
        <v>82</v>
      </c>
      <c r="B1054" t="str">
        <f ca="1">TEXT(DATE(YEAR(Invoer!$A$5),1,1)+MOD(ROWS(B$2:B1054)-1,DATE(YEAR(Invoer!$A$5),12,31)-DATE(YEAR(Invoer!$A$5),1,1)+1),"jjjjmmdd")</f>
        <v>19401116</v>
      </c>
      <c r="C1054" s="18">
        <v>1</v>
      </c>
      <c r="D1054" s="23">
        <f t="shared" ca="1" si="32"/>
        <v>75</v>
      </c>
      <c r="E1054" s="24">
        <f t="shared" ca="1" si="33"/>
        <v>0</v>
      </c>
    </row>
    <row r="1055" spans="1:5" x14ac:dyDescent="0.25">
      <c r="A1055" s="17">
        <f ca="1">INDEX(Stations,INT((ROWS(A$2:A1055)-1)/(DATE(YEAR(Invoer!$A$5),12,31)-DATE(YEAR(Invoer!$A$5),1,1)+1))+2,1)</f>
        <v>82</v>
      </c>
      <c r="B1055" t="str">
        <f ca="1">TEXT(DATE(YEAR(Invoer!$A$5),1,1)+MOD(ROWS(B$2:B1055)-1,DATE(YEAR(Invoer!$A$5),12,31)-DATE(YEAR(Invoer!$A$5),1,1)+1),"jjjjmmdd")</f>
        <v>19401117</v>
      </c>
      <c r="C1055" s="18">
        <v>1</v>
      </c>
      <c r="D1055" s="23">
        <f t="shared" ca="1" si="32"/>
        <v>25</v>
      </c>
      <c r="E1055" s="24">
        <f t="shared" ca="1" si="33"/>
        <v>0</v>
      </c>
    </row>
    <row r="1056" spans="1:5" x14ac:dyDescent="0.25">
      <c r="A1056" s="17">
        <f ca="1">INDEX(Stations,INT((ROWS(A$2:A1056)-1)/(DATE(YEAR(Invoer!$A$5),12,31)-DATE(YEAR(Invoer!$A$5),1,1)+1))+2,1)</f>
        <v>82</v>
      </c>
      <c r="B1056" t="str">
        <f ca="1">TEXT(DATE(YEAR(Invoer!$A$5),1,1)+MOD(ROWS(B$2:B1056)-1,DATE(YEAR(Invoer!$A$5),12,31)-DATE(YEAR(Invoer!$A$5),1,1)+1),"jjjjmmdd")</f>
        <v>19401118</v>
      </c>
      <c r="C1056" s="18">
        <v>1</v>
      </c>
      <c r="D1056" s="23">
        <f t="shared" ca="1" si="32"/>
        <v>0</v>
      </c>
      <c r="E1056" s="24">
        <f t="shared" ca="1" si="33"/>
        <v>0</v>
      </c>
    </row>
    <row r="1057" spans="1:5" x14ac:dyDescent="0.25">
      <c r="A1057" s="17">
        <f ca="1">INDEX(Stations,INT((ROWS(A$2:A1057)-1)/(DATE(YEAR(Invoer!$A$5),12,31)-DATE(YEAR(Invoer!$A$5),1,1)+1))+2,1)</f>
        <v>82</v>
      </c>
      <c r="B1057" t="str">
        <f ca="1">TEXT(DATE(YEAR(Invoer!$A$5),1,1)+MOD(ROWS(B$2:B1057)-1,DATE(YEAR(Invoer!$A$5),12,31)-DATE(YEAR(Invoer!$A$5),1,1)+1),"jjjjmmdd")</f>
        <v>19401119</v>
      </c>
      <c r="C1057" s="18">
        <v>1</v>
      </c>
      <c r="D1057" s="23">
        <f t="shared" ca="1" si="32"/>
        <v>60</v>
      </c>
      <c r="E1057" s="24">
        <f t="shared" ca="1" si="33"/>
        <v>0</v>
      </c>
    </row>
    <row r="1058" spans="1:5" x14ac:dyDescent="0.25">
      <c r="A1058" s="17">
        <f ca="1">INDEX(Stations,INT((ROWS(A$2:A1058)-1)/(DATE(YEAR(Invoer!$A$5),12,31)-DATE(YEAR(Invoer!$A$5),1,1)+1))+2,1)</f>
        <v>82</v>
      </c>
      <c r="B1058" t="str">
        <f ca="1">TEXT(DATE(YEAR(Invoer!$A$5),1,1)+MOD(ROWS(B$2:B1058)-1,DATE(YEAR(Invoer!$A$5),12,31)-DATE(YEAR(Invoer!$A$5),1,1)+1),"jjjjmmdd")</f>
        <v>19401120</v>
      </c>
      <c r="C1058" s="18">
        <v>1</v>
      </c>
      <c r="D1058" s="23">
        <f t="shared" ca="1" si="32"/>
        <v>70</v>
      </c>
      <c r="E1058" s="24">
        <f t="shared" ca="1" si="33"/>
        <v>0</v>
      </c>
    </row>
    <row r="1059" spans="1:5" x14ac:dyDescent="0.25">
      <c r="A1059" s="17">
        <f ca="1">INDEX(Stations,INT((ROWS(A$2:A1059)-1)/(DATE(YEAR(Invoer!$A$5),12,31)-DATE(YEAR(Invoer!$A$5),1,1)+1))+2,1)</f>
        <v>82</v>
      </c>
      <c r="B1059" t="str">
        <f ca="1">TEXT(DATE(YEAR(Invoer!$A$5),1,1)+MOD(ROWS(B$2:B1059)-1,DATE(YEAR(Invoer!$A$5),12,31)-DATE(YEAR(Invoer!$A$5),1,1)+1),"jjjjmmdd")</f>
        <v>19401121</v>
      </c>
      <c r="C1059" s="18">
        <v>1</v>
      </c>
      <c r="D1059" s="23">
        <f t="shared" ca="1" si="32"/>
        <v>0</v>
      </c>
      <c r="E1059" s="24">
        <f t="shared" ca="1" si="33"/>
        <v>0</v>
      </c>
    </row>
    <row r="1060" spans="1:5" x14ac:dyDescent="0.25">
      <c r="A1060" s="17">
        <f ca="1">INDEX(Stations,INT((ROWS(A$2:A1060)-1)/(DATE(YEAR(Invoer!$A$5),12,31)-DATE(YEAR(Invoer!$A$5),1,1)+1))+2,1)</f>
        <v>82</v>
      </c>
      <c r="B1060" t="str">
        <f ca="1">TEXT(DATE(YEAR(Invoer!$A$5),1,1)+MOD(ROWS(B$2:B1060)-1,DATE(YEAR(Invoer!$A$5),12,31)-DATE(YEAR(Invoer!$A$5),1,1)+1),"jjjjmmdd")</f>
        <v>19401122</v>
      </c>
      <c r="C1060" s="18">
        <v>1</v>
      </c>
      <c r="D1060" s="23">
        <f t="shared" ca="1" si="32"/>
        <v>0</v>
      </c>
      <c r="E1060" s="24">
        <f t="shared" ca="1" si="33"/>
        <v>0</v>
      </c>
    </row>
    <row r="1061" spans="1:5" x14ac:dyDescent="0.25">
      <c r="A1061" s="17">
        <f ca="1">INDEX(Stations,INT((ROWS(A$2:A1061)-1)/(DATE(YEAR(Invoer!$A$5),12,31)-DATE(YEAR(Invoer!$A$5),1,1)+1))+2,1)</f>
        <v>82</v>
      </c>
      <c r="B1061" t="str">
        <f ca="1">TEXT(DATE(YEAR(Invoer!$A$5),1,1)+MOD(ROWS(B$2:B1061)-1,DATE(YEAR(Invoer!$A$5),12,31)-DATE(YEAR(Invoer!$A$5),1,1)+1),"jjjjmmdd")</f>
        <v>19401123</v>
      </c>
      <c r="C1061" s="18">
        <v>1</v>
      </c>
      <c r="D1061" s="23">
        <f t="shared" ca="1" si="32"/>
        <v>0</v>
      </c>
      <c r="E1061" s="24">
        <f t="shared" ca="1" si="33"/>
        <v>0</v>
      </c>
    </row>
    <row r="1062" spans="1:5" x14ac:dyDescent="0.25">
      <c r="A1062" s="17">
        <f ca="1">INDEX(Stations,INT((ROWS(A$2:A1062)-1)/(DATE(YEAR(Invoer!$A$5),12,31)-DATE(YEAR(Invoer!$A$5),1,1)+1))+2,1)</f>
        <v>82</v>
      </c>
      <c r="B1062" t="str">
        <f ca="1">TEXT(DATE(YEAR(Invoer!$A$5),1,1)+MOD(ROWS(B$2:B1062)-1,DATE(YEAR(Invoer!$A$5),12,31)-DATE(YEAR(Invoer!$A$5),1,1)+1),"jjjjmmdd")</f>
        <v>19401124</v>
      </c>
      <c r="C1062" s="18">
        <v>1</v>
      </c>
      <c r="D1062" s="23">
        <f t="shared" ca="1" si="32"/>
        <v>270</v>
      </c>
      <c r="E1062" s="24">
        <f t="shared" ca="1" si="33"/>
        <v>0</v>
      </c>
    </row>
    <row r="1063" spans="1:5" x14ac:dyDescent="0.25">
      <c r="A1063" s="17">
        <f ca="1">INDEX(Stations,INT((ROWS(A$2:A1063)-1)/(DATE(YEAR(Invoer!$A$5),12,31)-DATE(YEAR(Invoer!$A$5),1,1)+1))+2,1)</f>
        <v>82</v>
      </c>
      <c r="B1063" t="str">
        <f ca="1">TEXT(DATE(YEAR(Invoer!$A$5),1,1)+MOD(ROWS(B$2:B1063)-1,DATE(YEAR(Invoer!$A$5),12,31)-DATE(YEAR(Invoer!$A$5),1,1)+1),"jjjjmmdd")</f>
        <v>19401125</v>
      </c>
      <c r="C1063" s="18">
        <v>1</v>
      </c>
      <c r="D1063" s="23">
        <f t="shared" ca="1" si="32"/>
        <v>0</v>
      </c>
      <c r="E1063" s="24">
        <f t="shared" ca="1" si="33"/>
        <v>0</v>
      </c>
    </row>
    <row r="1064" spans="1:5" x14ac:dyDescent="0.25">
      <c r="A1064" s="17">
        <f ca="1">INDEX(Stations,INT((ROWS(A$2:A1064)-1)/(DATE(YEAR(Invoer!$A$5),12,31)-DATE(YEAR(Invoer!$A$5),1,1)+1))+2,1)</f>
        <v>82</v>
      </c>
      <c r="B1064" t="str">
        <f ca="1">TEXT(DATE(YEAR(Invoer!$A$5),1,1)+MOD(ROWS(B$2:B1064)-1,DATE(YEAR(Invoer!$A$5),12,31)-DATE(YEAR(Invoer!$A$5),1,1)+1),"jjjjmmdd")</f>
        <v>19401126</v>
      </c>
      <c r="C1064" s="18">
        <v>1</v>
      </c>
      <c r="D1064" s="23">
        <f t="shared" ca="1" si="32"/>
        <v>65</v>
      </c>
      <c r="E1064" s="24">
        <f t="shared" ca="1" si="33"/>
        <v>0</v>
      </c>
    </row>
    <row r="1065" spans="1:5" x14ac:dyDescent="0.25">
      <c r="A1065" s="17">
        <f ca="1">INDEX(Stations,INT((ROWS(A$2:A1065)-1)/(DATE(YEAR(Invoer!$A$5),12,31)-DATE(YEAR(Invoer!$A$5),1,1)+1))+2,1)</f>
        <v>82</v>
      </c>
      <c r="B1065" t="str">
        <f ca="1">TEXT(DATE(YEAR(Invoer!$A$5),1,1)+MOD(ROWS(B$2:B1065)-1,DATE(YEAR(Invoer!$A$5),12,31)-DATE(YEAR(Invoer!$A$5),1,1)+1),"jjjjmmdd")</f>
        <v>19401127</v>
      </c>
      <c r="C1065" s="18">
        <v>1</v>
      </c>
      <c r="D1065" s="23">
        <f t="shared" ca="1" si="32"/>
        <v>0</v>
      </c>
      <c r="E1065" s="24">
        <f t="shared" ca="1" si="33"/>
        <v>0</v>
      </c>
    </row>
    <row r="1066" spans="1:5" x14ac:dyDescent="0.25">
      <c r="A1066" s="17">
        <f ca="1">INDEX(Stations,INT((ROWS(A$2:A1066)-1)/(DATE(YEAR(Invoer!$A$5),12,31)-DATE(YEAR(Invoer!$A$5),1,1)+1))+2,1)</f>
        <v>82</v>
      </c>
      <c r="B1066" t="str">
        <f ca="1">TEXT(DATE(YEAR(Invoer!$A$5),1,1)+MOD(ROWS(B$2:B1066)-1,DATE(YEAR(Invoer!$A$5),12,31)-DATE(YEAR(Invoer!$A$5),1,1)+1),"jjjjmmdd")</f>
        <v>19401128</v>
      </c>
      <c r="C1066" s="18">
        <v>1</v>
      </c>
      <c r="D1066" s="23">
        <f t="shared" ca="1" si="32"/>
        <v>30</v>
      </c>
      <c r="E1066" s="24">
        <f t="shared" ca="1" si="33"/>
        <v>0</v>
      </c>
    </row>
    <row r="1067" spans="1:5" x14ac:dyDescent="0.25">
      <c r="A1067" s="17">
        <f ca="1">INDEX(Stations,INT((ROWS(A$2:A1067)-1)/(DATE(YEAR(Invoer!$A$5),12,31)-DATE(YEAR(Invoer!$A$5),1,1)+1))+2,1)</f>
        <v>82</v>
      </c>
      <c r="B1067" t="str">
        <f ca="1">TEXT(DATE(YEAR(Invoer!$A$5),1,1)+MOD(ROWS(B$2:B1067)-1,DATE(YEAR(Invoer!$A$5),12,31)-DATE(YEAR(Invoer!$A$5),1,1)+1),"jjjjmmdd")</f>
        <v>19401129</v>
      </c>
      <c r="C1067" s="18">
        <v>1</v>
      </c>
      <c r="D1067" s="23">
        <f t="shared" ca="1" si="32"/>
        <v>100</v>
      </c>
      <c r="E1067" s="24">
        <f t="shared" ca="1" si="33"/>
        <v>0</v>
      </c>
    </row>
    <row r="1068" spans="1:5" x14ac:dyDescent="0.25">
      <c r="A1068" s="17">
        <f ca="1">INDEX(Stations,INT((ROWS(A$2:A1068)-1)/(DATE(YEAR(Invoer!$A$5),12,31)-DATE(YEAR(Invoer!$A$5),1,1)+1))+2,1)</f>
        <v>82</v>
      </c>
      <c r="B1068" t="str">
        <f ca="1">TEXT(DATE(YEAR(Invoer!$A$5),1,1)+MOD(ROWS(B$2:B1068)-1,DATE(YEAR(Invoer!$A$5),12,31)-DATE(YEAR(Invoer!$A$5),1,1)+1),"jjjjmmdd")</f>
        <v>19401130</v>
      </c>
      <c r="C1068" s="18">
        <v>1</v>
      </c>
      <c r="D1068" s="23">
        <f t="shared" ca="1" si="32"/>
        <v>110</v>
      </c>
      <c r="E1068" s="24">
        <f t="shared" ca="1" si="33"/>
        <v>0</v>
      </c>
    </row>
    <row r="1069" spans="1:5" x14ac:dyDescent="0.25">
      <c r="A1069" s="17">
        <f ca="1">INDEX(Stations,INT((ROWS(A$2:A1069)-1)/(DATE(YEAR(Invoer!$A$5),12,31)-DATE(YEAR(Invoer!$A$5),1,1)+1))+2,1)</f>
        <v>82</v>
      </c>
      <c r="B1069" t="str">
        <f ca="1">TEXT(DATE(YEAR(Invoer!$A$5),1,1)+MOD(ROWS(B$2:B1069)-1,DATE(YEAR(Invoer!$A$5),12,31)-DATE(YEAR(Invoer!$A$5),1,1)+1),"jjjjmmdd")</f>
        <v>19401201</v>
      </c>
      <c r="C1069" s="18">
        <v>1</v>
      </c>
      <c r="D1069" s="23">
        <f t="shared" ca="1" si="32"/>
        <v>0</v>
      </c>
      <c r="E1069" s="24">
        <f t="shared" ca="1" si="33"/>
        <v>0</v>
      </c>
    </row>
    <row r="1070" spans="1:5" x14ac:dyDescent="0.25">
      <c r="A1070" s="17">
        <f ca="1">INDEX(Stations,INT((ROWS(A$2:A1070)-1)/(DATE(YEAR(Invoer!$A$5),12,31)-DATE(YEAR(Invoer!$A$5),1,1)+1))+2,1)</f>
        <v>82</v>
      </c>
      <c r="B1070" t="str">
        <f ca="1">TEXT(DATE(YEAR(Invoer!$A$5),1,1)+MOD(ROWS(B$2:B1070)-1,DATE(YEAR(Invoer!$A$5),12,31)-DATE(YEAR(Invoer!$A$5),1,1)+1),"jjjjmmdd")</f>
        <v>19401202</v>
      </c>
      <c r="C1070" s="18">
        <v>1</v>
      </c>
      <c r="D1070" s="23">
        <f t="shared" ca="1" si="32"/>
        <v>0</v>
      </c>
      <c r="E1070" s="24">
        <f t="shared" ca="1" si="33"/>
        <v>0</v>
      </c>
    </row>
    <row r="1071" spans="1:5" x14ac:dyDescent="0.25">
      <c r="A1071" s="17">
        <f ca="1">INDEX(Stations,INT((ROWS(A$2:A1071)-1)/(DATE(YEAR(Invoer!$A$5),12,31)-DATE(YEAR(Invoer!$A$5),1,1)+1))+2,1)</f>
        <v>82</v>
      </c>
      <c r="B1071" t="str">
        <f ca="1">TEXT(DATE(YEAR(Invoer!$A$5),1,1)+MOD(ROWS(B$2:B1071)-1,DATE(YEAR(Invoer!$A$5),12,31)-DATE(YEAR(Invoer!$A$5),1,1)+1),"jjjjmmdd")</f>
        <v>19401203</v>
      </c>
      <c r="C1071" s="18">
        <v>1</v>
      </c>
      <c r="D1071" s="23">
        <f t="shared" ca="1" si="32"/>
        <v>0</v>
      </c>
      <c r="E1071" s="24">
        <f t="shared" ca="1" si="33"/>
        <v>0</v>
      </c>
    </row>
    <row r="1072" spans="1:5" x14ac:dyDescent="0.25">
      <c r="A1072" s="17">
        <f ca="1">INDEX(Stations,INT((ROWS(A$2:A1072)-1)/(DATE(YEAR(Invoer!$A$5),12,31)-DATE(YEAR(Invoer!$A$5),1,1)+1))+2,1)</f>
        <v>82</v>
      </c>
      <c r="B1072" t="str">
        <f ca="1">TEXT(DATE(YEAR(Invoer!$A$5),1,1)+MOD(ROWS(B$2:B1072)-1,DATE(YEAR(Invoer!$A$5),12,31)-DATE(YEAR(Invoer!$A$5),1,1)+1),"jjjjmmdd")</f>
        <v>19401204</v>
      </c>
      <c r="C1072" s="18">
        <v>1</v>
      </c>
      <c r="D1072" s="23">
        <f t="shared" ca="1" si="32"/>
        <v>0</v>
      </c>
      <c r="E1072" s="24">
        <f t="shared" ca="1" si="33"/>
        <v>0</v>
      </c>
    </row>
    <row r="1073" spans="1:5" x14ac:dyDescent="0.25">
      <c r="A1073" s="17">
        <f ca="1">INDEX(Stations,INT((ROWS(A$2:A1073)-1)/(DATE(YEAR(Invoer!$A$5),12,31)-DATE(YEAR(Invoer!$A$5),1,1)+1))+2,1)</f>
        <v>82</v>
      </c>
      <c r="B1073" t="str">
        <f ca="1">TEXT(DATE(YEAR(Invoer!$A$5),1,1)+MOD(ROWS(B$2:B1073)-1,DATE(YEAR(Invoer!$A$5),12,31)-DATE(YEAR(Invoer!$A$5),1,1)+1),"jjjjmmdd")</f>
        <v>19401205</v>
      </c>
      <c r="C1073" s="18">
        <v>1</v>
      </c>
      <c r="D1073" s="23">
        <f t="shared" ca="1" si="32"/>
        <v>70</v>
      </c>
      <c r="E1073" s="24">
        <f t="shared" ca="1" si="33"/>
        <v>0</v>
      </c>
    </row>
    <row r="1074" spans="1:5" x14ac:dyDescent="0.25">
      <c r="A1074" s="17">
        <f ca="1">INDEX(Stations,INT((ROWS(A$2:A1074)-1)/(DATE(YEAR(Invoer!$A$5),12,31)-DATE(YEAR(Invoer!$A$5),1,1)+1))+2,1)</f>
        <v>82</v>
      </c>
      <c r="B1074" t="str">
        <f ca="1">TEXT(DATE(YEAR(Invoer!$A$5),1,1)+MOD(ROWS(B$2:B1074)-1,DATE(YEAR(Invoer!$A$5),12,31)-DATE(YEAR(Invoer!$A$5),1,1)+1),"jjjjmmdd")</f>
        <v>19401206</v>
      </c>
      <c r="C1074" s="18">
        <v>1</v>
      </c>
      <c r="D1074" s="23">
        <f t="shared" ca="1" si="32"/>
        <v>20</v>
      </c>
      <c r="E1074" s="24">
        <f t="shared" ca="1" si="33"/>
        <v>0</v>
      </c>
    </row>
    <row r="1075" spans="1:5" x14ac:dyDescent="0.25">
      <c r="A1075" s="17">
        <f ca="1">INDEX(Stations,INT((ROWS(A$2:A1075)-1)/(DATE(YEAR(Invoer!$A$5),12,31)-DATE(YEAR(Invoer!$A$5),1,1)+1))+2,1)</f>
        <v>82</v>
      </c>
      <c r="B1075" t="str">
        <f ca="1">TEXT(DATE(YEAR(Invoer!$A$5),1,1)+MOD(ROWS(B$2:B1075)-1,DATE(YEAR(Invoer!$A$5),12,31)-DATE(YEAR(Invoer!$A$5),1,1)+1),"jjjjmmdd")</f>
        <v>19401207</v>
      </c>
      <c r="C1075" s="18">
        <v>1</v>
      </c>
      <c r="D1075" s="23">
        <f t="shared" ca="1" si="32"/>
        <v>0</v>
      </c>
      <c r="E1075" s="24">
        <f t="shared" ca="1" si="33"/>
        <v>0</v>
      </c>
    </row>
    <row r="1076" spans="1:5" x14ac:dyDescent="0.25">
      <c r="A1076" s="17">
        <f ca="1">INDEX(Stations,INT((ROWS(A$2:A1076)-1)/(DATE(YEAR(Invoer!$A$5),12,31)-DATE(YEAR(Invoer!$A$5),1,1)+1))+2,1)</f>
        <v>82</v>
      </c>
      <c r="B1076" t="str">
        <f ca="1">TEXT(DATE(YEAR(Invoer!$A$5),1,1)+MOD(ROWS(B$2:B1076)-1,DATE(YEAR(Invoer!$A$5),12,31)-DATE(YEAR(Invoer!$A$5),1,1)+1),"jjjjmmdd")</f>
        <v>19401208</v>
      </c>
      <c r="C1076" s="18">
        <v>1</v>
      </c>
      <c r="D1076" s="23">
        <f t="shared" ca="1" si="32"/>
        <v>0</v>
      </c>
      <c r="E1076" s="24">
        <f t="shared" ca="1" si="33"/>
        <v>0</v>
      </c>
    </row>
    <row r="1077" spans="1:5" x14ac:dyDescent="0.25">
      <c r="A1077" s="17">
        <f ca="1">INDEX(Stations,INT((ROWS(A$2:A1077)-1)/(DATE(YEAR(Invoer!$A$5),12,31)-DATE(YEAR(Invoer!$A$5),1,1)+1))+2,1)</f>
        <v>82</v>
      </c>
      <c r="B1077" t="str">
        <f ca="1">TEXT(DATE(YEAR(Invoer!$A$5),1,1)+MOD(ROWS(B$2:B1077)-1,DATE(YEAR(Invoer!$A$5),12,31)-DATE(YEAR(Invoer!$A$5),1,1)+1),"jjjjmmdd")</f>
        <v>19401209</v>
      </c>
      <c r="C1077" s="18">
        <v>1</v>
      </c>
      <c r="D1077" s="23">
        <f t="shared" ca="1" si="32"/>
        <v>0</v>
      </c>
      <c r="E1077" s="24">
        <f t="shared" ca="1" si="33"/>
        <v>0</v>
      </c>
    </row>
    <row r="1078" spans="1:5" x14ac:dyDescent="0.25">
      <c r="A1078" s="17">
        <f ca="1">INDEX(Stations,INT((ROWS(A$2:A1078)-1)/(DATE(YEAR(Invoer!$A$5),12,31)-DATE(YEAR(Invoer!$A$5),1,1)+1))+2,1)</f>
        <v>82</v>
      </c>
      <c r="B1078" t="str">
        <f ca="1">TEXT(DATE(YEAR(Invoer!$A$5),1,1)+MOD(ROWS(B$2:B1078)-1,DATE(YEAR(Invoer!$A$5),12,31)-DATE(YEAR(Invoer!$A$5),1,1)+1),"jjjjmmdd")</f>
        <v>19401210</v>
      </c>
      <c r="C1078" s="18">
        <v>1</v>
      </c>
      <c r="D1078" s="23">
        <f t="shared" ca="1" si="32"/>
        <v>0</v>
      </c>
      <c r="E1078" s="24">
        <f t="shared" ca="1" si="33"/>
        <v>0</v>
      </c>
    </row>
    <row r="1079" spans="1:5" x14ac:dyDescent="0.25">
      <c r="A1079" s="17">
        <f ca="1">INDEX(Stations,INT((ROWS(A$2:A1079)-1)/(DATE(YEAR(Invoer!$A$5),12,31)-DATE(YEAR(Invoer!$A$5),1,1)+1))+2,1)</f>
        <v>82</v>
      </c>
      <c r="B1079" t="str">
        <f ca="1">TEXT(DATE(YEAR(Invoer!$A$5),1,1)+MOD(ROWS(B$2:B1079)-1,DATE(YEAR(Invoer!$A$5),12,31)-DATE(YEAR(Invoer!$A$5),1,1)+1),"jjjjmmdd")</f>
        <v>19401211</v>
      </c>
      <c r="C1079" s="18">
        <v>1</v>
      </c>
      <c r="D1079" s="23">
        <f t="shared" ca="1" si="32"/>
        <v>30</v>
      </c>
      <c r="E1079" s="24">
        <f t="shared" ca="1" si="33"/>
        <v>0</v>
      </c>
    </row>
    <row r="1080" spans="1:5" x14ac:dyDescent="0.25">
      <c r="A1080" s="17">
        <f ca="1">INDEX(Stations,INT((ROWS(A$2:A1080)-1)/(DATE(YEAR(Invoer!$A$5),12,31)-DATE(YEAR(Invoer!$A$5),1,1)+1))+2,1)</f>
        <v>82</v>
      </c>
      <c r="B1080" t="str">
        <f ca="1">TEXT(DATE(YEAR(Invoer!$A$5),1,1)+MOD(ROWS(B$2:B1080)-1,DATE(YEAR(Invoer!$A$5),12,31)-DATE(YEAR(Invoer!$A$5),1,1)+1),"jjjjmmdd")</f>
        <v>19401212</v>
      </c>
      <c r="C1080" s="18">
        <v>1</v>
      </c>
      <c r="D1080" s="23">
        <f t="shared" ca="1" si="32"/>
        <v>0</v>
      </c>
      <c r="E1080" s="24">
        <f t="shared" ca="1" si="33"/>
        <v>0</v>
      </c>
    </row>
    <row r="1081" spans="1:5" x14ac:dyDescent="0.25">
      <c r="A1081" s="17">
        <f ca="1">INDEX(Stations,INT((ROWS(A$2:A1081)-1)/(DATE(YEAR(Invoer!$A$5),12,31)-DATE(YEAR(Invoer!$A$5),1,1)+1))+2,1)</f>
        <v>82</v>
      </c>
      <c r="B1081" t="str">
        <f ca="1">TEXT(DATE(YEAR(Invoer!$A$5),1,1)+MOD(ROWS(B$2:B1081)-1,DATE(YEAR(Invoer!$A$5),12,31)-DATE(YEAR(Invoer!$A$5),1,1)+1),"jjjjmmdd")</f>
        <v>19401213</v>
      </c>
      <c r="C1081" s="18">
        <v>1</v>
      </c>
      <c r="D1081" s="23">
        <f t="shared" ca="1" si="32"/>
        <v>0</v>
      </c>
      <c r="E1081" s="24">
        <f t="shared" ca="1" si="33"/>
        <v>0</v>
      </c>
    </row>
    <row r="1082" spans="1:5" x14ac:dyDescent="0.25">
      <c r="A1082" s="17">
        <f ca="1">INDEX(Stations,INT((ROWS(A$2:A1082)-1)/(DATE(YEAR(Invoer!$A$5),12,31)-DATE(YEAR(Invoer!$A$5),1,1)+1))+2,1)</f>
        <v>82</v>
      </c>
      <c r="B1082" t="str">
        <f ca="1">TEXT(DATE(YEAR(Invoer!$A$5),1,1)+MOD(ROWS(B$2:B1082)-1,DATE(YEAR(Invoer!$A$5),12,31)-DATE(YEAR(Invoer!$A$5),1,1)+1),"jjjjmmdd")</f>
        <v>19401214</v>
      </c>
      <c r="C1082" s="18">
        <v>1</v>
      </c>
      <c r="D1082" s="23">
        <f t="shared" ca="1" si="32"/>
        <v>80</v>
      </c>
      <c r="E1082" s="24">
        <f t="shared" ca="1" si="33"/>
        <v>0</v>
      </c>
    </row>
    <row r="1083" spans="1:5" x14ac:dyDescent="0.25">
      <c r="A1083" s="17">
        <f ca="1">INDEX(Stations,INT((ROWS(A$2:A1083)-1)/(DATE(YEAR(Invoer!$A$5),12,31)-DATE(YEAR(Invoer!$A$5),1,1)+1))+2,1)</f>
        <v>82</v>
      </c>
      <c r="B1083" t="str">
        <f ca="1">TEXT(DATE(YEAR(Invoer!$A$5),1,1)+MOD(ROWS(B$2:B1083)-1,DATE(YEAR(Invoer!$A$5),12,31)-DATE(YEAR(Invoer!$A$5),1,1)+1),"jjjjmmdd")</f>
        <v>19401215</v>
      </c>
      <c r="C1083" s="18">
        <v>1</v>
      </c>
      <c r="D1083" s="23">
        <f t="shared" ca="1" si="32"/>
        <v>45</v>
      </c>
      <c r="E1083" s="24">
        <f t="shared" ca="1" si="33"/>
        <v>0</v>
      </c>
    </row>
    <row r="1084" spans="1:5" x14ac:dyDescent="0.25">
      <c r="A1084" s="17">
        <f ca="1">INDEX(Stations,INT((ROWS(A$2:A1084)-1)/(DATE(YEAR(Invoer!$A$5),12,31)-DATE(YEAR(Invoer!$A$5),1,1)+1))+2,1)</f>
        <v>82</v>
      </c>
      <c r="B1084" t="str">
        <f ca="1">TEXT(DATE(YEAR(Invoer!$A$5),1,1)+MOD(ROWS(B$2:B1084)-1,DATE(YEAR(Invoer!$A$5),12,31)-DATE(YEAR(Invoer!$A$5),1,1)+1),"jjjjmmdd")</f>
        <v>19401216</v>
      </c>
      <c r="C1084" s="18">
        <v>1</v>
      </c>
      <c r="D1084" s="23">
        <f t="shared" ca="1" si="32"/>
        <v>0</v>
      </c>
      <c r="E1084" s="24">
        <f t="shared" ca="1" si="33"/>
        <v>0</v>
      </c>
    </row>
    <row r="1085" spans="1:5" x14ac:dyDescent="0.25">
      <c r="A1085" s="17">
        <f ca="1">INDEX(Stations,INT((ROWS(A$2:A1085)-1)/(DATE(YEAR(Invoer!$A$5),12,31)-DATE(YEAR(Invoer!$A$5),1,1)+1))+2,1)</f>
        <v>82</v>
      </c>
      <c r="B1085" t="str">
        <f ca="1">TEXT(DATE(YEAR(Invoer!$A$5),1,1)+MOD(ROWS(B$2:B1085)-1,DATE(YEAR(Invoer!$A$5),12,31)-DATE(YEAR(Invoer!$A$5),1,1)+1),"jjjjmmdd")</f>
        <v>19401217</v>
      </c>
      <c r="C1085" s="18">
        <v>1</v>
      </c>
      <c r="D1085" s="23">
        <f t="shared" ca="1" si="32"/>
        <v>0</v>
      </c>
      <c r="E1085" s="24">
        <f t="shared" ca="1" si="33"/>
        <v>0</v>
      </c>
    </row>
    <row r="1086" spans="1:5" x14ac:dyDescent="0.25">
      <c r="A1086" s="17">
        <f ca="1">INDEX(Stations,INT((ROWS(A$2:A1086)-1)/(DATE(YEAR(Invoer!$A$5),12,31)-DATE(YEAR(Invoer!$A$5),1,1)+1))+2,1)</f>
        <v>82</v>
      </c>
      <c r="B1086" t="str">
        <f ca="1">TEXT(DATE(YEAR(Invoer!$A$5),1,1)+MOD(ROWS(B$2:B1086)-1,DATE(YEAR(Invoer!$A$5),12,31)-DATE(YEAR(Invoer!$A$5),1,1)+1),"jjjjmmdd")</f>
        <v>19401218</v>
      </c>
      <c r="C1086" s="18">
        <v>1</v>
      </c>
      <c r="D1086" s="23">
        <f t="shared" ca="1" si="32"/>
        <v>0</v>
      </c>
      <c r="E1086" s="24">
        <f t="shared" ca="1" si="33"/>
        <v>0</v>
      </c>
    </row>
    <row r="1087" spans="1:5" x14ac:dyDescent="0.25">
      <c r="A1087" s="17">
        <f ca="1">INDEX(Stations,INT((ROWS(A$2:A1087)-1)/(DATE(YEAR(Invoer!$A$5),12,31)-DATE(YEAR(Invoer!$A$5),1,1)+1))+2,1)</f>
        <v>82</v>
      </c>
      <c r="B1087" t="str">
        <f ca="1">TEXT(DATE(YEAR(Invoer!$A$5),1,1)+MOD(ROWS(B$2:B1087)-1,DATE(YEAR(Invoer!$A$5),12,31)-DATE(YEAR(Invoer!$A$5),1,1)+1),"jjjjmmdd")</f>
        <v>19401219</v>
      </c>
      <c r="C1087" s="18">
        <v>1</v>
      </c>
      <c r="D1087" s="23">
        <f t="shared" ca="1" si="32"/>
        <v>40</v>
      </c>
      <c r="E1087" s="24">
        <f t="shared" ca="1" si="33"/>
        <v>0</v>
      </c>
    </row>
    <row r="1088" spans="1:5" x14ac:dyDescent="0.25">
      <c r="A1088" s="17">
        <f ca="1">INDEX(Stations,INT((ROWS(A$2:A1088)-1)/(DATE(YEAR(Invoer!$A$5),12,31)-DATE(YEAR(Invoer!$A$5),1,1)+1))+2,1)</f>
        <v>82</v>
      </c>
      <c r="B1088" t="str">
        <f ca="1">TEXT(DATE(YEAR(Invoer!$A$5),1,1)+MOD(ROWS(B$2:B1088)-1,DATE(YEAR(Invoer!$A$5),12,31)-DATE(YEAR(Invoer!$A$5),1,1)+1),"jjjjmmdd")</f>
        <v>19401220</v>
      </c>
      <c r="C1088" s="18">
        <v>1</v>
      </c>
      <c r="D1088" s="23">
        <f t="shared" ca="1" si="32"/>
        <v>0</v>
      </c>
      <c r="E1088" s="24">
        <f t="shared" ca="1" si="33"/>
        <v>0</v>
      </c>
    </row>
    <row r="1089" spans="1:5" x14ac:dyDescent="0.25">
      <c r="A1089" s="17">
        <f ca="1">INDEX(Stations,INT((ROWS(A$2:A1089)-1)/(DATE(YEAR(Invoer!$A$5),12,31)-DATE(YEAR(Invoer!$A$5),1,1)+1))+2,1)</f>
        <v>82</v>
      </c>
      <c r="B1089" t="str">
        <f ca="1">TEXT(DATE(YEAR(Invoer!$A$5),1,1)+MOD(ROWS(B$2:B1089)-1,DATE(YEAR(Invoer!$A$5),12,31)-DATE(YEAR(Invoer!$A$5),1,1)+1),"jjjjmmdd")</f>
        <v>19401221</v>
      </c>
      <c r="C1089" s="18">
        <v>1</v>
      </c>
      <c r="D1089" s="23">
        <f t="shared" ca="1" si="32"/>
        <v>50</v>
      </c>
      <c r="E1089" s="24">
        <f t="shared" ca="1" si="33"/>
        <v>0</v>
      </c>
    </row>
    <row r="1090" spans="1:5" x14ac:dyDescent="0.25">
      <c r="A1090" s="17">
        <f ca="1">INDEX(Stations,INT((ROWS(A$2:A1090)-1)/(DATE(YEAR(Invoer!$A$5),12,31)-DATE(YEAR(Invoer!$A$5),1,1)+1))+2,1)</f>
        <v>82</v>
      </c>
      <c r="B1090" t="str">
        <f ca="1">TEXT(DATE(YEAR(Invoer!$A$5),1,1)+MOD(ROWS(B$2:B1090)-1,DATE(YEAR(Invoer!$A$5),12,31)-DATE(YEAR(Invoer!$A$5),1,1)+1),"jjjjmmdd")</f>
        <v>19401222</v>
      </c>
      <c r="C1090" s="18">
        <v>1</v>
      </c>
      <c r="D1090" s="23">
        <f t="shared" ref="D1090:D1096" ca="1" si="34">IF(OR(ISBLANK(VLOOKUP(DATEVALUE(LEFT(B1090,4)&amp;"-"&amp;MID(B1090,5,2)&amp;"-"&amp;RIGHT(B1090,2)),Data,MATCH(VLOOKUP(A1090,Stations,2,FALSE()),OFFSET(Data,1,0,1),0),FALSE())),ISTEXT(VLOOKUP(DATEVALUE(LEFT(B1090,4)&amp;"-"&amp;MID(B1090,5,2)&amp;"-"&amp;RIGHT(B1090,2)),Data,MATCH(VLOOKUP(A1090,Stations,2,FALSE()),OFFSET(Data,1,0,1),0),FALSE()))),"—",VLOOKUP(DATEVALUE(LEFT(B1090,4)&amp;"-"&amp;MID(B1090,5,2)&amp;"-"&amp;RIGHT(B1090,2)),Data,MATCH(VLOOKUP(A1090,Stations,2,FALSE()),OFFSET(Data,1,0,1),0),FALSE()))</f>
        <v>0</v>
      </c>
      <c r="E1090" s="24">
        <f t="shared" ref="E1090:E1096" ca="1" si="35">IF(OR(ISBLANK(VLOOKUP(DATEVALUE(LEFT(B1090,4)&amp;"-"&amp;MID(B1090,5,2)&amp;"-"&amp;RIGHT(B1090,2)),Data,MATCH(VLOOKUP(A1090,Stations,2,FALSE()),OFFSET(Data,1,0,1),0),FALSE())),ISTEXT(VLOOKUP(DATEVALUE(LEFT(B1090,4)&amp;"-"&amp;MID(B1090,5,2)&amp;"-"&amp;RIGHT(B1090,2)),Data,MATCH(VLOOKUP(A1090,Stations,2,FALSE()),OFFSET(Data,1,0,1),0),FALSE()))),Lacking,IF(ISNA(MATCH(DATEVALUE(LEFT(B1090,4)&amp;"-"&amp;MID(B1090,5,2)&amp;"-"&amp;RIGHT(B1090,2)),OFFSET(Catalogus,0,0,,1),0)),Ok,VLOOKUP(DATEVALUE(LEFT(B1090,4)&amp;"-"&amp;MID(B1090,5,2)&amp;"-"&amp;RIGHT(B1090,2)),Catalogus,MATCH(VLOOKUP(A1090,Stations,2,FALSE()),OFFSET(Catalogus,1,0,1),0),FALSE())))</f>
        <v>0</v>
      </c>
    </row>
    <row r="1091" spans="1:5" x14ac:dyDescent="0.25">
      <c r="A1091" s="17">
        <f ca="1">INDEX(Stations,INT((ROWS(A$2:A1091)-1)/(DATE(YEAR(Invoer!$A$5),12,31)-DATE(YEAR(Invoer!$A$5),1,1)+1))+2,1)</f>
        <v>82</v>
      </c>
      <c r="B1091" t="str">
        <f ca="1">TEXT(DATE(YEAR(Invoer!$A$5),1,1)+MOD(ROWS(B$2:B1091)-1,DATE(YEAR(Invoer!$A$5),12,31)-DATE(YEAR(Invoer!$A$5),1,1)+1),"jjjjmmdd")</f>
        <v>19401223</v>
      </c>
      <c r="C1091" s="18">
        <v>1</v>
      </c>
      <c r="D1091" s="23">
        <f t="shared" ca="1" si="34"/>
        <v>0</v>
      </c>
      <c r="E1091" s="24">
        <f t="shared" ca="1" si="35"/>
        <v>0</v>
      </c>
    </row>
    <row r="1092" spans="1:5" x14ac:dyDescent="0.25">
      <c r="A1092" s="17">
        <f ca="1">INDEX(Stations,INT((ROWS(A$2:A1092)-1)/(DATE(YEAR(Invoer!$A$5),12,31)-DATE(YEAR(Invoer!$A$5),1,1)+1))+2,1)</f>
        <v>82</v>
      </c>
      <c r="B1092" t="str">
        <f ca="1">TEXT(DATE(YEAR(Invoer!$A$5),1,1)+MOD(ROWS(B$2:B1092)-1,DATE(YEAR(Invoer!$A$5),12,31)-DATE(YEAR(Invoer!$A$5),1,1)+1),"jjjjmmdd")</f>
        <v>19401224</v>
      </c>
      <c r="C1092" s="18">
        <v>1</v>
      </c>
      <c r="D1092" s="23">
        <f t="shared" ca="1" si="34"/>
        <v>280</v>
      </c>
      <c r="E1092" s="24">
        <f t="shared" ca="1" si="35"/>
        <v>0</v>
      </c>
    </row>
    <row r="1093" spans="1:5" x14ac:dyDescent="0.25">
      <c r="A1093" s="17">
        <f ca="1">INDEX(Stations,INT((ROWS(A$2:A1093)-1)/(DATE(YEAR(Invoer!$A$5),12,31)-DATE(YEAR(Invoer!$A$5),1,1)+1))+2,1)</f>
        <v>82</v>
      </c>
      <c r="B1093" t="str">
        <f ca="1">TEXT(DATE(YEAR(Invoer!$A$5),1,1)+MOD(ROWS(B$2:B1093)-1,DATE(YEAR(Invoer!$A$5),12,31)-DATE(YEAR(Invoer!$A$5),1,1)+1),"jjjjmmdd")</f>
        <v>19401225</v>
      </c>
      <c r="C1093" s="18">
        <v>1</v>
      </c>
      <c r="D1093" s="23">
        <f t="shared" ca="1" si="34"/>
        <v>0</v>
      </c>
      <c r="E1093" s="24">
        <f t="shared" ca="1" si="35"/>
        <v>0</v>
      </c>
    </row>
    <row r="1094" spans="1:5" x14ac:dyDescent="0.25">
      <c r="A1094" s="17">
        <f ca="1">INDEX(Stations,INT((ROWS(A$2:A1094)-1)/(DATE(YEAR(Invoer!$A$5),12,31)-DATE(YEAR(Invoer!$A$5),1,1)+1))+2,1)</f>
        <v>82</v>
      </c>
      <c r="B1094" t="str">
        <f ca="1">TEXT(DATE(YEAR(Invoer!$A$5),1,1)+MOD(ROWS(B$2:B1094)-1,DATE(YEAR(Invoer!$A$5),12,31)-DATE(YEAR(Invoer!$A$5),1,1)+1),"jjjjmmdd")</f>
        <v>19401226</v>
      </c>
      <c r="C1094" s="18">
        <v>1</v>
      </c>
      <c r="D1094" s="23">
        <f t="shared" ca="1" si="34"/>
        <v>0</v>
      </c>
      <c r="E1094" s="24">
        <f t="shared" ca="1" si="35"/>
        <v>0</v>
      </c>
    </row>
    <row r="1095" spans="1:5" x14ac:dyDescent="0.25">
      <c r="A1095" s="17">
        <f ca="1">INDEX(Stations,INT((ROWS(A$2:A1095)-1)/(DATE(YEAR(Invoer!$A$5),12,31)-DATE(YEAR(Invoer!$A$5),1,1)+1))+2,1)</f>
        <v>82</v>
      </c>
      <c r="B1095" t="str">
        <f ca="1">TEXT(DATE(YEAR(Invoer!$A$5),1,1)+MOD(ROWS(B$2:B1095)-1,DATE(YEAR(Invoer!$A$5),12,31)-DATE(YEAR(Invoer!$A$5),1,1)+1),"jjjjmmdd")</f>
        <v>19401227</v>
      </c>
      <c r="C1095" s="18">
        <v>1</v>
      </c>
      <c r="D1095" s="23">
        <f t="shared" ca="1" si="34"/>
        <v>0</v>
      </c>
      <c r="E1095" s="24">
        <f t="shared" ca="1" si="35"/>
        <v>0</v>
      </c>
    </row>
    <row r="1096" spans="1:5" x14ac:dyDescent="0.25">
      <c r="A1096" s="17">
        <f ca="1">INDEX(Stations,INT((ROWS(A$2:A1096)-1)/(DATE(YEAR(Invoer!$A$5),12,31)-DATE(YEAR(Invoer!$A$5),1,1)+1))+2,1)</f>
        <v>82</v>
      </c>
      <c r="B1096" t="str">
        <f ca="1">TEXT(DATE(YEAR(Invoer!$A$5),1,1)+MOD(ROWS(B$2:B1096)-1,DATE(YEAR(Invoer!$A$5),12,31)-DATE(YEAR(Invoer!$A$5),1,1)+1),"jjjjmmdd")</f>
        <v>19401228</v>
      </c>
      <c r="C1096" s="18">
        <v>1</v>
      </c>
      <c r="D1096" s="23">
        <f t="shared" ca="1" si="34"/>
        <v>0</v>
      </c>
      <c r="E1096" s="24">
        <f t="shared" ca="1" si="35"/>
        <v>0</v>
      </c>
    </row>
    <row r="1097" spans="1:5" x14ac:dyDescent="0.25">
      <c r="A1097" s="17">
        <f ca="1">INDEX(Stations,INT((ROWS(A$2:A1097)-1)/(DATE(YEAR(Invoer!$A$5),12,31)-DATE(YEAR(Invoer!$A$5),1,1)+1))+2,1)</f>
        <v>82</v>
      </c>
      <c r="B1097" t="str">
        <f ca="1">TEXT(DATE(YEAR(Invoer!$A$5),1,1)+MOD(ROWS(B$2:B1097)-1,DATE(YEAR(Invoer!$A$5),12,31)-DATE(YEAR(Invoer!$A$5),1,1)+1),"jjjjmmdd")</f>
        <v>19401229</v>
      </c>
      <c r="C1097" s="18">
        <v>1</v>
      </c>
      <c r="D1097" s="23">
        <f t="shared" ref="D1097:D1099" ca="1" si="36">IF(OR(ISBLANK(VLOOKUP(DATEVALUE(LEFT(B1097,4)&amp;"-"&amp;MID(B1097,5,2)&amp;"-"&amp;RIGHT(B1097,2)),Data,MATCH(VLOOKUP(A1097,Stations,2,FALSE()),OFFSET(Data,1,0,1),0),FALSE())),ISTEXT(VLOOKUP(DATEVALUE(LEFT(B1097,4)&amp;"-"&amp;MID(B1097,5,2)&amp;"-"&amp;RIGHT(B1097,2)),Data,MATCH(VLOOKUP(A1097,Stations,2,FALSE()),OFFSET(Data,1,0,1),0),FALSE()))),"—",VLOOKUP(DATEVALUE(LEFT(B1097,4)&amp;"-"&amp;MID(B1097,5,2)&amp;"-"&amp;RIGHT(B1097,2)),Data,MATCH(VLOOKUP(A1097,Stations,2,FALSE()),OFFSET(Data,1,0,1),0),FALSE()))</f>
        <v>20</v>
      </c>
      <c r="E1097" s="24">
        <f t="shared" ref="E1097:E1099" ca="1" si="37">IF(OR(ISBLANK(VLOOKUP(DATEVALUE(LEFT(B1097,4)&amp;"-"&amp;MID(B1097,5,2)&amp;"-"&amp;RIGHT(B1097,2)),Data,MATCH(VLOOKUP(A1097,Stations,2,FALSE()),OFFSET(Data,1,0,1),0),FALSE())),ISTEXT(VLOOKUP(DATEVALUE(LEFT(B1097,4)&amp;"-"&amp;MID(B1097,5,2)&amp;"-"&amp;RIGHT(B1097,2)),Data,MATCH(VLOOKUP(A1097,Stations,2,FALSE()),OFFSET(Data,1,0,1),0),FALSE()))),Lacking,IF(ISNA(MATCH(DATEVALUE(LEFT(B1097,4)&amp;"-"&amp;MID(B1097,5,2)&amp;"-"&amp;RIGHT(B1097,2)),OFFSET(Catalogus,0,0,,1),0)),Ok,VLOOKUP(DATEVALUE(LEFT(B1097,4)&amp;"-"&amp;MID(B1097,5,2)&amp;"-"&amp;RIGHT(B1097,2)),Catalogus,MATCH(VLOOKUP(A1097,Stations,2,FALSE()),OFFSET(Catalogus,1,0,1),0),FALSE())))</f>
        <v>0</v>
      </c>
    </row>
    <row r="1098" spans="1:5" x14ac:dyDescent="0.25">
      <c r="A1098" s="17">
        <f ca="1">INDEX(Stations,INT((ROWS(A$2:A1098)-1)/(DATE(YEAR(Invoer!$A$5),12,31)-DATE(YEAR(Invoer!$A$5),1,1)+1))+2,1)</f>
        <v>82</v>
      </c>
      <c r="B1098" t="str">
        <f ca="1">TEXT(DATE(YEAR(Invoer!$A$5),1,1)+MOD(ROWS(B$2:B1098)-1,DATE(YEAR(Invoer!$A$5),12,31)-DATE(YEAR(Invoer!$A$5),1,1)+1),"jjjjmmdd")</f>
        <v>19401230</v>
      </c>
      <c r="C1098" s="18">
        <v>1</v>
      </c>
      <c r="D1098" s="23">
        <f t="shared" ca="1" si="36"/>
        <v>0</v>
      </c>
      <c r="E1098" s="24">
        <f t="shared" ca="1" si="37"/>
        <v>0</v>
      </c>
    </row>
    <row r="1099" spans="1:5" x14ac:dyDescent="0.25">
      <c r="A1099" s="17">
        <f ca="1">INDEX(Stations,INT((ROWS(A$2:A1099)-1)/(DATE(YEAR(Invoer!$A$5),12,31)-DATE(YEAR(Invoer!$A$5),1,1)+1))+2,1)</f>
        <v>82</v>
      </c>
      <c r="B1099" t="str">
        <f ca="1">TEXT(DATE(YEAR(Invoer!$A$5),1,1)+MOD(ROWS(B$2:B1099)-1,DATE(YEAR(Invoer!$A$5),12,31)-DATE(YEAR(Invoer!$A$5),1,1)+1),"jjjjmmdd")</f>
        <v>19401231</v>
      </c>
      <c r="C1099" s="18">
        <v>1</v>
      </c>
      <c r="D1099" s="23">
        <f t="shared" ca="1" si="36"/>
        <v>0</v>
      </c>
      <c r="E1099" s="24">
        <f t="shared" ca="1" si="37"/>
        <v>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G1099"/>
  <sheetViews>
    <sheetView workbookViewId="0"/>
  </sheetViews>
  <sheetFormatPr defaultRowHeight="15" x14ac:dyDescent="0.25"/>
  <sheetData>
    <row r="1" spans="1:7" x14ac:dyDescent="0.25">
      <c r="A1" s="16" t="s">
        <v>11</v>
      </c>
      <c r="B1" s="15" t="s">
        <v>6</v>
      </c>
      <c r="C1" s="16" t="s">
        <v>15</v>
      </c>
      <c r="D1" s="16" t="s">
        <v>16</v>
      </c>
      <c r="E1" s="16" t="s">
        <v>17</v>
      </c>
      <c r="F1" s="16" t="s">
        <v>18</v>
      </c>
      <c r="G1" s="16" t="s">
        <v>19</v>
      </c>
    </row>
    <row r="2" spans="1:7" x14ac:dyDescent="0.25">
      <c r="A2" s="17">
        <f t="shared" ref="A2:A65" si="0">INDEX(Stations,2,1)</f>
        <v>81</v>
      </c>
      <c r="B2" t="str">
        <f ca="1">TEXT(DATE(YEAR(Invoer!$A$5),1,1)+INT((ROWS(B$2:B2)-1)/3),"jjjjmmdd")</f>
        <v>19400101</v>
      </c>
      <c r="C2" s="35" t="str">
        <f>INDEX(Data,2,2+MOD(ROWS(C$2:C2)-1,3))</f>
        <v>07.45</v>
      </c>
      <c r="D2" s="23">
        <f t="shared" ref="D2:D65" ca="1" si="1">IF(OR(ISBLANK(VLOOKUP(DATEVALUE(LEFT($B2,4)&amp;"-"&amp;MID($B2,5,2)&amp;"-"&amp;RIGHT($B2,2)),Data,MATCH(LEFT(VLOOKUP(D$1,Parameters,2,FALSE()),4)&amp;"*",OFFSET(Data,0,0,1),0)+MATCH($C2,OFFSET(Data,1,0,1),0)-2,FALSE())),ISTEXT(VLOOKUP(DATEVALUE(LEFT($B2,4)&amp;"-"&amp;MID($B2,5,2)&amp;"-"&amp;RIGHT($B2,2)),Data,MATCH(LEFT(VLOOKUP(D$1,Parameters,2,FALSE()),4)&amp;"*",OFFSET(Data,0,0,1),0)+MATCH($C2,OFFSET(Data,1,0,1),0)-2,FALSE()))),"—",VLOOKUP(DATEVALUE(LEFT($B2,4)&amp;"-"&amp;MID($B2,5,2)&amp;"-"&amp;RIGHT($B2,2)),Data,MATCH(LEFT(VLOOKUP(D$1,Parameters,2,FALSE()),4)&amp;"*",OFFSET(Data,0,0,1),0)+MATCH($C2,OFFSET(Data,1,0,1),0)-2,FALSE()))</f>
        <v>749</v>
      </c>
      <c r="E2" s="40">
        <f t="shared" ref="E2:E65" ca="1" si="2">IF(OR(ISBLANK(VLOOKUP(DATEVALUE(LEFT($B2,4)&amp;"-"&amp;MID($B2,5,2)&amp;"-"&amp;RIGHT($B2,2)),Data,MATCH(LEFT(VLOOKUP(MID(E$1,2,LEN(E$1)-1),Parameters,2,FALSE()),4)&amp;"*",OFFSET(Data,0,0,1),0)+MATCH($C2,OFFSET(Data,1,0,1),0)-2,FALSE())),ISTEXT(VLOOKUP(DATEVALUE(LEFT($B2,4)&amp;"-"&amp;MID($B2,5,2)&amp;"-"&amp;RIGHT($B2,2)),Data,MATCH(LEFT(VLOOKUP(MID(E$1,2,LEN(E$1)-1),Parameters,2,FALSE()),4)&amp;"*",OFFSET(Data,0,0,1),0)+MATCH($C2,OFFSET(Data,1,0,1),0)-2,FALSE()))),Lacking,IF(ISNA(MATCH(DATEVALUE(LEFT($B2,4)&amp;"-"&amp;MID($B2,5,2)&amp;"-"&amp;RIGHT($B2,2)),OFFSET(Catalogus,0,0,,1),0)),Ok,VLOOKUP(DATEVALUE(LEFT($B2,4)&amp;"-"&amp;MID($B2,5,2)&amp;"-"&amp;RIGHT($B2,2)),Catalogus,MATCH(LEFT(VLOOKUP(MID(E$1,2,LEN(E$1)-1),Parameters,2,FALSE()),4)&amp;"*",OFFSET(Catalogus,0,0,1),0)+MATCH($C2,OFFSET(Catalogus,1,0,1),0)-2,FALSE())))</f>
        <v>0</v>
      </c>
      <c r="F2" s="23">
        <f t="shared" ref="F2:F65" ca="1" si="3">IF(OR(ISBLANK(VLOOKUP(DATEVALUE(LEFT($B2,4)&amp;"-"&amp;MID($B2,5,2)&amp;"-"&amp;RIGHT($B2,2)),Data,MATCH(LEFT(VLOOKUP(F$1,Parameters,2,FALSE()),4)&amp;"*",OFFSET(Data,0,0,1),0)+MATCH($C2,OFFSET(Data,1,0,1),0)-2,FALSE())),ISTEXT(VLOOKUP(DATEVALUE(LEFT($B2,4)&amp;"-"&amp;MID($B2,5,2)&amp;"-"&amp;RIGHT($B2,2)),Data,MATCH(LEFT(VLOOKUP(F$1,Parameters,2,FALSE()),4)&amp;"*",OFFSET(Data,0,0,1),0)+MATCH($C2,OFFSET(Data,1,0,1),0)-2,FALSE()))),"—",VLOOKUP(DATEVALUE(LEFT($B2,4)&amp;"-"&amp;MID($B2,5,2)&amp;"-"&amp;RIGHT($B2,2)),Data,MATCH(LEFT(VLOOKUP(F$1,Parameters,2,FALSE()),4)&amp;"*",OFFSET(Data,0,0,1),0)+MATCH($C2,OFFSET(Data,1,0,1),0)-2,FALSE()))</f>
        <v>26</v>
      </c>
      <c r="G2" s="40">
        <f t="shared" ref="G2:G65" ca="1" si="4">IF(OR(ISBLANK(VLOOKUP(DATEVALUE(LEFT($B2,4)&amp;"-"&amp;MID($B2,5,2)&amp;"-"&amp;RIGHT($B2,2)),Data,MATCH(LEFT(VLOOKUP(MID(G$1,2,LEN(G$1)-1),Parameters,2,FALSE()),4)&amp;"*",OFFSET(Data,0,0,1),0)+MATCH($C2,OFFSET(Data,1,0,1),0)-2,FALSE())),ISTEXT(VLOOKUP(DATEVALUE(LEFT($B2,4)&amp;"-"&amp;MID($B2,5,2)&amp;"-"&amp;RIGHT($B2,2)),Data,MATCH(LEFT(VLOOKUP(MID(G$1,2,LEN(G$1)-1),Parameters,2,FALSE()),4)&amp;"*",OFFSET(Data,0,0,1),0)+MATCH($C2,OFFSET(Data,1,0,1),0)-2,FALSE()))),Lacking,IF(ISNA(MATCH(DATEVALUE(LEFT($B2,4)&amp;"-"&amp;MID($B2,5,2)&amp;"-"&amp;RIGHT($B2,2)),OFFSET(Catalogus,0,0,,1),0)),Ok,VLOOKUP(DATEVALUE(LEFT($B2,4)&amp;"-"&amp;MID($B2,5,2)&amp;"-"&amp;RIGHT($B2,2)),Catalogus,MATCH(LEFT(VLOOKUP(MID(G$1,2,LEN(G$1)-1),Parameters,2,FALSE()),4)&amp;"*",OFFSET(Catalogus,0,0,1),0)+MATCH($C2,OFFSET(Catalogus,1,0,1),0)-2,FALSE())))</f>
        <v>0</v>
      </c>
    </row>
    <row r="3" spans="1:7" x14ac:dyDescent="0.25">
      <c r="A3" s="17">
        <f t="shared" si="0"/>
        <v>81</v>
      </c>
      <c r="B3" t="str">
        <f ca="1">TEXT(DATE(YEAR(Invoer!$A$5),1,1)+INT((ROWS(B$2:B3)-1)/3),"jjjjmmdd")</f>
        <v>19400101</v>
      </c>
      <c r="C3" s="35" t="str">
        <f>INDEX(Data,2,2+MOD(ROWS(C$2:C3)-1,3))</f>
        <v>13.45</v>
      </c>
      <c r="D3" s="23">
        <f t="shared" ca="1" si="1"/>
        <v>748</v>
      </c>
      <c r="E3" s="40">
        <f t="shared" ca="1" si="2"/>
        <v>0</v>
      </c>
      <c r="F3" s="23">
        <f t="shared" ca="1" si="3"/>
        <v>28</v>
      </c>
      <c r="G3" s="40">
        <f t="shared" ca="1" si="4"/>
        <v>0</v>
      </c>
    </row>
    <row r="4" spans="1:7" x14ac:dyDescent="0.25">
      <c r="A4" s="17">
        <f t="shared" si="0"/>
        <v>81</v>
      </c>
      <c r="B4" t="str">
        <f ca="1">TEXT(DATE(YEAR(Invoer!$A$5),1,1)+INT((ROWS(B$2:B4)-1)/3),"jjjjmmdd")</f>
        <v>19400101</v>
      </c>
      <c r="C4" s="35" t="str">
        <f>INDEX(Data,2,2+MOD(ROWS(C$2:C4)-1,3))</f>
        <v>19.45</v>
      </c>
      <c r="D4" s="23">
        <f t="shared" ca="1" si="1"/>
        <v>749</v>
      </c>
      <c r="E4" s="40">
        <f t="shared" ca="1" si="2"/>
        <v>0</v>
      </c>
      <c r="F4" s="23">
        <f t="shared" ca="1" si="3"/>
        <v>27</v>
      </c>
      <c r="G4" s="40">
        <f t="shared" ca="1" si="4"/>
        <v>0</v>
      </c>
    </row>
    <row r="5" spans="1:7" x14ac:dyDescent="0.25">
      <c r="A5" s="17">
        <f t="shared" si="0"/>
        <v>81</v>
      </c>
      <c r="B5" t="str">
        <f ca="1">TEXT(DATE(YEAR(Invoer!$A$5),1,1)+INT((ROWS(B$2:B5)-1)/3),"jjjjmmdd")</f>
        <v>19400102</v>
      </c>
      <c r="C5" s="35" t="str">
        <f>INDEX(Data,2,2+MOD(ROWS(C$2:C5)-1,3))</f>
        <v>07.45</v>
      </c>
      <c r="D5" s="23">
        <f t="shared" ca="1" si="1"/>
        <v>750</v>
      </c>
      <c r="E5" s="40">
        <f t="shared" ca="1" si="2"/>
        <v>0</v>
      </c>
      <c r="F5" s="23">
        <f t="shared" ca="1" si="3"/>
        <v>26</v>
      </c>
      <c r="G5" s="40">
        <f t="shared" ca="1" si="4"/>
        <v>0</v>
      </c>
    </row>
    <row r="6" spans="1:7" x14ac:dyDescent="0.25">
      <c r="A6" s="17">
        <f t="shared" si="0"/>
        <v>81</v>
      </c>
      <c r="B6" t="str">
        <f ca="1">TEXT(DATE(YEAR(Invoer!$A$5),1,1)+INT((ROWS(B$2:B6)-1)/3),"jjjjmmdd")</f>
        <v>19400102</v>
      </c>
      <c r="C6" s="35" t="str">
        <f>INDEX(Data,2,2+MOD(ROWS(C$2:C6)-1,3))</f>
        <v>13.45</v>
      </c>
      <c r="D6" s="23">
        <f t="shared" ca="1" si="1"/>
        <v>749</v>
      </c>
      <c r="E6" s="40">
        <f t="shared" ca="1" si="2"/>
        <v>0</v>
      </c>
      <c r="F6" s="23">
        <f t="shared" ca="1" si="3"/>
        <v>27</v>
      </c>
      <c r="G6" s="40">
        <f t="shared" ca="1" si="4"/>
        <v>0</v>
      </c>
    </row>
    <row r="7" spans="1:7" x14ac:dyDescent="0.25">
      <c r="A7" s="17">
        <f t="shared" si="0"/>
        <v>81</v>
      </c>
      <c r="B7" t="str">
        <f ca="1">TEXT(DATE(YEAR(Invoer!$A$5),1,1)+INT((ROWS(B$2:B7)-1)/3),"jjjjmmdd")</f>
        <v>19400102</v>
      </c>
      <c r="C7" s="35" t="str">
        <f>INDEX(Data,2,2+MOD(ROWS(C$2:C7)-1,3))</f>
        <v>19.45</v>
      </c>
      <c r="D7" s="23">
        <f t="shared" ca="1" si="1"/>
        <v>750</v>
      </c>
      <c r="E7" s="40">
        <f t="shared" ca="1" si="2"/>
        <v>0</v>
      </c>
      <c r="F7" s="23">
        <f t="shared" ca="1" si="3"/>
        <v>27</v>
      </c>
      <c r="G7" s="40">
        <f t="shared" ca="1" si="4"/>
        <v>0</v>
      </c>
    </row>
    <row r="8" spans="1:7" x14ac:dyDescent="0.25">
      <c r="A8" s="17">
        <f t="shared" si="0"/>
        <v>81</v>
      </c>
      <c r="B8" t="str">
        <f ca="1">TEXT(DATE(YEAR(Invoer!$A$5),1,1)+INT((ROWS(B$2:B8)-1)/3),"jjjjmmdd")</f>
        <v>19400103</v>
      </c>
      <c r="C8" s="35" t="str">
        <f>INDEX(Data,2,2+MOD(ROWS(C$2:C8)-1,3))</f>
        <v>07.45</v>
      </c>
      <c r="D8" s="23">
        <f t="shared" ca="1" si="1"/>
        <v>750</v>
      </c>
      <c r="E8" s="40">
        <f t="shared" ca="1" si="2"/>
        <v>0</v>
      </c>
      <c r="F8" s="23">
        <f t="shared" ca="1" si="3"/>
        <v>26</v>
      </c>
      <c r="G8" s="40">
        <f t="shared" ca="1" si="4"/>
        <v>0</v>
      </c>
    </row>
    <row r="9" spans="1:7" x14ac:dyDescent="0.25">
      <c r="A9" s="17">
        <f t="shared" si="0"/>
        <v>81</v>
      </c>
      <c r="B9" t="str">
        <f ca="1">TEXT(DATE(YEAR(Invoer!$A$5),1,1)+INT((ROWS(B$2:B9)-1)/3),"jjjjmmdd")</f>
        <v>19400103</v>
      </c>
      <c r="C9" s="35" t="str">
        <f>INDEX(Data,2,2+MOD(ROWS(C$2:C9)-1,3))</f>
        <v>13.45</v>
      </c>
      <c r="D9" s="23">
        <f t="shared" ca="1" si="1"/>
        <v>750</v>
      </c>
      <c r="E9" s="40">
        <f t="shared" ca="1" si="2"/>
        <v>0</v>
      </c>
      <c r="F9" s="23">
        <f t="shared" ca="1" si="3"/>
        <v>28</v>
      </c>
      <c r="G9" s="40">
        <f t="shared" ca="1" si="4"/>
        <v>0</v>
      </c>
    </row>
    <row r="10" spans="1:7" x14ac:dyDescent="0.25">
      <c r="A10" s="17">
        <f t="shared" si="0"/>
        <v>81</v>
      </c>
      <c r="B10" t="str">
        <f ca="1">TEXT(DATE(YEAR(Invoer!$A$5),1,1)+INT((ROWS(B$2:B10)-1)/3),"jjjjmmdd")</f>
        <v>19400103</v>
      </c>
      <c r="C10" s="35" t="str">
        <f>INDEX(Data,2,2+MOD(ROWS(C$2:C10)-1,3))</f>
        <v>19.45</v>
      </c>
      <c r="D10" s="23">
        <f t="shared" ca="1" si="1"/>
        <v>750</v>
      </c>
      <c r="E10" s="40">
        <f t="shared" ca="1" si="2"/>
        <v>0</v>
      </c>
      <c r="F10" s="23">
        <f t="shared" ca="1" si="3"/>
        <v>27</v>
      </c>
      <c r="G10" s="40">
        <f t="shared" ca="1" si="4"/>
        <v>0</v>
      </c>
    </row>
    <row r="11" spans="1:7" x14ac:dyDescent="0.25">
      <c r="A11" s="17">
        <f t="shared" si="0"/>
        <v>81</v>
      </c>
      <c r="B11" t="str">
        <f ca="1">TEXT(DATE(YEAR(Invoer!$A$5),1,1)+INT((ROWS(B$2:B11)-1)/3),"jjjjmmdd")</f>
        <v>19400104</v>
      </c>
      <c r="C11" s="35" t="str">
        <f>INDEX(Data,2,2+MOD(ROWS(C$2:C11)-1,3))</f>
        <v>07.45</v>
      </c>
      <c r="D11" s="23">
        <f t="shared" ca="1" si="1"/>
        <v>750</v>
      </c>
      <c r="E11" s="40">
        <f t="shared" ca="1" si="2"/>
        <v>0</v>
      </c>
      <c r="F11" s="23">
        <f t="shared" ca="1" si="3"/>
        <v>26</v>
      </c>
      <c r="G11" s="40">
        <f t="shared" ca="1" si="4"/>
        <v>0</v>
      </c>
    </row>
    <row r="12" spans="1:7" x14ac:dyDescent="0.25">
      <c r="A12" s="17">
        <f t="shared" si="0"/>
        <v>81</v>
      </c>
      <c r="B12" t="str">
        <f ca="1">TEXT(DATE(YEAR(Invoer!$A$5),1,1)+INT((ROWS(B$2:B12)-1)/3),"jjjjmmdd")</f>
        <v>19400104</v>
      </c>
      <c r="C12" s="35" t="str">
        <f>INDEX(Data,2,2+MOD(ROWS(C$2:C12)-1,3))</f>
        <v>13.45</v>
      </c>
      <c r="D12" s="23">
        <f t="shared" ca="1" si="1"/>
        <v>750</v>
      </c>
      <c r="E12" s="40">
        <f t="shared" ca="1" si="2"/>
        <v>0</v>
      </c>
      <c r="F12" s="23">
        <f t="shared" ca="1" si="3"/>
        <v>28</v>
      </c>
      <c r="G12" s="40">
        <f t="shared" ca="1" si="4"/>
        <v>0</v>
      </c>
    </row>
    <row r="13" spans="1:7" x14ac:dyDescent="0.25">
      <c r="A13" s="17">
        <f t="shared" si="0"/>
        <v>81</v>
      </c>
      <c r="B13" t="str">
        <f ca="1">TEXT(DATE(YEAR(Invoer!$A$5),1,1)+INT((ROWS(B$2:B13)-1)/3),"jjjjmmdd")</f>
        <v>19400104</v>
      </c>
      <c r="C13" s="35" t="str">
        <f>INDEX(Data,2,2+MOD(ROWS(C$2:C13)-1,3))</f>
        <v>19.45</v>
      </c>
      <c r="D13" s="23">
        <f t="shared" ca="1" si="1"/>
        <v>750</v>
      </c>
      <c r="E13" s="40">
        <f t="shared" ca="1" si="2"/>
        <v>0</v>
      </c>
      <c r="F13" s="23">
        <f t="shared" ca="1" si="3"/>
        <v>27</v>
      </c>
      <c r="G13" s="40">
        <f t="shared" ca="1" si="4"/>
        <v>0</v>
      </c>
    </row>
    <row r="14" spans="1:7" x14ac:dyDescent="0.25">
      <c r="A14" s="17">
        <f t="shared" si="0"/>
        <v>81</v>
      </c>
      <c r="B14" t="str">
        <f ca="1">TEXT(DATE(YEAR(Invoer!$A$5),1,1)+INT((ROWS(B$2:B14)-1)/3),"jjjjmmdd")</f>
        <v>19400105</v>
      </c>
      <c r="C14" s="35" t="str">
        <f>INDEX(Data,2,2+MOD(ROWS(C$2:C14)-1,3))</f>
        <v>07.45</v>
      </c>
      <c r="D14" s="23">
        <f t="shared" ca="1" si="1"/>
        <v>750</v>
      </c>
      <c r="E14" s="40">
        <f t="shared" ca="1" si="2"/>
        <v>0</v>
      </c>
      <c r="F14" s="23">
        <f t="shared" ca="1" si="3"/>
        <v>26</v>
      </c>
      <c r="G14" s="40">
        <f t="shared" ca="1" si="4"/>
        <v>0</v>
      </c>
    </row>
    <row r="15" spans="1:7" x14ac:dyDescent="0.25">
      <c r="A15" s="17">
        <f t="shared" si="0"/>
        <v>81</v>
      </c>
      <c r="B15" t="str">
        <f ca="1">TEXT(DATE(YEAR(Invoer!$A$5),1,1)+INT((ROWS(B$2:B15)-1)/3),"jjjjmmdd")</f>
        <v>19400105</v>
      </c>
      <c r="C15" s="35" t="str">
        <f>INDEX(Data,2,2+MOD(ROWS(C$2:C15)-1,3))</f>
        <v>13.45</v>
      </c>
      <c r="D15" s="23">
        <f t="shared" ca="1" si="1"/>
        <v>750</v>
      </c>
      <c r="E15" s="40">
        <f t="shared" ca="1" si="2"/>
        <v>0</v>
      </c>
      <c r="F15" s="23">
        <f t="shared" ca="1" si="3"/>
        <v>28</v>
      </c>
      <c r="G15" s="40">
        <f t="shared" ca="1" si="4"/>
        <v>0</v>
      </c>
    </row>
    <row r="16" spans="1:7" x14ac:dyDescent="0.25">
      <c r="A16" s="17">
        <f t="shared" si="0"/>
        <v>81</v>
      </c>
      <c r="B16" t="str">
        <f ca="1">TEXT(DATE(YEAR(Invoer!$A$5),1,1)+INT((ROWS(B$2:B16)-1)/3),"jjjjmmdd")</f>
        <v>19400105</v>
      </c>
      <c r="C16" s="35" t="str">
        <f>INDEX(Data,2,2+MOD(ROWS(C$2:C16)-1,3))</f>
        <v>19.45</v>
      </c>
      <c r="D16" s="23">
        <f t="shared" ca="1" si="1"/>
        <v>750</v>
      </c>
      <c r="E16" s="40">
        <f t="shared" ca="1" si="2"/>
        <v>0</v>
      </c>
      <c r="F16" s="23">
        <f t="shared" ca="1" si="3"/>
        <v>27</v>
      </c>
      <c r="G16" s="40">
        <f t="shared" ca="1" si="4"/>
        <v>0</v>
      </c>
    </row>
    <row r="17" spans="1:7" x14ac:dyDescent="0.25">
      <c r="A17" s="17">
        <f t="shared" si="0"/>
        <v>81</v>
      </c>
      <c r="B17" t="str">
        <f ca="1">TEXT(DATE(YEAR(Invoer!$A$5),1,1)+INT((ROWS(B$2:B17)-1)/3),"jjjjmmdd")</f>
        <v>19400106</v>
      </c>
      <c r="C17" s="35" t="str">
        <f>INDEX(Data,2,2+MOD(ROWS(C$2:C17)-1,3))</f>
        <v>07.45</v>
      </c>
      <c r="D17" s="23">
        <f t="shared" ca="1" si="1"/>
        <v>750</v>
      </c>
      <c r="E17" s="40">
        <f t="shared" ca="1" si="2"/>
        <v>0</v>
      </c>
      <c r="F17" s="23">
        <f t="shared" ca="1" si="3"/>
        <v>26</v>
      </c>
      <c r="G17" s="40">
        <f t="shared" ca="1" si="4"/>
        <v>0</v>
      </c>
    </row>
    <row r="18" spans="1:7" x14ac:dyDescent="0.25">
      <c r="A18" s="17">
        <f t="shared" si="0"/>
        <v>81</v>
      </c>
      <c r="B18" t="str">
        <f ca="1">TEXT(DATE(YEAR(Invoer!$A$5),1,1)+INT((ROWS(B$2:B18)-1)/3),"jjjjmmdd")</f>
        <v>19400106</v>
      </c>
      <c r="C18" s="35" t="str">
        <f>INDEX(Data,2,2+MOD(ROWS(C$2:C18)-1,3))</f>
        <v>13.45</v>
      </c>
      <c r="D18" s="23">
        <f t="shared" ca="1" si="1"/>
        <v>750</v>
      </c>
      <c r="E18" s="40">
        <f t="shared" ca="1" si="2"/>
        <v>0</v>
      </c>
      <c r="F18" s="23">
        <f t="shared" ca="1" si="3"/>
        <v>28</v>
      </c>
      <c r="G18" s="40">
        <f t="shared" ca="1" si="4"/>
        <v>0</v>
      </c>
    </row>
    <row r="19" spans="1:7" x14ac:dyDescent="0.25">
      <c r="A19" s="17">
        <f t="shared" si="0"/>
        <v>81</v>
      </c>
      <c r="B19" t="str">
        <f ca="1">TEXT(DATE(YEAR(Invoer!$A$5),1,1)+INT((ROWS(B$2:B19)-1)/3),"jjjjmmdd")</f>
        <v>19400106</v>
      </c>
      <c r="C19" s="35" t="str">
        <f>INDEX(Data,2,2+MOD(ROWS(C$2:C19)-1,3))</f>
        <v>19.45</v>
      </c>
      <c r="D19" s="23">
        <f t="shared" ca="1" si="1"/>
        <v>750</v>
      </c>
      <c r="E19" s="40">
        <f t="shared" ca="1" si="2"/>
        <v>0</v>
      </c>
      <c r="F19" s="23">
        <f t="shared" ca="1" si="3"/>
        <v>27</v>
      </c>
      <c r="G19" s="40">
        <f t="shared" ca="1" si="4"/>
        <v>0</v>
      </c>
    </row>
    <row r="20" spans="1:7" x14ac:dyDescent="0.25">
      <c r="A20" s="17">
        <f t="shared" si="0"/>
        <v>81</v>
      </c>
      <c r="B20" t="str">
        <f ca="1">TEXT(DATE(YEAR(Invoer!$A$5),1,1)+INT((ROWS(B$2:B20)-1)/3),"jjjjmmdd")</f>
        <v>19400107</v>
      </c>
      <c r="C20" s="35" t="str">
        <f>INDEX(Data,2,2+MOD(ROWS(C$2:C20)-1,3))</f>
        <v>07.45</v>
      </c>
      <c r="D20" s="23">
        <f t="shared" ca="1" si="1"/>
        <v>750</v>
      </c>
      <c r="E20" s="40">
        <f t="shared" ca="1" si="2"/>
        <v>0</v>
      </c>
      <c r="F20" s="23">
        <f t="shared" ca="1" si="3"/>
        <v>26</v>
      </c>
      <c r="G20" s="40">
        <f t="shared" ca="1" si="4"/>
        <v>0</v>
      </c>
    </row>
    <row r="21" spans="1:7" x14ac:dyDescent="0.25">
      <c r="A21" s="17">
        <f t="shared" si="0"/>
        <v>81</v>
      </c>
      <c r="B21" t="str">
        <f ca="1">TEXT(DATE(YEAR(Invoer!$A$5),1,1)+INT((ROWS(B$2:B21)-1)/3),"jjjjmmdd")</f>
        <v>19400107</v>
      </c>
      <c r="C21" s="35" t="str">
        <f>INDEX(Data,2,2+MOD(ROWS(C$2:C21)-1,3))</f>
        <v>13.45</v>
      </c>
      <c r="D21" s="23">
        <f t="shared" ca="1" si="1"/>
        <v>750</v>
      </c>
      <c r="E21" s="40">
        <f t="shared" ca="1" si="2"/>
        <v>0</v>
      </c>
      <c r="F21" s="23">
        <f t="shared" ca="1" si="3"/>
        <v>28</v>
      </c>
      <c r="G21" s="40">
        <f t="shared" ca="1" si="4"/>
        <v>0</v>
      </c>
    </row>
    <row r="22" spans="1:7" x14ac:dyDescent="0.25">
      <c r="A22" s="17">
        <f t="shared" si="0"/>
        <v>81</v>
      </c>
      <c r="B22" t="str">
        <f ca="1">TEXT(DATE(YEAR(Invoer!$A$5),1,1)+INT((ROWS(B$2:B22)-1)/3),"jjjjmmdd")</f>
        <v>19400107</v>
      </c>
      <c r="C22" s="35" t="str">
        <f>INDEX(Data,2,2+MOD(ROWS(C$2:C22)-1,3))</f>
        <v>19.45</v>
      </c>
      <c r="D22" s="23">
        <f t="shared" ca="1" si="1"/>
        <v>750</v>
      </c>
      <c r="E22" s="40">
        <f t="shared" ca="1" si="2"/>
        <v>0</v>
      </c>
      <c r="F22" s="23">
        <f t="shared" ca="1" si="3"/>
        <v>27</v>
      </c>
      <c r="G22" s="40">
        <f t="shared" ca="1" si="4"/>
        <v>0</v>
      </c>
    </row>
    <row r="23" spans="1:7" x14ac:dyDescent="0.25">
      <c r="A23" s="17">
        <f t="shared" si="0"/>
        <v>81</v>
      </c>
      <c r="B23" t="str">
        <f ca="1">TEXT(DATE(YEAR(Invoer!$A$5),1,1)+INT((ROWS(B$2:B23)-1)/3),"jjjjmmdd")</f>
        <v>19400108</v>
      </c>
      <c r="C23" s="35" t="str">
        <f>INDEX(Data,2,2+MOD(ROWS(C$2:C23)-1,3))</f>
        <v>07.45</v>
      </c>
      <c r="D23" s="23">
        <f t="shared" ca="1" si="1"/>
        <v>751</v>
      </c>
      <c r="E23" s="40">
        <f t="shared" ca="1" si="2"/>
        <v>0</v>
      </c>
      <c r="F23" s="23">
        <f t="shared" ca="1" si="3"/>
        <v>26</v>
      </c>
      <c r="G23" s="40">
        <f t="shared" ca="1" si="4"/>
        <v>0</v>
      </c>
    </row>
    <row r="24" spans="1:7" x14ac:dyDescent="0.25">
      <c r="A24" s="17">
        <f t="shared" si="0"/>
        <v>81</v>
      </c>
      <c r="B24" t="str">
        <f ca="1">TEXT(DATE(YEAR(Invoer!$A$5),1,1)+INT((ROWS(B$2:B24)-1)/3),"jjjjmmdd")</f>
        <v>19400108</v>
      </c>
      <c r="C24" s="35" t="str">
        <f>INDEX(Data,2,2+MOD(ROWS(C$2:C24)-1,3))</f>
        <v>13.45</v>
      </c>
      <c r="D24" s="23">
        <f t="shared" ca="1" si="1"/>
        <v>751</v>
      </c>
      <c r="E24" s="40">
        <f t="shared" ca="1" si="2"/>
        <v>0</v>
      </c>
      <c r="F24" s="23">
        <f t="shared" ca="1" si="3"/>
        <v>27</v>
      </c>
      <c r="G24" s="40">
        <f t="shared" ca="1" si="4"/>
        <v>0</v>
      </c>
    </row>
    <row r="25" spans="1:7" x14ac:dyDescent="0.25">
      <c r="A25" s="17">
        <f t="shared" si="0"/>
        <v>81</v>
      </c>
      <c r="B25" t="str">
        <f ca="1">TEXT(DATE(YEAR(Invoer!$A$5),1,1)+INT((ROWS(B$2:B25)-1)/3),"jjjjmmdd")</f>
        <v>19400108</v>
      </c>
      <c r="C25" s="35" t="str">
        <f>INDEX(Data,2,2+MOD(ROWS(C$2:C25)-1,3))</f>
        <v>19.45</v>
      </c>
      <c r="D25" s="23">
        <f t="shared" ca="1" si="1"/>
        <v>751</v>
      </c>
      <c r="E25" s="40">
        <f t="shared" ca="1" si="2"/>
        <v>0</v>
      </c>
      <c r="F25" s="23">
        <f t="shared" ca="1" si="3"/>
        <v>26</v>
      </c>
      <c r="G25" s="40">
        <f t="shared" ca="1" si="4"/>
        <v>0</v>
      </c>
    </row>
    <row r="26" spans="1:7" x14ac:dyDescent="0.25">
      <c r="A26" s="17">
        <f t="shared" si="0"/>
        <v>81</v>
      </c>
      <c r="B26" t="str">
        <f ca="1">TEXT(DATE(YEAR(Invoer!$A$5),1,1)+INT((ROWS(B$2:B26)-1)/3),"jjjjmmdd")</f>
        <v>19400109</v>
      </c>
      <c r="C26" s="35" t="str">
        <f>INDEX(Data,2,2+MOD(ROWS(C$2:C26)-1,3))</f>
        <v>07.45</v>
      </c>
      <c r="D26" s="23">
        <f t="shared" ca="1" si="1"/>
        <v>751</v>
      </c>
      <c r="E26" s="40">
        <f t="shared" ca="1" si="2"/>
        <v>0</v>
      </c>
      <c r="F26" s="23">
        <f t="shared" ca="1" si="3"/>
        <v>26</v>
      </c>
      <c r="G26" s="40">
        <f t="shared" ca="1" si="4"/>
        <v>0</v>
      </c>
    </row>
    <row r="27" spans="1:7" x14ac:dyDescent="0.25">
      <c r="A27" s="17">
        <f t="shared" si="0"/>
        <v>81</v>
      </c>
      <c r="B27" t="str">
        <f ca="1">TEXT(DATE(YEAR(Invoer!$A$5),1,1)+INT((ROWS(B$2:B27)-1)/3),"jjjjmmdd")</f>
        <v>19400109</v>
      </c>
      <c r="C27" s="35" t="str">
        <f>INDEX(Data,2,2+MOD(ROWS(C$2:C27)-1,3))</f>
        <v>13.45</v>
      </c>
      <c r="D27" s="23">
        <f t="shared" ca="1" si="1"/>
        <v>751</v>
      </c>
      <c r="E27" s="40">
        <f t="shared" ca="1" si="2"/>
        <v>0</v>
      </c>
      <c r="F27" s="23">
        <f t="shared" ca="1" si="3"/>
        <v>27</v>
      </c>
      <c r="G27" s="40">
        <f t="shared" ca="1" si="4"/>
        <v>0</v>
      </c>
    </row>
    <row r="28" spans="1:7" x14ac:dyDescent="0.25">
      <c r="A28" s="17">
        <f t="shared" si="0"/>
        <v>81</v>
      </c>
      <c r="B28" t="str">
        <f ca="1">TEXT(DATE(YEAR(Invoer!$A$5),1,1)+INT((ROWS(B$2:B28)-1)/3),"jjjjmmdd")</f>
        <v>19400109</v>
      </c>
      <c r="C28" s="35" t="str">
        <f>INDEX(Data,2,2+MOD(ROWS(C$2:C28)-1,3))</f>
        <v>19.45</v>
      </c>
      <c r="D28" s="23">
        <f t="shared" ca="1" si="1"/>
        <v>751</v>
      </c>
      <c r="E28" s="40">
        <f t="shared" ca="1" si="2"/>
        <v>0</v>
      </c>
      <c r="F28" s="23">
        <f t="shared" ca="1" si="3"/>
        <v>27</v>
      </c>
      <c r="G28" s="40">
        <f t="shared" ca="1" si="4"/>
        <v>0</v>
      </c>
    </row>
    <row r="29" spans="1:7" x14ac:dyDescent="0.25">
      <c r="A29" s="17">
        <f t="shared" si="0"/>
        <v>81</v>
      </c>
      <c r="B29" t="str">
        <f ca="1">TEXT(DATE(YEAR(Invoer!$A$5),1,1)+INT((ROWS(B$2:B29)-1)/3),"jjjjmmdd")</f>
        <v>19400110</v>
      </c>
      <c r="C29" s="35" t="str">
        <f>INDEX(Data,2,2+MOD(ROWS(C$2:C29)-1,3))</f>
        <v>07.45</v>
      </c>
      <c r="D29" s="23">
        <f t="shared" ca="1" si="1"/>
        <v>751</v>
      </c>
      <c r="E29" s="40">
        <f t="shared" ca="1" si="2"/>
        <v>0</v>
      </c>
      <c r="F29" s="23">
        <f t="shared" ca="1" si="3"/>
        <v>26</v>
      </c>
      <c r="G29" s="40">
        <f t="shared" ca="1" si="4"/>
        <v>0</v>
      </c>
    </row>
    <row r="30" spans="1:7" x14ac:dyDescent="0.25">
      <c r="A30" s="17">
        <f t="shared" si="0"/>
        <v>81</v>
      </c>
      <c r="B30" t="str">
        <f ca="1">TEXT(DATE(YEAR(Invoer!$A$5),1,1)+INT((ROWS(B$2:B30)-1)/3),"jjjjmmdd")</f>
        <v>19400110</v>
      </c>
      <c r="C30" s="35" t="str">
        <f>INDEX(Data,2,2+MOD(ROWS(C$2:C30)-1,3))</f>
        <v>13.45</v>
      </c>
      <c r="D30" s="23">
        <f t="shared" ca="1" si="1"/>
        <v>750</v>
      </c>
      <c r="E30" s="40">
        <f t="shared" ca="1" si="2"/>
        <v>0</v>
      </c>
      <c r="F30" s="23">
        <f t="shared" ca="1" si="3"/>
        <v>28</v>
      </c>
      <c r="G30" s="40">
        <f t="shared" ca="1" si="4"/>
        <v>0</v>
      </c>
    </row>
    <row r="31" spans="1:7" x14ac:dyDescent="0.25">
      <c r="A31" s="17">
        <f t="shared" si="0"/>
        <v>81</v>
      </c>
      <c r="B31" t="str">
        <f ca="1">TEXT(DATE(YEAR(Invoer!$A$5),1,1)+INT((ROWS(B$2:B31)-1)/3),"jjjjmmdd")</f>
        <v>19400110</v>
      </c>
      <c r="C31" s="35" t="str">
        <f>INDEX(Data,2,2+MOD(ROWS(C$2:C31)-1,3))</f>
        <v>19.45</v>
      </c>
      <c r="D31" s="23">
        <f t="shared" ca="1" si="1"/>
        <v>751</v>
      </c>
      <c r="E31" s="40">
        <f t="shared" ca="1" si="2"/>
        <v>0</v>
      </c>
      <c r="F31" s="23">
        <f t="shared" ca="1" si="3"/>
        <v>27</v>
      </c>
      <c r="G31" s="40">
        <f t="shared" ca="1" si="4"/>
        <v>0</v>
      </c>
    </row>
    <row r="32" spans="1:7" x14ac:dyDescent="0.25">
      <c r="A32" s="17">
        <f t="shared" si="0"/>
        <v>81</v>
      </c>
      <c r="B32" t="str">
        <f ca="1">TEXT(DATE(YEAR(Invoer!$A$5),1,1)+INT((ROWS(B$2:B32)-1)/3),"jjjjmmdd")</f>
        <v>19400111</v>
      </c>
      <c r="C32" s="35" t="str">
        <f>INDEX(Data,2,2+MOD(ROWS(C$2:C32)-1,3))</f>
        <v>07.45</v>
      </c>
      <c r="D32" s="23">
        <f t="shared" ca="1" si="1"/>
        <v>750</v>
      </c>
      <c r="E32" s="40">
        <f t="shared" ca="1" si="2"/>
        <v>0</v>
      </c>
      <c r="F32" s="23">
        <f t="shared" ca="1" si="3"/>
        <v>25</v>
      </c>
      <c r="G32" s="40">
        <f t="shared" ca="1" si="4"/>
        <v>0</v>
      </c>
    </row>
    <row r="33" spans="1:7" x14ac:dyDescent="0.25">
      <c r="A33" s="17">
        <f t="shared" si="0"/>
        <v>81</v>
      </c>
      <c r="B33" t="str">
        <f ca="1">TEXT(DATE(YEAR(Invoer!$A$5),1,1)+INT((ROWS(B$2:B33)-1)/3),"jjjjmmdd")</f>
        <v>19400111</v>
      </c>
      <c r="C33" s="35" t="str">
        <f>INDEX(Data,2,2+MOD(ROWS(C$2:C33)-1,3))</f>
        <v>13.45</v>
      </c>
      <c r="D33" s="23">
        <f t="shared" ca="1" si="1"/>
        <v>749</v>
      </c>
      <c r="E33" s="40">
        <f t="shared" ca="1" si="2"/>
        <v>0</v>
      </c>
      <c r="F33" s="23">
        <f t="shared" ca="1" si="3"/>
        <v>27</v>
      </c>
      <c r="G33" s="40">
        <f t="shared" ca="1" si="4"/>
        <v>0</v>
      </c>
    </row>
    <row r="34" spans="1:7" x14ac:dyDescent="0.25">
      <c r="A34" s="17">
        <f t="shared" si="0"/>
        <v>81</v>
      </c>
      <c r="B34" t="str">
        <f ca="1">TEXT(DATE(YEAR(Invoer!$A$5),1,1)+INT((ROWS(B$2:B34)-1)/3),"jjjjmmdd")</f>
        <v>19400111</v>
      </c>
      <c r="C34" s="35" t="str">
        <f>INDEX(Data,2,2+MOD(ROWS(C$2:C34)-1,3))</f>
        <v>19.45</v>
      </c>
      <c r="D34" s="23">
        <f t="shared" ca="1" si="1"/>
        <v>749</v>
      </c>
      <c r="E34" s="40">
        <f t="shared" ca="1" si="2"/>
        <v>0</v>
      </c>
      <c r="F34" s="23">
        <f t="shared" ca="1" si="3"/>
        <v>26</v>
      </c>
      <c r="G34" s="40">
        <f t="shared" ca="1" si="4"/>
        <v>0</v>
      </c>
    </row>
    <row r="35" spans="1:7" x14ac:dyDescent="0.25">
      <c r="A35" s="17">
        <f t="shared" si="0"/>
        <v>81</v>
      </c>
      <c r="B35" t="str">
        <f ca="1">TEXT(DATE(YEAR(Invoer!$A$5),1,1)+INT((ROWS(B$2:B35)-1)/3),"jjjjmmdd")</f>
        <v>19400112</v>
      </c>
      <c r="C35" s="35" t="str">
        <f>INDEX(Data,2,2+MOD(ROWS(C$2:C35)-1,3))</f>
        <v>07.45</v>
      </c>
      <c r="D35" s="23">
        <f t="shared" ca="1" si="1"/>
        <v>749</v>
      </c>
      <c r="E35" s="40">
        <f t="shared" ca="1" si="2"/>
        <v>0</v>
      </c>
      <c r="F35" s="23">
        <f t="shared" ca="1" si="3"/>
        <v>25</v>
      </c>
      <c r="G35" s="40">
        <f t="shared" ca="1" si="4"/>
        <v>0</v>
      </c>
    </row>
    <row r="36" spans="1:7" x14ac:dyDescent="0.25">
      <c r="A36" s="17">
        <f t="shared" si="0"/>
        <v>81</v>
      </c>
      <c r="B36" t="str">
        <f ca="1">TEXT(DATE(YEAR(Invoer!$A$5),1,1)+INT((ROWS(B$2:B36)-1)/3),"jjjjmmdd")</f>
        <v>19400112</v>
      </c>
      <c r="C36" s="35" t="str">
        <f>INDEX(Data,2,2+MOD(ROWS(C$2:C36)-1,3))</f>
        <v>13.45</v>
      </c>
      <c r="D36" s="23">
        <f t="shared" ca="1" si="1"/>
        <v>748</v>
      </c>
      <c r="E36" s="40">
        <f t="shared" ca="1" si="2"/>
        <v>0</v>
      </c>
      <c r="F36" s="23">
        <f t="shared" ca="1" si="3"/>
        <v>27</v>
      </c>
      <c r="G36" s="40">
        <f t="shared" ca="1" si="4"/>
        <v>0</v>
      </c>
    </row>
    <row r="37" spans="1:7" x14ac:dyDescent="0.25">
      <c r="A37" s="17">
        <f t="shared" si="0"/>
        <v>81</v>
      </c>
      <c r="B37" t="str">
        <f ca="1">TEXT(DATE(YEAR(Invoer!$A$5),1,1)+INT((ROWS(B$2:B37)-1)/3),"jjjjmmdd")</f>
        <v>19400112</v>
      </c>
      <c r="C37" s="35" t="str">
        <f>INDEX(Data,2,2+MOD(ROWS(C$2:C37)-1,3))</f>
        <v>19.45</v>
      </c>
      <c r="D37" s="23">
        <f t="shared" ca="1" si="1"/>
        <v>748</v>
      </c>
      <c r="E37" s="40">
        <f t="shared" ca="1" si="2"/>
        <v>0</v>
      </c>
      <c r="F37" s="23">
        <f t="shared" ca="1" si="3"/>
        <v>26</v>
      </c>
      <c r="G37" s="40">
        <f t="shared" ca="1" si="4"/>
        <v>0</v>
      </c>
    </row>
    <row r="38" spans="1:7" x14ac:dyDescent="0.25">
      <c r="A38" s="17">
        <f t="shared" si="0"/>
        <v>81</v>
      </c>
      <c r="B38" t="str">
        <f ca="1">TEXT(DATE(YEAR(Invoer!$A$5),1,1)+INT((ROWS(B$2:B38)-1)/3),"jjjjmmdd")</f>
        <v>19400113</v>
      </c>
      <c r="C38" s="35" t="str">
        <f>INDEX(Data,2,2+MOD(ROWS(C$2:C38)-1,3))</f>
        <v>07.45</v>
      </c>
      <c r="D38" s="23">
        <f t="shared" ca="1" si="1"/>
        <v>748</v>
      </c>
      <c r="E38" s="40">
        <f t="shared" ca="1" si="2"/>
        <v>0</v>
      </c>
      <c r="F38" s="23">
        <f t="shared" ca="1" si="3"/>
        <v>25</v>
      </c>
      <c r="G38" s="40">
        <f t="shared" ca="1" si="4"/>
        <v>0</v>
      </c>
    </row>
    <row r="39" spans="1:7" x14ac:dyDescent="0.25">
      <c r="A39" s="17">
        <f t="shared" si="0"/>
        <v>81</v>
      </c>
      <c r="B39" t="str">
        <f ca="1">TEXT(DATE(YEAR(Invoer!$A$5),1,1)+INT((ROWS(B$2:B39)-1)/3),"jjjjmmdd")</f>
        <v>19400113</v>
      </c>
      <c r="C39" s="35" t="str">
        <f>INDEX(Data,2,2+MOD(ROWS(C$2:C39)-1,3))</f>
        <v>13.45</v>
      </c>
      <c r="D39" s="23">
        <f t="shared" ca="1" si="1"/>
        <v>748</v>
      </c>
      <c r="E39" s="40">
        <f t="shared" ca="1" si="2"/>
        <v>0</v>
      </c>
      <c r="F39" s="23">
        <f t="shared" ca="1" si="3"/>
        <v>26</v>
      </c>
      <c r="G39" s="40">
        <f t="shared" ca="1" si="4"/>
        <v>0</v>
      </c>
    </row>
    <row r="40" spans="1:7" x14ac:dyDescent="0.25">
      <c r="A40" s="17">
        <f t="shared" si="0"/>
        <v>81</v>
      </c>
      <c r="B40" t="str">
        <f ca="1">TEXT(DATE(YEAR(Invoer!$A$5),1,1)+INT((ROWS(B$2:B40)-1)/3),"jjjjmmdd")</f>
        <v>19400113</v>
      </c>
      <c r="C40" s="35" t="str">
        <f>INDEX(Data,2,2+MOD(ROWS(C$2:C40)-1,3))</f>
        <v>19.45</v>
      </c>
      <c r="D40" s="23">
        <f t="shared" ca="1" si="1"/>
        <v>748</v>
      </c>
      <c r="E40" s="40">
        <f t="shared" ca="1" si="2"/>
        <v>0</v>
      </c>
      <c r="F40" s="23">
        <f t="shared" ca="1" si="3"/>
        <v>25</v>
      </c>
      <c r="G40" s="40">
        <f t="shared" ca="1" si="4"/>
        <v>0</v>
      </c>
    </row>
    <row r="41" spans="1:7" x14ac:dyDescent="0.25">
      <c r="A41" s="17">
        <f t="shared" si="0"/>
        <v>81</v>
      </c>
      <c r="B41" t="str">
        <f ca="1">TEXT(DATE(YEAR(Invoer!$A$5),1,1)+INT((ROWS(B$2:B41)-1)/3),"jjjjmmdd")</f>
        <v>19400114</v>
      </c>
      <c r="C41" s="35" t="str">
        <f>INDEX(Data,2,2+MOD(ROWS(C$2:C41)-1,3))</f>
        <v>07.45</v>
      </c>
      <c r="D41" s="23">
        <f t="shared" ca="1" si="1"/>
        <v>748</v>
      </c>
      <c r="E41" s="40">
        <f t="shared" ca="1" si="2"/>
        <v>0</v>
      </c>
      <c r="F41" s="23">
        <f t="shared" ca="1" si="3"/>
        <v>24</v>
      </c>
      <c r="G41" s="40">
        <f t="shared" ca="1" si="4"/>
        <v>0</v>
      </c>
    </row>
    <row r="42" spans="1:7" x14ac:dyDescent="0.25">
      <c r="A42" s="17">
        <f t="shared" si="0"/>
        <v>81</v>
      </c>
      <c r="B42" t="str">
        <f ca="1">TEXT(DATE(YEAR(Invoer!$A$5),1,1)+INT((ROWS(B$2:B42)-1)/3),"jjjjmmdd")</f>
        <v>19400114</v>
      </c>
      <c r="C42" s="35" t="str">
        <f>INDEX(Data,2,2+MOD(ROWS(C$2:C42)-1,3))</f>
        <v>13.45</v>
      </c>
      <c r="D42" s="23">
        <f t="shared" ca="1" si="1"/>
        <v>747</v>
      </c>
      <c r="E42" s="40">
        <f t="shared" ca="1" si="2"/>
        <v>0</v>
      </c>
      <c r="F42" s="23">
        <f t="shared" ca="1" si="3"/>
        <v>26</v>
      </c>
      <c r="G42" s="40">
        <f t="shared" ca="1" si="4"/>
        <v>0</v>
      </c>
    </row>
    <row r="43" spans="1:7" x14ac:dyDescent="0.25">
      <c r="A43" s="17">
        <f t="shared" si="0"/>
        <v>81</v>
      </c>
      <c r="B43" t="str">
        <f ca="1">TEXT(DATE(YEAR(Invoer!$A$5),1,1)+INT((ROWS(B$2:B43)-1)/3),"jjjjmmdd")</f>
        <v>19400114</v>
      </c>
      <c r="C43" s="35" t="str">
        <f>INDEX(Data,2,2+MOD(ROWS(C$2:C43)-1,3))</f>
        <v>19.45</v>
      </c>
      <c r="D43" s="23">
        <f t="shared" ca="1" si="1"/>
        <v>748</v>
      </c>
      <c r="E43" s="40">
        <f t="shared" ca="1" si="2"/>
        <v>0</v>
      </c>
      <c r="F43" s="23">
        <f t="shared" ca="1" si="3"/>
        <v>26</v>
      </c>
      <c r="G43" s="40">
        <f t="shared" ca="1" si="4"/>
        <v>0</v>
      </c>
    </row>
    <row r="44" spans="1:7" x14ac:dyDescent="0.25">
      <c r="A44" s="17">
        <f t="shared" si="0"/>
        <v>81</v>
      </c>
      <c r="B44" t="str">
        <f ca="1">TEXT(DATE(YEAR(Invoer!$A$5),1,1)+INT((ROWS(B$2:B44)-1)/3),"jjjjmmdd")</f>
        <v>19400115</v>
      </c>
      <c r="C44" s="35" t="str">
        <f>INDEX(Data,2,2+MOD(ROWS(C$2:C44)-1,3))</f>
        <v>07.45</v>
      </c>
      <c r="D44" s="23">
        <f t="shared" ca="1" si="1"/>
        <v>748</v>
      </c>
      <c r="E44" s="40">
        <f t="shared" ca="1" si="2"/>
        <v>0</v>
      </c>
      <c r="F44" s="23">
        <f t="shared" ca="1" si="3"/>
        <v>25</v>
      </c>
      <c r="G44" s="40">
        <f t="shared" ca="1" si="4"/>
        <v>0</v>
      </c>
    </row>
    <row r="45" spans="1:7" x14ac:dyDescent="0.25">
      <c r="A45" s="17">
        <f t="shared" si="0"/>
        <v>81</v>
      </c>
      <c r="B45" t="str">
        <f ca="1">TEXT(DATE(YEAR(Invoer!$A$5),1,1)+INT((ROWS(B$2:B45)-1)/3),"jjjjmmdd")</f>
        <v>19400115</v>
      </c>
      <c r="C45" s="35" t="str">
        <f>INDEX(Data,2,2+MOD(ROWS(C$2:C45)-1,3))</f>
        <v>13.45</v>
      </c>
      <c r="D45" s="23">
        <f t="shared" ca="1" si="1"/>
        <v>748</v>
      </c>
      <c r="E45" s="40">
        <f t="shared" ca="1" si="2"/>
        <v>0</v>
      </c>
      <c r="F45" s="23">
        <f t="shared" ca="1" si="3"/>
        <v>27</v>
      </c>
      <c r="G45" s="40">
        <f t="shared" ca="1" si="4"/>
        <v>0</v>
      </c>
    </row>
    <row r="46" spans="1:7" x14ac:dyDescent="0.25">
      <c r="A46" s="17">
        <f t="shared" si="0"/>
        <v>81</v>
      </c>
      <c r="B46" t="str">
        <f ca="1">TEXT(DATE(YEAR(Invoer!$A$5),1,1)+INT((ROWS(B$2:B46)-1)/3),"jjjjmmdd")</f>
        <v>19400115</v>
      </c>
      <c r="C46" s="35" t="str">
        <f>INDEX(Data,2,2+MOD(ROWS(C$2:C46)-1,3))</f>
        <v>19.45</v>
      </c>
      <c r="D46" s="23">
        <f t="shared" ca="1" si="1"/>
        <v>748</v>
      </c>
      <c r="E46" s="40">
        <f t="shared" ca="1" si="2"/>
        <v>0</v>
      </c>
      <c r="F46" s="23">
        <f t="shared" ca="1" si="3"/>
        <v>26</v>
      </c>
      <c r="G46" s="40">
        <f t="shared" ca="1" si="4"/>
        <v>0</v>
      </c>
    </row>
    <row r="47" spans="1:7" x14ac:dyDescent="0.25">
      <c r="A47" s="17">
        <f t="shared" si="0"/>
        <v>81</v>
      </c>
      <c r="B47" t="str">
        <f ca="1">TEXT(DATE(YEAR(Invoer!$A$5),1,1)+INT((ROWS(B$2:B47)-1)/3),"jjjjmmdd")</f>
        <v>19400116</v>
      </c>
      <c r="C47" s="35" t="str">
        <f>INDEX(Data,2,2+MOD(ROWS(C$2:C47)-1,3))</f>
        <v>07.45</v>
      </c>
      <c r="D47" s="23">
        <f t="shared" ca="1" si="1"/>
        <v>748</v>
      </c>
      <c r="E47" s="40">
        <f t="shared" ca="1" si="2"/>
        <v>0</v>
      </c>
      <c r="F47" s="23">
        <f t="shared" ca="1" si="3"/>
        <v>25</v>
      </c>
      <c r="G47" s="40">
        <f t="shared" ca="1" si="4"/>
        <v>0</v>
      </c>
    </row>
    <row r="48" spans="1:7" x14ac:dyDescent="0.25">
      <c r="A48" s="17">
        <f t="shared" si="0"/>
        <v>81</v>
      </c>
      <c r="B48" t="str">
        <f ca="1">TEXT(DATE(YEAR(Invoer!$A$5),1,1)+INT((ROWS(B$2:B48)-1)/3),"jjjjmmdd")</f>
        <v>19400116</v>
      </c>
      <c r="C48" s="35" t="str">
        <f>INDEX(Data,2,2+MOD(ROWS(C$2:C48)-1,3))</f>
        <v>13.45</v>
      </c>
      <c r="D48" s="23">
        <f t="shared" ca="1" si="1"/>
        <v>747</v>
      </c>
      <c r="E48" s="40">
        <f t="shared" ca="1" si="2"/>
        <v>0</v>
      </c>
      <c r="F48" s="23">
        <f t="shared" ca="1" si="3"/>
        <v>27</v>
      </c>
      <c r="G48" s="40">
        <f t="shared" ca="1" si="4"/>
        <v>0</v>
      </c>
    </row>
    <row r="49" spans="1:7" x14ac:dyDescent="0.25">
      <c r="A49" s="17">
        <f t="shared" si="0"/>
        <v>81</v>
      </c>
      <c r="B49" t="str">
        <f ca="1">TEXT(DATE(YEAR(Invoer!$A$5),1,1)+INT((ROWS(B$2:B49)-1)/3),"jjjjmmdd")</f>
        <v>19400116</v>
      </c>
      <c r="C49" s="35" t="str">
        <f>INDEX(Data,2,2+MOD(ROWS(C$2:C49)-1,3))</f>
        <v>19.45</v>
      </c>
      <c r="D49" s="23">
        <f t="shared" ca="1" si="1"/>
        <v>748</v>
      </c>
      <c r="E49" s="40">
        <f t="shared" ca="1" si="2"/>
        <v>0</v>
      </c>
      <c r="F49" s="23">
        <f t="shared" ca="1" si="3"/>
        <v>27</v>
      </c>
      <c r="G49" s="40">
        <f t="shared" ca="1" si="4"/>
        <v>0</v>
      </c>
    </row>
    <row r="50" spans="1:7" x14ac:dyDescent="0.25">
      <c r="A50" s="17">
        <f t="shared" si="0"/>
        <v>81</v>
      </c>
      <c r="B50" t="str">
        <f ca="1">TEXT(DATE(YEAR(Invoer!$A$5),1,1)+INT((ROWS(B$2:B50)-1)/3),"jjjjmmdd")</f>
        <v>19400117</v>
      </c>
      <c r="C50" s="35" t="str">
        <f>INDEX(Data,2,2+MOD(ROWS(C$2:C50)-1,3))</f>
        <v>07.45</v>
      </c>
      <c r="D50" s="23">
        <f t="shared" ca="1" si="1"/>
        <v>747</v>
      </c>
      <c r="E50" s="40">
        <f t="shared" ca="1" si="2"/>
        <v>0</v>
      </c>
      <c r="F50" s="23">
        <f t="shared" ca="1" si="3"/>
        <v>26</v>
      </c>
      <c r="G50" s="40">
        <f t="shared" ca="1" si="4"/>
        <v>0</v>
      </c>
    </row>
    <row r="51" spans="1:7" x14ac:dyDescent="0.25">
      <c r="A51" s="17">
        <f t="shared" si="0"/>
        <v>81</v>
      </c>
      <c r="B51" t="str">
        <f ca="1">TEXT(DATE(YEAR(Invoer!$A$5),1,1)+INT((ROWS(B$2:B51)-1)/3),"jjjjmmdd")</f>
        <v>19400117</v>
      </c>
      <c r="C51" s="35" t="str">
        <f>INDEX(Data,2,2+MOD(ROWS(C$2:C51)-1,3))</f>
        <v>13.45</v>
      </c>
      <c r="D51" s="23">
        <f t="shared" ca="1" si="1"/>
        <v>747</v>
      </c>
      <c r="E51" s="40">
        <f t="shared" ca="1" si="2"/>
        <v>0</v>
      </c>
      <c r="F51" s="23">
        <f t="shared" ca="1" si="3"/>
        <v>27</v>
      </c>
      <c r="G51" s="40">
        <f t="shared" ca="1" si="4"/>
        <v>0</v>
      </c>
    </row>
    <row r="52" spans="1:7" x14ac:dyDescent="0.25">
      <c r="A52" s="17">
        <f t="shared" si="0"/>
        <v>81</v>
      </c>
      <c r="B52" t="str">
        <f ca="1">TEXT(DATE(YEAR(Invoer!$A$5),1,1)+INT((ROWS(B$2:B52)-1)/3),"jjjjmmdd")</f>
        <v>19400117</v>
      </c>
      <c r="C52" s="35" t="str">
        <f>INDEX(Data,2,2+MOD(ROWS(C$2:C52)-1,3))</f>
        <v>19.45</v>
      </c>
      <c r="D52" s="23">
        <f t="shared" ca="1" si="1"/>
        <v>748</v>
      </c>
      <c r="E52" s="40">
        <f t="shared" ca="1" si="2"/>
        <v>0</v>
      </c>
      <c r="F52" s="23">
        <f t="shared" ca="1" si="3"/>
        <v>26</v>
      </c>
      <c r="G52" s="40">
        <f t="shared" ca="1" si="4"/>
        <v>0</v>
      </c>
    </row>
    <row r="53" spans="1:7" x14ac:dyDescent="0.25">
      <c r="A53" s="17">
        <f t="shared" si="0"/>
        <v>81</v>
      </c>
      <c r="B53" t="str">
        <f ca="1">TEXT(DATE(YEAR(Invoer!$A$5),1,1)+INT((ROWS(B$2:B53)-1)/3),"jjjjmmdd")</f>
        <v>19400118</v>
      </c>
      <c r="C53" s="35" t="str">
        <f>INDEX(Data,2,2+MOD(ROWS(C$2:C53)-1,3))</f>
        <v>07.45</v>
      </c>
      <c r="D53" s="23">
        <f t="shared" ca="1" si="1"/>
        <v>749</v>
      </c>
      <c r="E53" s="40">
        <f t="shared" ca="1" si="2"/>
        <v>0</v>
      </c>
      <c r="F53" s="23">
        <f t="shared" ca="1" si="3"/>
        <v>25</v>
      </c>
      <c r="G53" s="40">
        <f t="shared" ca="1" si="4"/>
        <v>0</v>
      </c>
    </row>
    <row r="54" spans="1:7" x14ac:dyDescent="0.25">
      <c r="A54" s="17">
        <f t="shared" si="0"/>
        <v>81</v>
      </c>
      <c r="B54" t="str">
        <f ca="1">TEXT(DATE(YEAR(Invoer!$A$5),1,1)+INT((ROWS(B$2:B54)-1)/3),"jjjjmmdd")</f>
        <v>19400118</v>
      </c>
      <c r="C54" s="35" t="str">
        <f>INDEX(Data,2,2+MOD(ROWS(C$2:C54)-1,3))</f>
        <v>13.45</v>
      </c>
      <c r="D54" s="23">
        <f t="shared" ca="1" si="1"/>
        <v>748</v>
      </c>
      <c r="E54" s="40">
        <f t="shared" ca="1" si="2"/>
        <v>0</v>
      </c>
      <c r="F54" s="23">
        <f t="shared" ca="1" si="3"/>
        <v>27</v>
      </c>
      <c r="G54" s="40">
        <f t="shared" ca="1" si="4"/>
        <v>0</v>
      </c>
    </row>
    <row r="55" spans="1:7" x14ac:dyDescent="0.25">
      <c r="A55" s="17">
        <f t="shared" si="0"/>
        <v>81</v>
      </c>
      <c r="B55" t="str">
        <f ca="1">TEXT(DATE(YEAR(Invoer!$A$5),1,1)+INT((ROWS(B$2:B55)-1)/3),"jjjjmmdd")</f>
        <v>19400118</v>
      </c>
      <c r="C55" s="35" t="str">
        <f>INDEX(Data,2,2+MOD(ROWS(C$2:C55)-1,3))</f>
        <v>19.45</v>
      </c>
      <c r="D55" s="23">
        <f t="shared" ca="1" si="1"/>
        <v>749</v>
      </c>
      <c r="E55" s="40">
        <f t="shared" ca="1" si="2"/>
        <v>0</v>
      </c>
      <c r="F55" s="23">
        <f t="shared" ca="1" si="3"/>
        <v>26</v>
      </c>
      <c r="G55" s="40">
        <f t="shared" ca="1" si="4"/>
        <v>0</v>
      </c>
    </row>
    <row r="56" spans="1:7" x14ac:dyDescent="0.25">
      <c r="A56" s="17">
        <f t="shared" si="0"/>
        <v>81</v>
      </c>
      <c r="B56" t="str">
        <f ca="1">TEXT(DATE(YEAR(Invoer!$A$5),1,1)+INT((ROWS(B$2:B56)-1)/3),"jjjjmmdd")</f>
        <v>19400119</v>
      </c>
      <c r="C56" s="35" t="str">
        <f>INDEX(Data,2,2+MOD(ROWS(C$2:C56)-1,3))</f>
        <v>07.45</v>
      </c>
      <c r="D56" s="23">
        <f t="shared" ca="1" si="1"/>
        <v>749</v>
      </c>
      <c r="E56" s="40">
        <f t="shared" ca="1" si="2"/>
        <v>0</v>
      </c>
      <c r="F56" s="23">
        <f t="shared" ca="1" si="3"/>
        <v>25</v>
      </c>
      <c r="G56" s="40">
        <f t="shared" ca="1" si="4"/>
        <v>0</v>
      </c>
    </row>
    <row r="57" spans="1:7" x14ac:dyDescent="0.25">
      <c r="A57" s="17">
        <f t="shared" si="0"/>
        <v>81</v>
      </c>
      <c r="B57" t="str">
        <f ca="1">TEXT(DATE(YEAR(Invoer!$A$5),1,1)+INT((ROWS(B$2:B57)-1)/3),"jjjjmmdd")</f>
        <v>19400119</v>
      </c>
      <c r="C57" s="35" t="str">
        <f>INDEX(Data,2,2+MOD(ROWS(C$2:C57)-1,3))</f>
        <v>13.45</v>
      </c>
      <c r="D57" s="23">
        <f t="shared" ca="1" si="1"/>
        <v>749</v>
      </c>
      <c r="E57" s="40">
        <f t="shared" ca="1" si="2"/>
        <v>0</v>
      </c>
      <c r="F57" s="23">
        <f t="shared" ca="1" si="3"/>
        <v>28</v>
      </c>
      <c r="G57" s="40">
        <f t="shared" ca="1" si="4"/>
        <v>0</v>
      </c>
    </row>
    <row r="58" spans="1:7" x14ac:dyDescent="0.25">
      <c r="A58" s="17">
        <f t="shared" si="0"/>
        <v>81</v>
      </c>
      <c r="B58" t="str">
        <f ca="1">TEXT(DATE(YEAR(Invoer!$A$5),1,1)+INT((ROWS(B$2:B58)-1)/3),"jjjjmmdd")</f>
        <v>19400119</v>
      </c>
      <c r="C58" s="35" t="str">
        <f>INDEX(Data,2,2+MOD(ROWS(C$2:C58)-1,3))</f>
        <v>19.45</v>
      </c>
      <c r="D58" s="23">
        <f t="shared" ca="1" si="1"/>
        <v>749</v>
      </c>
      <c r="E58" s="40">
        <f t="shared" ca="1" si="2"/>
        <v>0</v>
      </c>
      <c r="F58" s="23">
        <f t="shared" ca="1" si="3"/>
        <v>27</v>
      </c>
      <c r="G58" s="40">
        <f t="shared" ca="1" si="4"/>
        <v>0</v>
      </c>
    </row>
    <row r="59" spans="1:7" x14ac:dyDescent="0.25">
      <c r="A59" s="17">
        <f t="shared" si="0"/>
        <v>81</v>
      </c>
      <c r="B59" t="str">
        <f ca="1">TEXT(DATE(YEAR(Invoer!$A$5),1,1)+INT((ROWS(B$2:B59)-1)/3),"jjjjmmdd")</f>
        <v>19400120</v>
      </c>
      <c r="C59" s="35" t="str">
        <f>INDEX(Data,2,2+MOD(ROWS(C$2:C59)-1,3))</f>
        <v>07.45</v>
      </c>
      <c r="D59" s="23">
        <f t="shared" ca="1" si="1"/>
        <v>749</v>
      </c>
      <c r="E59" s="40">
        <f t="shared" ca="1" si="2"/>
        <v>0</v>
      </c>
      <c r="F59" s="23">
        <f t="shared" ca="1" si="3"/>
        <v>25</v>
      </c>
      <c r="G59" s="40">
        <f t="shared" ca="1" si="4"/>
        <v>0</v>
      </c>
    </row>
    <row r="60" spans="1:7" x14ac:dyDescent="0.25">
      <c r="A60" s="17">
        <f t="shared" si="0"/>
        <v>81</v>
      </c>
      <c r="B60" t="str">
        <f ca="1">TEXT(DATE(YEAR(Invoer!$A$5),1,1)+INT((ROWS(B$2:B60)-1)/3),"jjjjmmdd")</f>
        <v>19400120</v>
      </c>
      <c r="C60" s="35" t="str">
        <f>INDEX(Data,2,2+MOD(ROWS(C$2:C60)-1,3))</f>
        <v>13.45</v>
      </c>
      <c r="D60" s="23">
        <f t="shared" ca="1" si="1"/>
        <v>749</v>
      </c>
      <c r="E60" s="40">
        <f t="shared" ca="1" si="2"/>
        <v>0</v>
      </c>
      <c r="F60" s="23">
        <f t="shared" ca="1" si="3"/>
        <v>27</v>
      </c>
      <c r="G60" s="40">
        <f t="shared" ca="1" si="4"/>
        <v>0</v>
      </c>
    </row>
    <row r="61" spans="1:7" x14ac:dyDescent="0.25">
      <c r="A61" s="17">
        <f t="shared" si="0"/>
        <v>81</v>
      </c>
      <c r="B61" t="str">
        <f ca="1">TEXT(DATE(YEAR(Invoer!$A$5),1,1)+INT((ROWS(B$2:B61)-1)/3),"jjjjmmdd")</f>
        <v>19400120</v>
      </c>
      <c r="C61" s="35" t="str">
        <f>INDEX(Data,2,2+MOD(ROWS(C$2:C61)-1,3))</f>
        <v>19.45</v>
      </c>
      <c r="D61" s="23">
        <f t="shared" ca="1" si="1"/>
        <v>749</v>
      </c>
      <c r="E61" s="40">
        <f t="shared" ca="1" si="2"/>
        <v>0</v>
      </c>
      <c r="F61" s="23">
        <f t="shared" ca="1" si="3"/>
        <v>26</v>
      </c>
      <c r="G61" s="40">
        <f t="shared" ca="1" si="4"/>
        <v>0</v>
      </c>
    </row>
    <row r="62" spans="1:7" x14ac:dyDescent="0.25">
      <c r="A62" s="17">
        <f t="shared" si="0"/>
        <v>81</v>
      </c>
      <c r="B62" t="str">
        <f ca="1">TEXT(DATE(YEAR(Invoer!$A$5),1,1)+INT((ROWS(B$2:B62)-1)/3),"jjjjmmdd")</f>
        <v>19400121</v>
      </c>
      <c r="C62" s="35" t="str">
        <f>INDEX(Data,2,2+MOD(ROWS(C$2:C62)-1,3))</f>
        <v>07.45</v>
      </c>
      <c r="D62" s="23">
        <f t="shared" ca="1" si="1"/>
        <v>749</v>
      </c>
      <c r="E62" s="40">
        <f t="shared" ca="1" si="2"/>
        <v>0</v>
      </c>
      <c r="F62" s="23">
        <f t="shared" ca="1" si="3"/>
        <v>25</v>
      </c>
      <c r="G62" s="40">
        <f t="shared" ca="1" si="4"/>
        <v>0</v>
      </c>
    </row>
    <row r="63" spans="1:7" x14ac:dyDescent="0.25">
      <c r="A63" s="17">
        <f t="shared" si="0"/>
        <v>81</v>
      </c>
      <c r="B63" t="str">
        <f ca="1">TEXT(DATE(YEAR(Invoer!$A$5),1,1)+INT((ROWS(B$2:B63)-1)/3),"jjjjmmdd")</f>
        <v>19400121</v>
      </c>
      <c r="C63" s="35" t="str">
        <f>INDEX(Data,2,2+MOD(ROWS(C$2:C63)-1,3))</f>
        <v>13.45</v>
      </c>
      <c r="D63" s="23">
        <f t="shared" ca="1" si="1"/>
        <v>749</v>
      </c>
      <c r="E63" s="40">
        <f t="shared" ca="1" si="2"/>
        <v>0</v>
      </c>
      <c r="F63" s="23">
        <f t="shared" ca="1" si="3"/>
        <v>28</v>
      </c>
      <c r="G63" s="40">
        <f t="shared" ca="1" si="4"/>
        <v>0</v>
      </c>
    </row>
    <row r="64" spans="1:7" x14ac:dyDescent="0.25">
      <c r="A64" s="17">
        <f t="shared" si="0"/>
        <v>81</v>
      </c>
      <c r="B64" t="str">
        <f ca="1">TEXT(DATE(YEAR(Invoer!$A$5),1,1)+INT((ROWS(B$2:B64)-1)/3),"jjjjmmdd")</f>
        <v>19400121</v>
      </c>
      <c r="C64" s="35" t="str">
        <f>INDEX(Data,2,2+MOD(ROWS(C$2:C64)-1,3))</f>
        <v>19.45</v>
      </c>
      <c r="D64" s="23">
        <f t="shared" ca="1" si="1"/>
        <v>749</v>
      </c>
      <c r="E64" s="40">
        <f t="shared" ca="1" si="2"/>
        <v>0</v>
      </c>
      <c r="F64" s="23">
        <f t="shared" ca="1" si="3"/>
        <v>27</v>
      </c>
      <c r="G64" s="40">
        <f t="shared" ca="1" si="4"/>
        <v>0</v>
      </c>
    </row>
    <row r="65" spans="1:7" x14ac:dyDescent="0.25">
      <c r="A65" s="17">
        <f t="shared" si="0"/>
        <v>81</v>
      </c>
      <c r="B65" t="str">
        <f ca="1">TEXT(DATE(YEAR(Invoer!$A$5),1,1)+INT((ROWS(B$2:B65)-1)/3),"jjjjmmdd")</f>
        <v>19400122</v>
      </c>
      <c r="C65" s="35" t="str">
        <f>INDEX(Data,2,2+MOD(ROWS(C$2:C65)-1,3))</f>
        <v>07.45</v>
      </c>
      <c r="D65" s="23">
        <f t="shared" ca="1" si="1"/>
        <v>749</v>
      </c>
      <c r="E65" s="40">
        <f t="shared" ca="1" si="2"/>
        <v>0</v>
      </c>
      <c r="F65" s="23">
        <f t="shared" ca="1" si="3"/>
        <v>26</v>
      </c>
      <c r="G65" s="40">
        <f t="shared" ca="1" si="4"/>
        <v>0</v>
      </c>
    </row>
    <row r="66" spans="1:7" x14ac:dyDescent="0.25">
      <c r="A66" s="17">
        <f t="shared" ref="A66:A129" si="5">INDEX(Stations,2,1)</f>
        <v>81</v>
      </c>
      <c r="B66" t="str">
        <f ca="1">TEXT(DATE(YEAR(Invoer!$A$5),1,1)+INT((ROWS(B$2:B66)-1)/3),"jjjjmmdd")</f>
        <v>19400122</v>
      </c>
      <c r="C66" s="35" t="str">
        <f>INDEX(Data,2,2+MOD(ROWS(C$2:C66)-1,3))</f>
        <v>13.45</v>
      </c>
      <c r="D66" s="23">
        <f t="shared" ref="D66:D129" ca="1" si="6">IF(OR(ISBLANK(VLOOKUP(DATEVALUE(LEFT($B66,4)&amp;"-"&amp;MID($B66,5,2)&amp;"-"&amp;RIGHT($B66,2)),Data,MATCH(LEFT(VLOOKUP(D$1,Parameters,2,FALSE()),4)&amp;"*",OFFSET(Data,0,0,1),0)+MATCH($C66,OFFSET(Data,1,0,1),0)-2,FALSE())),ISTEXT(VLOOKUP(DATEVALUE(LEFT($B66,4)&amp;"-"&amp;MID($B66,5,2)&amp;"-"&amp;RIGHT($B66,2)),Data,MATCH(LEFT(VLOOKUP(D$1,Parameters,2,FALSE()),4)&amp;"*",OFFSET(Data,0,0,1),0)+MATCH($C66,OFFSET(Data,1,0,1),0)-2,FALSE()))),"—",VLOOKUP(DATEVALUE(LEFT($B66,4)&amp;"-"&amp;MID($B66,5,2)&amp;"-"&amp;RIGHT($B66,2)),Data,MATCH(LEFT(VLOOKUP(D$1,Parameters,2,FALSE()),4)&amp;"*",OFFSET(Data,0,0,1),0)+MATCH($C66,OFFSET(Data,1,0,1),0)-2,FALSE()))</f>
        <v>749</v>
      </c>
      <c r="E66" s="40">
        <f t="shared" ref="E66:E129" ca="1" si="7">IF(OR(ISBLANK(VLOOKUP(DATEVALUE(LEFT($B66,4)&amp;"-"&amp;MID($B66,5,2)&amp;"-"&amp;RIGHT($B66,2)),Data,MATCH(LEFT(VLOOKUP(MID(E$1,2,LEN(E$1)-1),Parameters,2,FALSE()),4)&amp;"*",OFFSET(Data,0,0,1),0)+MATCH($C66,OFFSET(Data,1,0,1),0)-2,FALSE())),ISTEXT(VLOOKUP(DATEVALUE(LEFT($B66,4)&amp;"-"&amp;MID($B66,5,2)&amp;"-"&amp;RIGHT($B66,2)),Data,MATCH(LEFT(VLOOKUP(MID(E$1,2,LEN(E$1)-1),Parameters,2,FALSE()),4)&amp;"*",OFFSET(Data,0,0,1),0)+MATCH($C66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E$1,2,LEN(E$1)-1),Parameters,2,FALSE()),4)&amp;"*",OFFSET(Catalogus,0,0,1),0)+MATCH($C66,OFFSET(Catalogus,1,0,1),0)-2,FALSE())))</f>
        <v>0</v>
      </c>
      <c r="F66" s="23">
        <f t="shared" ref="F66:F129" ca="1" si="8">IF(OR(ISBLANK(VLOOKUP(DATEVALUE(LEFT($B66,4)&amp;"-"&amp;MID($B66,5,2)&amp;"-"&amp;RIGHT($B66,2)),Data,MATCH(LEFT(VLOOKUP(F$1,Parameters,2,FALSE()),4)&amp;"*",OFFSET(Data,0,0,1),0)+MATCH($C66,OFFSET(Data,1,0,1),0)-2,FALSE())),ISTEXT(VLOOKUP(DATEVALUE(LEFT($B66,4)&amp;"-"&amp;MID($B66,5,2)&amp;"-"&amp;RIGHT($B66,2)),Data,MATCH(LEFT(VLOOKUP(F$1,Parameters,2,FALSE()),4)&amp;"*",OFFSET(Data,0,0,1),0)+MATCH($C66,OFFSET(Data,1,0,1),0)-2,FALSE()))),"—",VLOOKUP(DATEVALUE(LEFT($B66,4)&amp;"-"&amp;MID($B66,5,2)&amp;"-"&amp;RIGHT($B66,2)),Data,MATCH(LEFT(VLOOKUP(F$1,Parameters,2,FALSE()),4)&amp;"*",OFFSET(Data,0,0,1),0)+MATCH($C66,OFFSET(Data,1,0,1),0)-2,FALSE()))</f>
        <v>28</v>
      </c>
      <c r="G66" s="40">
        <f t="shared" ref="G66:G129" ca="1" si="9">IF(OR(ISBLANK(VLOOKUP(DATEVALUE(LEFT($B66,4)&amp;"-"&amp;MID($B66,5,2)&amp;"-"&amp;RIGHT($B66,2)),Data,MATCH(LEFT(VLOOKUP(MID(G$1,2,LEN(G$1)-1),Parameters,2,FALSE()),4)&amp;"*",OFFSET(Data,0,0,1),0)+MATCH($C66,OFFSET(Data,1,0,1),0)-2,FALSE())),ISTEXT(VLOOKUP(DATEVALUE(LEFT($B66,4)&amp;"-"&amp;MID($B66,5,2)&amp;"-"&amp;RIGHT($B66,2)),Data,MATCH(LEFT(VLOOKUP(MID(G$1,2,LEN(G$1)-1),Parameters,2,FALSE()),4)&amp;"*",OFFSET(Data,0,0,1),0)+MATCH($C66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G$1,2,LEN(G$1)-1),Parameters,2,FALSE()),4)&amp;"*",OFFSET(Catalogus,0,0,1),0)+MATCH($C66,OFFSET(Catalogus,1,0,1),0)-2,FALSE())))</f>
        <v>0</v>
      </c>
    </row>
    <row r="67" spans="1:7" x14ac:dyDescent="0.25">
      <c r="A67" s="17">
        <f t="shared" si="5"/>
        <v>81</v>
      </c>
      <c r="B67" t="str">
        <f ca="1">TEXT(DATE(YEAR(Invoer!$A$5),1,1)+INT((ROWS(B$2:B67)-1)/3),"jjjjmmdd")</f>
        <v>19400122</v>
      </c>
      <c r="C67" s="35" t="str">
        <f>INDEX(Data,2,2+MOD(ROWS(C$2:C67)-1,3))</f>
        <v>19.45</v>
      </c>
      <c r="D67" s="23">
        <f t="shared" ca="1" si="6"/>
        <v>750</v>
      </c>
      <c r="E67" s="40">
        <f t="shared" ca="1" si="7"/>
        <v>0</v>
      </c>
      <c r="F67" s="23">
        <f t="shared" ca="1" si="8"/>
        <v>27</v>
      </c>
      <c r="G67" s="40">
        <f t="shared" ca="1" si="9"/>
        <v>0</v>
      </c>
    </row>
    <row r="68" spans="1:7" x14ac:dyDescent="0.25">
      <c r="A68" s="17">
        <f t="shared" si="5"/>
        <v>81</v>
      </c>
      <c r="B68" t="str">
        <f ca="1">TEXT(DATE(YEAR(Invoer!$A$5),1,1)+INT((ROWS(B$2:B68)-1)/3),"jjjjmmdd")</f>
        <v>19400123</v>
      </c>
      <c r="C68" s="35" t="str">
        <f>INDEX(Data,2,2+MOD(ROWS(C$2:C68)-1,3))</f>
        <v>07.45</v>
      </c>
      <c r="D68" s="23">
        <f t="shared" ca="1" si="6"/>
        <v>750</v>
      </c>
      <c r="E68" s="40">
        <f t="shared" ca="1" si="7"/>
        <v>0</v>
      </c>
      <c r="F68" s="23">
        <f t="shared" ca="1" si="8"/>
        <v>25</v>
      </c>
      <c r="G68" s="40">
        <f t="shared" ca="1" si="9"/>
        <v>0</v>
      </c>
    </row>
    <row r="69" spans="1:7" x14ac:dyDescent="0.25">
      <c r="A69" s="17">
        <f t="shared" si="5"/>
        <v>81</v>
      </c>
      <c r="B69" t="str">
        <f ca="1">TEXT(DATE(YEAR(Invoer!$A$5),1,1)+INT((ROWS(B$2:B69)-1)/3),"jjjjmmdd")</f>
        <v>19400123</v>
      </c>
      <c r="C69" s="35" t="str">
        <f>INDEX(Data,2,2+MOD(ROWS(C$2:C69)-1,3))</f>
        <v>13.45</v>
      </c>
      <c r="D69" s="23">
        <f t="shared" ca="1" si="6"/>
        <v>750</v>
      </c>
      <c r="E69" s="40">
        <f t="shared" ca="1" si="7"/>
        <v>0</v>
      </c>
      <c r="F69" s="23">
        <f t="shared" ca="1" si="8"/>
        <v>27</v>
      </c>
      <c r="G69" s="40">
        <f t="shared" ca="1" si="9"/>
        <v>0</v>
      </c>
    </row>
    <row r="70" spans="1:7" x14ac:dyDescent="0.25">
      <c r="A70" s="17">
        <f t="shared" si="5"/>
        <v>81</v>
      </c>
      <c r="B70" t="str">
        <f ca="1">TEXT(DATE(YEAR(Invoer!$A$5),1,1)+INT((ROWS(B$2:B70)-1)/3),"jjjjmmdd")</f>
        <v>19400123</v>
      </c>
      <c r="C70" s="35" t="str">
        <f>INDEX(Data,2,2+MOD(ROWS(C$2:C70)-1,3))</f>
        <v>19.45</v>
      </c>
      <c r="D70" s="23">
        <f t="shared" ca="1" si="6"/>
        <v>750</v>
      </c>
      <c r="E70" s="40">
        <f t="shared" ca="1" si="7"/>
        <v>0</v>
      </c>
      <c r="F70" s="23">
        <f t="shared" ca="1" si="8"/>
        <v>26</v>
      </c>
      <c r="G70" s="40">
        <f t="shared" ca="1" si="9"/>
        <v>0</v>
      </c>
    </row>
    <row r="71" spans="1:7" x14ac:dyDescent="0.25">
      <c r="A71" s="17">
        <f t="shared" si="5"/>
        <v>81</v>
      </c>
      <c r="B71" t="str">
        <f ca="1">TEXT(DATE(YEAR(Invoer!$A$5),1,1)+INT((ROWS(B$2:B71)-1)/3),"jjjjmmdd")</f>
        <v>19400124</v>
      </c>
      <c r="C71" s="35" t="str">
        <f>INDEX(Data,2,2+MOD(ROWS(C$2:C71)-1,3))</f>
        <v>07.45</v>
      </c>
      <c r="D71" s="23">
        <f t="shared" ca="1" si="6"/>
        <v>750</v>
      </c>
      <c r="E71" s="40">
        <f t="shared" ca="1" si="7"/>
        <v>0</v>
      </c>
      <c r="F71" s="23">
        <f t="shared" ca="1" si="8"/>
        <v>25</v>
      </c>
      <c r="G71" s="40">
        <f t="shared" ca="1" si="9"/>
        <v>0</v>
      </c>
    </row>
    <row r="72" spans="1:7" x14ac:dyDescent="0.25">
      <c r="A72" s="17">
        <f t="shared" si="5"/>
        <v>81</v>
      </c>
      <c r="B72" t="str">
        <f ca="1">TEXT(DATE(YEAR(Invoer!$A$5),1,1)+INT((ROWS(B$2:B72)-1)/3),"jjjjmmdd")</f>
        <v>19400124</v>
      </c>
      <c r="C72" s="35" t="str">
        <f>INDEX(Data,2,2+MOD(ROWS(C$2:C72)-1,3))</f>
        <v>13.45</v>
      </c>
      <c r="D72" s="23">
        <f t="shared" ca="1" si="6"/>
        <v>750</v>
      </c>
      <c r="E72" s="40">
        <f t="shared" ca="1" si="7"/>
        <v>0</v>
      </c>
      <c r="F72" s="23">
        <f t="shared" ca="1" si="8"/>
        <v>26</v>
      </c>
      <c r="G72" s="40">
        <f t="shared" ca="1" si="9"/>
        <v>0</v>
      </c>
    </row>
    <row r="73" spans="1:7" x14ac:dyDescent="0.25">
      <c r="A73" s="17">
        <f t="shared" si="5"/>
        <v>81</v>
      </c>
      <c r="B73" t="str">
        <f ca="1">TEXT(DATE(YEAR(Invoer!$A$5),1,1)+INT((ROWS(B$2:B73)-1)/3),"jjjjmmdd")</f>
        <v>19400124</v>
      </c>
      <c r="C73" s="35" t="str">
        <f>INDEX(Data,2,2+MOD(ROWS(C$2:C73)-1,3))</f>
        <v>19.45</v>
      </c>
      <c r="D73" s="23">
        <f t="shared" ca="1" si="6"/>
        <v>750</v>
      </c>
      <c r="E73" s="40">
        <f t="shared" ca="1" si="7"/>
        <v>0</v>
      </c>
      <c r="F73" s="23">
        <f t="shared" ca="1" si="8"/>
        <v>26</v>
      </c>
      <c r="G73" s="40">
        <f t="shared" ca="1" si="9"/>
        <v>0</v>
      </c>
    </row>
    <row r="74" spans="1:7" x14ac:dyDescent="0.25">
      <c r="A74" s="17">
        <f t="shared" si="5"/>
        <v>81</v>
      </c>
      <c r="B74" t="str">
        <f ca="1">TEXT(DATE(YEAR(Invoer!$A$5),1,1)+INT((ROWS(B$2:B74)-1)/3),"jjjjmmdd")</f>
        <v>19400125</v>
      </c>
      <c r="C74" s="35" t="str">
        <f>INDEX(Data,2,2+MOD(ROWS(C$2:C74)-1,3))</f>
        <v>07.45</v>
      </c>
      <c r="D74" s="23">
        <f t="shared" ca="1" si="6"/>
        <v>749</v>
      </c>
      <c r="E74" s="40">
        <f t="shared" ca="1" si="7"/>
        <v>0</v>
      </c>
      <c r="F74" s="23">
        <f t="shared" ca="1" si="8"/>
        <v>25</v>
      </c>
      <c r="G74" s="40">
        <f t="shared" ca="1" si="9"/>
        <v>0</v>
      </c>
    </row>
    <row r="75" spans="1:7" x14ac:dyDescent="0.25">
      <c r="A75" s="17">
        <f t="shared" si="5"/>
        <v>81</v>
      </c>
      <c r="B75" t="str">
        <f ca="1">TEXT(DATE(YEAR(Invoer!$A$5),1,1)+INT((ROWS(B$2:B75)-1)/3),"jjjjmmdd")</f>
        <v>19400125</v>
      </c>
      <c r="C75" s="35" t="str">
        <f>INDEX(Data,2,2+MOD(ROWS(C$2:C75)-1,3))</f>
        <v>13.45</v>
      </c>
      <c r="D75" s="23">
        <f t="shared" ca="1" si="6"/>
        <v>749</v>
      </c>
      <c r="E75" s="40">
        <f t="shared" ca="1" si="7"/>
        <v>0</v>
      </c>
      <c r="F75" s="23">
        <f t="shared" ca="1" si="8"/>
        <v>25</v>
      </c>
      <c r="G75" s="40">
        <f t="shared" ca="1" si="9"/>
        <v>0</v>
      </c>
    </row>
    <row r="76" spans="1:7" x14ac:dyDescent="0.25">
      <c r="A76" s="17">
        <f t="shared" si="5"/>
        <v>81</v>
      </c>
      <c r="B76" t="str">
        <f ca="1">TEXT(DATE(YEAR(Invoer!$A$5),1,1)+INT((ROWS(B$2:B76)-1)/3),"jjjjmmdd")</f>
        <v>19400125</v>
      </c>
      <c r="C76" s="35" t="str">
        <f>INDEX(Data,2,2+MOD(ROWS(C$2:C76)-1,3))</f>
        <v>19.45</v>
      </c>
      <c r="D76" s="23">
        <f t="shared" ca="1" si="6"/>
        <v>749</v>
      </c>
      <c r="E76" s="40">
        <f t="shared" ca="1" si="7"/>
        <v>0</v>
      </c>
      <c r="F76" s="23">
        <f t="shared" ca="1" si="8"/>
        <v>25</v>
      </c>
      <c r="G76" s="40">
        <f t="shared" ca="1" si="9"/>
        <v>0</v>
      </c>
    </row>
    <row r="77" spans="1:7" x14ac:dyDescent="0.25">
      <c r="A77" s="17">
        <f t="shared" si="5"/>
        <v>81</v>
      </c>
      <c r="B77" t="str">
        <f ca="1">TEXT(DATE(YEAR(Invoer!$A$5),1,1)+INT((ROWS(B$2:B77)-1)/3),"jjjjmmdd")</f>
        <v>19400126</v>
      </c>
      <c r="C77" s="35" t="str">
        <f>INDEX(Data,2,2+MOD(ROWS(C$2:C77)-1,3))</f>
        <v>07.45</v>
      </c>
      <c r="D77" s="23">
        <f t="shared" ca="1" si="6"/>
        <v>749</v>
      </c>
      <c r="E77" s="40">
        <f t="shared" ca="1" si="7"/>
        <v>0</v>
      </c>
      <c r="F77" s="23">
        <f t="shared" ca="1" si="8"/>
        <v>25</v>
      </c>
      <c r="G77" s="40">
        <f t="shared" ca="1" si="9"/>
        <v>0</v>
      </c>
    </row>
    <row r="78" spans="1:7" x14ac:dyDescent="0.25">
      <c r="A78" s="17">
        <f t="shared" si="5"/>
        <v>81</v>
      </c>
      <c r="B78" t="str">
        <f ca="1">TEXT(DATE(YEAR(Invoer!$A$5),1,1)+INT((ROWS(B$2:B78)-1)/3),"jjjjmmdd")</f>
        <v>19400126</v>
      </c>
      <c r="C78" s="35" t="str">
        <f>INDEX(Data,2,2+MOD(ROWS(C$2:C78)-1,3))</f>
        <v>13.45</v>
      </c>
      <c r="D78" s="23">
        <f t="shared" ca="1" si="6"/>
        <v>749</v>
      </c>
      <c r="E78" s="40">
        <f t="shared" ca="1" si="7"/>
        <v>0</v>
      </c>
      <c r="F78" s="23">
        <f t="shared" ca="1" si="8"/>
        <v>27</v>
      </c>
      <c r="G78" s="40">
        <f t="shared" ca="1" si="9"/>
        <v>0</v>
      </c>
    </row>
    <row r="79" spans="1:7" x14ac:dyDescent="0.25">
      <c r="A79" s="17">
        <f t="shared" si="5"/>
        <v>81</v>
      </c>
      <c r="B79" t="str">
        <f ca="1">TEXT(DATE(YEAR(Invoer!$A$5),1,1)+INT((ROWS(B$2:B79)-1)/3),"jjjjmmdd")</f>
        <v>19400126</v>
      </c>
      <c r="C79" s="35" t="str">
        <f>INDEX(Data,2,2+MOD(ROWS(C$2:C79)-1,3))</f>
        <v>19.45</v>
      </c>
      <c r="D79" s="23">
        <f t="shared" ca="1" si="6"/>
        <v>748</v>
      </c>
      <c r="E79" s="40">
        <f t="shared" ca="1" si="7"/>
        <v>0</v>
      </c>
      <c r="F79" s="23">
        <f t="shared" ca="1" si="8"/>
        <v>26</v>
      </c>
      <c r="G79" s="40">
        <f t="shared" ca="1" si="9"/>
        <v>0</v>
      </c>
    </row>
    <row r="80" spans="1:7" x14ac:dyDescent="0.25">
      <c r="A80" s="17">
        <f t="shared" si="5"/>
        <v>81</v>
      </c>
      <c r="B80" t="str">
        <f ca="1">TEXT(DATE(YEAR(Invoer!$A$5),1,1)+INT((ROWS(B$2:B80)-1)/3),"jjjjmmdd")</f>
        <v>19400127</v>
      </c>
      <c r="C80" s="35" t="str">
        <f>INDEX(Data,2,2+MOD(ROWS(C$2:C80)-1,3))</f>
        <v>07.45</v>
      </c>
      <c r="D80" s="23">
        <f t="shared" ca="1" si="6"/>
        <v>749</v>
      </c>
      <c r="E80" s="40">
        <f t="shared" ca="1" si="7"/>
        <v>0</v>
      </c>
      <c r="F80" s="23">
        <f t="shared" ca="1" si="8"/>
        <v>25</v>
      </c>
      <c r="G80" s="40">
        <f t="shared" ca="1" si="9"/>
        <v>0</v>
      </c>
    </row>
    <row r="81" spans="1:7" x14ac:dyDescent="0.25">
      <c r="A81" s="17">
        <f t="shared" si="5"/>
        <v>81</v>
      </c>
      <c r="B81" t="str">
        <f ca="1">TEXT(DATE(YEAR(Invoer!$A$5),1,1)+INT((ROWS(B$2:B81)-1)/3),"jjjjmmdd")</f>
        <v>19400127</v>
      </c>
      <c r="C81" s="35" t="str">
        <f>INDEX(Data,2,2+MOD(ROWS(C$2:C81)-1,3))</f>
        <v>13.45</v>
      </c>
      <c r="D81" s="23">
        <f t="shared" ca="1" si="6"/>
        <v>749</v>
      </c>
      <c r="E81" s="40">
        <f t="shared" ca="1" si="7"/>
        <v>0</v>
      </c>
      <c r="F81" s="23">
        <f t="shared" ca="1" si="8"/>
        <v>27</v>
      </c>
      <c r="G81" s="40">
        <f t="shared" ca="1" si="9"/>
        <v>0</v>
      </c>
    </row>
    <row r="82" spans="1:7" x14ac:dyDescent="0.25">
      <c r="A82" s="17">
        <f t="shared" si="5"/>
        <v>81</v>
      </c>
      <c r="B82" t="str">
        <f ca="1">TEXT(DATE(YEAR(Invoer!$A$5),1,1)+INT((ROWS(B$2:B82)-1)/3),"jjjjmmdd")</f>
        <v>19400127</v>
      </c>
      <c r="C82" s="35" t="str">
        <f>INDEX(Data,2,2+MOD(ROWS(C$2:C82)-1,3))</f>
        <v>19.45</v>
      </c>
      <c r="D82" s="23">
        <f t="shared" ca="1" si="6"/>
        <v>749</v>
      </c>
      <c r="E82" s="40">
        <f t="shared" ca="1" si="7"/>
        <v>0</v>
      </c>
      <c r="F82" s="23">
        <f t="shared" ca="1" si="8"/>
        <v>26</v>
      </c>
      <c r="G82" s="40">
        <f t="shared" ca="1" si="9"/>
        <v>0</v>
      </c>
    </row>
    <row r="83" spans="1:7" x14ac:dyDescent="0.25">
      <c r="A83" s="17">
        <f t="shared" si="5"/>
        <v>81</v>
      </c>
      <c r="B83" t="str">
        <f ca="1">TEXT(DATE(YEAR(Invoer!$A$5),1,1)+INT((ROWS(B$2:B83)-1)/3),"jjjjmmdd")</f>
        <v>19400128</v>
      </c>
      <c r="C83" s="35" t="str">
        <f>INDEX(Data,2,2+MOD(ROWS(C$2:C83)-1,3))</f>
        <v>07.45</v>
      </c>
      <c r="D83" s="23">
        <f t="shared" ca="1" si="6"/>
        <v>750</v>
      </c>
      <c r="E83" s="40">
        <f t="shared" ca="1" si="7"/>
        <v>0</v>
      </c>
      <c r="F83" s="23">
        <f t="shared" ca="1" si="8"/>
        <v>25</v>
      </c>
      <c r="G83" s="40">
        <f t="shared" ca="1" si="9"/>
        <v>0</v>
      </c>
    </row>
    <row r="84" spans="1:7" x14ac:dyDescent="0.25">
      <c r="A84" s="17">
        <f t="shared" si="5"/>
        <v>81</v>
      </c>
      <c r="B84" t="str">
        <f ca="1">TEXT(DATE(YEAR(Invoer!$A$5),1,1)+INT((ROWS(B$2:B84)-1)/3),"jjjjmmdd")</f>
        <v>19400128</v>
      </c>
      <c r="C84" s="35" t="str">
        <f>INDEX(Data,2,2+MOD(ROWS(C$2:C84)-1,3))</f>
        <v>13.45</v>
      </c>
      <c r="D84" s="23">
        <f t="shared" ca="1" si="6"/>
        <v>750</v>
      </c>
      <c r="E84" s="40">
        <f t="shared" ca="1" si="7"/>
        <v>0</v>
      </c>
      <c r="F84" s="23">
        <f t="shared" ca="1" si="8"/>
        <v>27</v>
      </c>
      <c r="G84" s="40">
        <f t="shared" ca="1" si="9"/>
        <v>0</v>
      </c>
    </row>
    <row r="85" spans="1:7" x14ac:dyDescent="0.25">
      <c r="A85" s="17">
        <f t="shared" si="5"/>
        <v>81</v>
      </c>
      <c r="B85" t="str">
        <f ca="1">TEXT(DATE(YEAR(Invoer!$A$5),1,1)+INT((ROWS(B$2:B85)-1)/3),"jjjjmmdd")</f>
        <v>19400128</v>
      </c>
      <c r="C85" s="35" t="str">
        <f>INDEX(Data,2,2+MOD(ROWS(C$2:C85)-1,3))</f>
        <v>19.45</v>
      </c>
      <c r="D85" s="23">
        <f t="shared" ca="1" si="6"/>
        <v>750</v>
      </c>
      <c r="E85" s="40">
        <f t="shared" ca="1" si="7"/>
        <v>0</v>
      </c>
      <c r="F85" s="23">
        <f t="shared" ca="1" si="8"/>
        <v>26</v>
      </c>
      <c r="G85" s="40">
        <f t="shared" ca="1" si="9"/>
        <v>0</v>
      </c>
    </row>
    <row r="86" spans="1:7" x14ac:dyDescent="0.25">
      <c r="A86" s="17">
        <f t="shared" si="5"/>
        <v>81</v>
      </c>
      <c r="B86" t="str">
        <f ca="1">TEXT(DATE(YEAR(Invoer!$A$5),1,1)+INT((ROWS(B$2:B86)-1)/3),"jjjjmmdd")</f>
        <v>19400129</v>
      </c>
      <c r="C86" s="35" t="str">
        <f>INDEX(Data,2,2+MOD(ROWS(C$2:C86)-1,3))</f>
        <v>07.45</v>
      </c>
      <c r="D86" s="23">
        <f t="shared" ca="1" si="6"/>
        <v>750</v>
      </c>
      <c r="E86" s="40">
        <f t="shared" ca="1" si="7"/>
        <v>0</v>
      </c>
      <c r="F86" s="23">
        <f t="shared" ca="1" si="8"/>
        <v>26</v>
      </c>
      <c r="G86" s="40">
        <f t="shared" ca="1" si="9"/>
        <v>0</v>
      </c>
    </row>
    <row r="87" spans="1:7" x14ac:dyDescent="0.25">
      <c r="A87" s="17">
        <f t="shared" si="5"/>
        <v>81</v>
      </c>
      <c r="B87" t="str">
        <f ca="1">TEXT(DATE(YEAR(Invoer!$A$5),1,1)+INT((ROWS(B$2:B87)-1)/3),"jjjjmmdd")</f>
        <v>19400129</v>
      </c>
      <c r="C87" s="35" t="str">
        <f>INDEX(Data,2,2+MOD(ROWS(C$2:C87)-1,3))</f>
        <v>13.45</v>
      </c>
      <c r="D87" s="23">
        <f t="shared" ca="1" si="6"/>
        <v>750</v>
      </c>
      <c r="E87" s="40">
        <f t="shared" ca="1" si="7"/>
        <v>0</v>
      </c>
      <c r="F87" s="23">
        <f t="shared" ca="1" si="8"/>
        <v>27</v>
      </c>
      <c r="G87" s="40">
        <f t="shared" ca="1" si="9"/>
        <v>0</v>
      </c>
    </row>
    <row r="88" spans="1:7" x14ac:dyDescent="0.25">
      <c r="A88" s="17">
        <f t="shared" si="5"/>
        <v>81</v>
      </c>
      <c r="B88" t="str">
        <f ca="1">TEXT(DATE(YEAR(Invoer!$A$5),1,1)+INT((ROWS(B$2:B88)-1)/3),"jjjjmmdd")</f>
        <v>19400129</v>
      </c>
      <c r="C88" s="35" t="str">
        <f>INDEX(Data,2,2+MOD(ROWS(C$2:C88)-1,3))</f>
        <v>19.45</v>
      </c>
      <c r="D88" s="23">
        <f t="shared" ca="1" si="6"/>
        <v>750</v>
      </c>
      <c r="E88" s="40">
        <f t="shared" ca="1" si="7"/>
        <v>0</v>
      </c>
      <c r="F88" s="23">
        <f t="shared" ca="1" si="8"/>
        <v>27</v>
      </c>
      <c r="G88" s="40">
        <f t="shared" ca="1" si="9"/>
        <v>0</v>
      </c>
    </row>
    <row r="89" spans="1:7" x14ac:dyDescent="0.25">
      <c r="A89" s="17">
        <f t="shared" si="5"/>
        <v>81</v>
      </c>
      <c r="B89" t="str">
        <f ca="1">TEXT(DATE(YEAR(Invoer!$A$5),1,1)+INT((ROWS(B$2:B89)-1)/3),"jjjjmmdd")</f>
        <v>19400130</v>
      </c>
      <c r="C89" s="35" t="str">
        <f>INDEX(Data,2,2+MOD(ROWS(C$2:C89)-1,3))</f>
        <v>07.45</v>
      </c>
      <c r="D89" s="23">
        <f t="shared" ca="1" si="6"/>
        <v>750</v>
      </c>
      <c r="E89" s="40">
        <f t="shared" ca="1" si="7"/>
        <v>0</v>
      </c>
      <c r="F89" s="23">
        <f t="shared" ca="1" si="8"/>
        <v>26</v>
      </c>
      <c r="G89" s="40">
        <f t="shared" ca="1" si="9"/>
        <v>0</v>
      </c>
    </row>
    <row r="90" spans="1:7" x14ac:dyDescent="0.25">
      <c r="A90" s="17">
        <f t="shared" si="5"/>
        <v>81</v>
      </c>
      <c r="B90" t="str">
        <f ca="1">TEXT(DATE(YEAR(Invoer!$A$5),1,1)+INT((ROWS(B$2:B90)-1)/3),"jjjjmmdd")</f>
        <v>19400130</v>
      </c>
      <c r="C90" s="35" t="str">
        <f>INDEX(Data,2,2+MOD(ROWS(C$2:C90)-1,3))</f>
        <v>13.45</v>
      </c>
      <c r="D90" s="23">
        <f t="shared" ca="1" si="6"/>
        <v>749</v>
      </c>
      <c r="E90" s="40">
        <f t="shared" ca="1" si="7"/>
        <v>0</v>
      </c>
      <c r="F90" s="23">
        <f t="shared" ca="1" si="8"/>
        <v>28</v>
      </c>
      <c r="G90" s="40">
        <f t="shared" ca="1" si="9"/>
        <v>0</v>
      </c>
    </row>
    <row r="91" spans="1:7" x14ac:dyDescent="0.25">
      <c r="A91" s="17">
        <f t="shared" si="5"/>
        <v>81</v>
      </c>
      <c r="B91" t="str">
        <f ca="1">TEXT(DATE(YEAR(Invoer!$A$5),1,1)+INT((ROWS(B$2:B91)-1)/3),"jjjjmmdd")</f>
        <v>19400130</v>
      </c>
      <c r="C91" s="35" t="str">
        <f>INDEX(Data,2,2+MOD(ROWS(C$2:C91)-1,3))</f>
        <v>19.45</v>
      </c>
      <c r="D91" s="23">
        <f t="shared" ca="1" si="6"/>
        <v>749</v>
      </c>
      <c r="E91" s="40">
        <f t="shared" ca="1" si="7"/>
        <v>0</v>
      </c>
      <c r="F91" s="23">
        <f t="shared" ca="1" si="8"/>
        <v>27</v>
      </c>
      <c r="G91" s="40">
        <f t="shared" ca="1" si="9"/>
        <v>0</v>
      </c>
    </row>
    <row r="92" spans="1:7" x14ac:dyDescent="0.25">
      <c r="A92" s="17">
        <f t="shared" si="5"/>
        <v>81</v>
      </c>
      <c r="B92" t="str">
        <f ca="1">TEXT(DATE(YEAR(Invoer!$A$5),1,1)+INT((ROWS(B$2:B92)-1)/3),"jjjjmmdd")</f>
        <v>19400131</v>
      </c>
      <c r="C92" s="35" t="str">
        <f>INDEX(Data,2,2+MOD(ROWS(C$2:C92)-1,3))</f>
        <v>07.45</v>
      </c>
      <c r="D92" s="23">
        <f t="shared" ca="1" si="6"/>
        <v>749</v>
      </c>
      <c r="E92" s="40">
        <f t="shared" ca="1" si="7"/>
        <v>0</v>
      </c>
      <c r="F92" s="23">
        <f t="shared" ca="1" si="8"/>
        <v>26</v>
      </c>
      <c r="G92" s="40">
        <f t="shared" ca="1" si="9"/>
        <v>0</v>
      </c>
    </row>
    <row r="93" spans="1:7" x14ac:dyDescent="0.25">
      <c r="A93" s="17">
        <f t="shared" si="5"/>
        <v>81</v>
      </c>
      <c r="B93" t="str">
        <f ca="1">TEXT(DATE(YEAR(Invoer!$A$5),1,1)+INT((ROWS(B$2:B93)-1)/3),"jjjjmmdd")</f>
        <v>19400131</v>
      </c>
      <c r="C93" s="35" t="str">
        <f>INDEX(Data,2,2+MOD(ROWS(C$2:C93)-1,3))</f>
        <v>13.45</v>
      </c>
      <c r="D93" s="23">
        <f t="shared" ca="1" si="6"/>
        <v>749</v>
      </c>
      <c r="E93" s="40">
        <f t="shared" ca="1" si="7"/>
        <v>0</v>
      </c>
      <c r="F93" s="23">
        <f t="shared" ca="1" si="8"/>
        <v>28</v>
      </c>
      <c r="G93" s="40">
        <f t="shared" ca="1" si="9"/>
        <v>0</v>
      </c>
    </row>
    <row r="94" spans="1:7" x14ac:dyDescent="0.25">
      <c r="A94" s="17">
        <f t="shared" si="5"/>
        <v>81</v>
      </c>
      <c r="B94" t="str">
        <f ca="1">TEXT(DATE(YEAR(Invoer!$A$5),1,1)+INT((ROWS(B$2:B94)-1)/3),"jjjjmmdd")</f>
        <v>19400131</v>
      </c>
      <c r="C94" s="35" t="str">
        <f>INDEX(Data,2,2+MOD(ROWS(C$2:C94)-1,3))</f>
        <v>19.45</v>
      </c>
      <c r="D94" s="23">
        <f t="shared" ca="1" si="6"/>
        <v>749</v>
      </c>
      <c r="E94" s="40">
        <f t="shared" ca="1" si="7"/>
        <v>0</v>
      </c>
      <c r="F94" s="23">
        <f t="shared" ca="1" si="8"/>
        <v>27</v>
      </c>
      <c r="G94" s="40">
        <f t="shared" ca="1" si="9"/>
        <v>0</v>
      </c>
    </row>
    <row r="95" spans="1:7" x14ac:dyDescent="0.25">
      <c r="A95" s="17">
        <f t="shared" si="5"/>
        <v>81</v>
      </c>
      <c r="B95" t="str">
        <f ca="1">TEXT(DATE(YEAR(Invoer!$A$5),1,1)+INT((ROWS(B$2:B95)-1)/3),"jjjjmmdd")</f>
        <v>19400201</v>
      </c>
      <c r="C95" s="35" t="str">
        <f>INDEX(Data,2,2+MOD(ROWS(C$2:C95)-1,3))</f>
        <v>07.45</v>
      </c>
      <c r="D95" s="23">
        <f t="shared" ca="1" si="6"/>
        <v>749</v>
      </c>
      <c r="E95" s="40">
        <f t="shared" ca="1" si="7"/>
        <v>0</v>
      </c>
      <c r="F95" s="23">
        <f t="shared" ca="1" si="8"/>
        <v>25</v>
      </c>
      <c r="G95" s="40">
        <f t="shared" ca="1" si="9"/>
        <v>0</v>
      </c>
    </row>
    <row r="96" spans="1:7" x14ac:dyDescent="0.25">
      <c r="A96" s="17">
        <f t="shared" si="5"/>
        <v>81</v>
      </c>
      <c r="B96" t="str">
        <f ca="1">TEXT(DATE(YEAR(Invoer!$A$5),1,1)+INT((ROWS(B$2:B96)-1)/3),"jjjjmmdd")</f>
        <v>19400201</v>
      </c>
      <c r="C96" s="35" t="str">
        <f>INDEX(Data,2,2+MOD(ROWS(C$2:C96)-1,3))</f>
        <v>13.45</v>
      </c>
      <c r="D96" s="23">
        <f t="shared" ca="1" si="6"/>
        <v>748</v>
      </c>
      <c r="E96" s="40">
        <f t="shared" ca="1" si="7"/>
        <v>0</v>
      </c>
      <c r="F96" s="23">
        <f t="shared" ca="1" si="8"/>
        <v>27</v>
      </c>
      <c r="G96" s="40">
        <f t="shared" ca="1" si="9"/>
        <v>0</v>
      </c>
    </row>
    <row r="97" spans="1:7" x14ac:dyDescent="0.25">
      <c r="A97" s="17">
        <f t="shared" si="5"/>
        <v>81</v>
      </c>
      <c r="B97" t="str">
        <f ca="1">TEXT(DATE(YEAR(Invoer!$A$5),1,1)+INT((ROWS(B$2:B97)-1)/3),"jjjjmmdd")</f>
        <v>19400201</v>
      </c>
      <c r="C97" s="35" t="str">
        <f>INDEX(Data,2,2+MOD(ROWS(C$2:C97)-1,3))</f>
        <v>19.45</v>
      </c>
      <c r="D97" s="23">
        <f t="shared" ca="1" si="6"/>
        <v>749</v>
      </c>
      <c r="E97" s="40">
        <f t="shared" ca="1" si="7"/>
        <v>0</v>
      </c>
      <c r="F97" s="23">
        <f t="shared" ca="1" si="8"/>
        <v>26</v>
      </c>
      <c r="G97" s="40">
        <f t="shared" ca="1" si="9"/>
        <v>0</v>
      </c>
    </row>
    <row r="98" spans="1:7" x14ac:dyDescent="0.25">
      <c r="A98" s="17">
        <f t="shared" si="5"/>
        <v>81</v>
      </c>
      <c r="B98" t="str">
        <f ca="1">TEXT(DATE(YEAR(Invoer!$A$5),1,1)+INT((ROWS(B$2:B98)-1)/3),"jjjjmmdd")</f>
        <v>19400202</v>
      </c>
      <c r="C98" s="35" t="str">
        <f>INDEX(Data,2,2+MOD(ROWS(C$2:C98)-1,3))</f>
        <v>07.45</v>
      </c>
      <c r="D98" s="23">
        <f t="shared" ca="1" si="6"/>
        <v>748</v>
      </c>
      <c r="E98" s="40">
        <f t="shared" ca="1" si="7"/>
        <v>0</v>
      </c>
      <c r="F98" s="23">
        <f t="shared" ca="1" si="8"/>
        <v>25</v>
      </c>
      <c r="G98" s="40">
        <f t="shared" ca="1" si="9"/>
        <v>0</v>
      </c>
    </row>
    <row r="99" spans="1:7" x14ac:dyDescent="0.25">
      <c r="A99" s="17">
        <f t="shared" si="5"/>
        <v>81</v>
      </c>
      <c r="B99" t="str">
        <f ca="1">TEXT(DATE(YEAR(Invoer!$A$5),1,1)+INT((ROWS(B$2:B99)-1)/3),"jjjjmmdd")</f>
        <v>19400202</v>
      </c>
      <c r="C99" s="35" t="str">
        <f>INDEX(Data,2,2+MOD(ROWS(C$2:C99)-1,3))</f>
        <v>13.45</v>
      </c>
      <c r="D99" s="23">
        <f t="shared" ca="1" si="6"/>
        <v>748</v>
      </c>
      <c r="E99" s="40">
        <f t="shared" ca="1" si="7"/>
        <v>0</v>
      </c>
      <c r="F99" s="23">
        <f t="shared" ca="1" si="8"/>
        <v>26</v>
      </c>
      <c r="G99" s="40">
        <f t="shared" ca="1" si="9"/>
        <v>0</v>
      </c>
    </row>
    <row r="100" spans="1:7" x14ac:dyDescent="0.25">
      <c r="A100" s="17">
        <f t="shared" si="5"/>
        <v>81</v>
      </c>
      <c r="B100" t="str">
        <f ca="1">TEXT(DATE(YEAR(Invoer!$A$5),1,1)+INT((ROWS(B$2:B100)-1)/3),"jjjjmmdd")</f>
        <v>19400202</v>
      </c>
      <c r="C100" s="35" t="str">
        <f>INDEX(Data,2,2+MOD(ROWS(C$2:C100)-1,3))</f>
        <v>19.45</v>
      </c>
      <c r="D100" s="23">
        <f t="shared" ca="1" si="6"/>
        <v>748</v>
      </c>
      <c r="E100" s="40">
        <f t="shared" ca="1" si="7"/>
        <v>0</v>
      </c>
      <c r="F100" s="23">
        <f t="shared" ca="1" si="8"/>
        <v>25</v>
      </c>
      <c r="G100" s="40">
        <f t="shared" ca="1" si="9"/>
        <v>0</v>
      </c>
    </row>
    <row r="101" spans="1:7" x14ac:dyDescent="0.25">
      <c r="A101" s="17">
        <f t="shared" si="5"/>
        <v>81</v>
      </c>
      <c r="B101" t="str">
        <f ca="1">TEXT(DATE(YEAR(Invoer!$A$5),1,1)+INT((ROWS(B$2:B101)-1)/3),"jjjjmmdd")</f>
        <v>19400203</v>
      </c>
      <c r="C101" s="35" t="str">
        <f>INDEX(Data,2,2+MOD(ROWS(C$2:C101)-1,3))</f>
        <v>07.45</v>
      </c>
      <c r="D101" s="23">
        <f t="shared" ca="1" si="6"/>
        <v>748</v>
      </c>
      <c r="E101" s="40">
        <f t="shared" ca="1" si="7"/>
        <v>0</v>
      </c>
      <c r="F101" s="23">
        <f t="shared" ca="1" si="8"/>
        <v>24</v>
      </c>
      <c r="G101" s="40">
        <f t="shared" ca="1" si="9"/>
        <v>0</v>
      </c>
    </row>
    <row r="102" spans="1:7" x14ac:dyDescent="0.25">
      <c r="A102" s="17">
        <f t="shared" si="5"/>
        <v>81</v>
      </c>
      <c r="B102" t="str">
        <f ca="1">TEXT(DATE(YEAR(Invoer!$A$5),1,1)+INT((ROWS(B$2:B102)-1)/3),"jjjjmmdd")</f>
        <v>19400203</v>
      </c>
      <c r="C102" s="35" t="str">
        <f>INDEX(Data,2,2+MOD(ROWS(C$2:C102)-1,3))</f>
        <v>13.45</v>
      </c>
      <c r="D102" s="23">
        <f t="shared" ca="1" si="6"/>
        <v>748</v>
      </c>
      <c r="E102" s="40">
        <f t="shared" ca="1" si="7"/>
        <v>0</v>
      </c>
      <c r="F102" s="23">
        <f t="shared" ca="1" si="8"/>
        <v>26</v>
      </c>
      <c r="G102" s="40">
        <f t="shared" ca="1" si="9"/>
        <v>0</v>
      </c>
    </row>
    <row r="103" spans="1:7" x14ac:dyDescent="0.25">
      <c r="A103" s="17">
        <f t="shared" si="5"/>
        <v>81</v>
      </c>
      <c r="B103" t="str">
        <f ca="1">TEXT(DATE(YEAR(Invoer!$A$5),1,1)+INT((ROWS(B$2:B103)-1)/3),"jjjjmmdd")</f>
        <v>19400203</v>
      </c>
      <c r="C103" s="35" t="str">
        <f>INDEX(Data,2,2+MOD(ROWS(C$2:C103)-1,3))</f>
        <v>19.45</v>
      </c>
      <c r="D103" s="23">
        <f t="shared" ca="1" si="6"/>
        <v>748</v>
      </c>
      <c r="E103" s="40">
        <f t="shared" ca="1" si="7"/>
        <v>0</v>
      </c>
      <c r="F103" s="23">
        <f t="shared" ca="1" si="8"/>
        <v>25</v>
      </c>
      <c r="G103" s="40">
        <f t="shared" ca="1" si="9"/>
        <v>0</v>
      </c>
    </row>
    <row r="104" spans="1:7" x14ac:dyDescent="0.25">
      <c r="A104" s="17">
        <f t="shared" si="5"/>
        <v>81</v>
      </c>
      <c r="B104" t="str">
        <f ca="1">TEXT(DATE(YEAR(Invoer!$A$5),1,1)+INT((ROWS(B$2:B104)-1)/3),"jjjjmmdd")</f>
        <v>19400204</v>
      </c>
      <c r="C104" s="35" t="str">
        <f>INDEX(Data,2,2+MOD(ROWS(C$2:C104)-1,3))</f>
        <v>07.45</v>
      </c>
      <c r="D104" s="23">
        <f t="shared" ca="1" si="6"/>
        <v>749</v>
      </c>
      <c r="E104" s="40">
        <f t="shared" ca="1" si="7"/>
        <v>0</v>
      </c>
      <c r="F104" s="23">
        <f t="shared" ca="1" si="8"/>
        <v>24</v>
      </c>
      <c r="G104" s="40">
        <f t="shared" ca="1" si="9"/>
        <v>0</v>
      </c>
    </row>
    <row r="105" spans="1:7" x14ac:dyDescent="0.25">
      <c r="A105" s="17">
        <f t="shared" si="5"/>
        <v>81</v>
      </c>
      <c r="B105" t="str">
        <f ca="1">TEXT(DATE(YEAR(Invoer!$A$5),1,1)+INT((ROWS(B$2:B105)-1)/3),"jjjjmmdd")</f>
        <v>19400204</v>
      </c>
      <c r="C105" s="35" t="str">
        <f>INDEX(Data,2,2+MOD(ROWS(C$2:C105)-1,3))</f>
        <v>13.45</v>
      </c>
      <c r="D105" s="23">
        <f t="shared" ca="1" si="6"/>
        <v>749</v>
      </c>
      <c r="E105" s="40">
        <f t="shared" ca="1" si="7"/>
        <v>0</v>
      </c>
      <c r="F105" s="23">
        <f t="shared" ca="1" si="8"/>
        <v>25</v>
      </c>
      <c r="G105" s="40">
        <f t="shared" ca="1" si="9"/>
        <v>0</v>
      </c>
    </row>
    <row r="106" spans="1:7" x14ac:dyDescent="0.25">
      <c r="A106" s="17">
        <f t="shared" si="5"/>
        <v>81</v>
      </c>
      <c r="B106" t="str">
        <f ca="1">TEXT(DATE(YEAR(Invoer!$A$5),1,1)+INT((ROWS(B$2:B106)-1)/3),"jjjjmmdd")</f>
        <v>19400204</v>
      </c>
      <c r="C106" s="35" t="str">
        <f>INDEX(Data,2,2+MOD(ROWS(C$2:C106)-1,3))</f>
        <v>19.45</v>
      </c>
      <c r="D106" s="23">
        <f t="shared" ca="1" si="6"/>
        <v>749</v>
      </c>
      <c r="E106" s="40">
        <f t="shared" ca="1" si="7"/>
        <v>0</v>
      </c>
      <c r="F106" s="23">
        <f t="shared" ca="1" si="8"/>
        <v>24</v>
      </c>
      <c r="G106" s="40">
        <f t="shared" ca="1" si="9"/>
        <v>0</v>
      </c>
    </row>
    <row r="107" spans="1:7" x14ac:dyDescent="0.25">
      <c r="A107" s="17">
        <f t="shared" si="5"/>
        <v>81</v>
      </c>
      <c r="B107" t="str">
        <f ca="1">TEXT(DATE(YEAR(Invoer!$A$5),1,1)+INT((ROWS(B$2:B107)-1)/3),"jjjjmmdd")</f>
        <v>19400205</v>
      </c>
      <c r="C107" s="35" t="str">
        <f>INDEX(Data,2,2+MOD(ROWS(C$2:C107)-1,3))</f>
        <v>07.45</v>
      </c>
      <c r="D107" s="23">
        <f t="shared" ca="1" si="6"/>
        <v>749</v>
      </c>
      <c r="E107" s="40">
        <f t="shared" ca="1" si="7"/>
        <v>0</v>
      </c>
      <c r="F107" s="23">
        <f t="shared" ca="1" si="8"/>
        <v>23</v>
      </c>
      <c r="G107" s="40">
        <f t="shared" ca="1" si="9"/>
        <v>0</v>
      </c>
    </row>
    <row r="108" spans="1:7" x14ac:dyDescent="0.25">
      <c r="A108" s="17">
        <f t="shared" si="5"/>
        <v>81</v>
      </c>
      <c r="B108" t="str">
        <f ca="1">TEXT(DATE(YEAR(Invoer!$A$5),1,1)+INT((ROWS(B$2:B108)-1)/3),"jjjjmmdd")</f>
        <v>19400205</v>
      </c>
      <c r="C108" s="35" t="str">
        <f>INDEX(Data,2,2+MOD(ROWS(C$2:C108)-1,3))</f>
        <v>13.45</v>
      </c>
      <c r="D108" s="23">
        <f t="shared" ca="1" si="6"/>
        <v>749</v>
      </c>
      <c r="E108" s="40">
        <f t="shared" ca="1" si="7"/>
        <v>0</v>
      </c>
      <c r="F108" s="23">
        <f t="shared" ca="1" si="8"/>
        <v>25</v>
      </c>
      <c r="G108" s="40">
        <f t="shared" ca="1" si="9"/>
        <v>0</v>
      </c>
    </row>
    <row r="109" spans="1:7" x14ac:dyDescent="0.25">
      <c r="A109" s="17">
        <f t="shared" si="5"/>
        <v>81</v>
      </c>
      <c r="B109" t="str">
        <f ca="1">TEXT(DATE(YEAR(Invoer!$A$5),1,1)+INT((ROWS(B$2:B109)-1)/3),"jjjjmmdd")</f>
        <v>19400205</v>
      </c>
      <c r="C109" s="35" t="str">
        <f>INDEX(Data,2,2+MOD(ROWS(C$2:C109)-1,3))</f>
        <v>19.45</v>
      </c>
      <c r="D109" s="23">
        <f t="shared" ca="1" si="6"/>
        <v>750</v>
      </c>
      <c r="E109" s="40">
        <f t="shared" ca="1" si="7"/>
        <v>0</v>
      </c>
      <c r="F109" s="23">
        <f t="shared" ca="1" si="8"/>
        <v>24</v>
      </c>
      <c r="G109" s="40">
        <f t="shared" ca="1" si="9"/>
        <v>0</v>
      </c>
    </row>
    <row r="110" spans="1:7" x14ac:dyDescent="0.25">
      <c r="A110" s="17">
        <f t="shared" si="5"/>
        <v>81</v>
      </c>
      <c r="B110" t="str">
        <f ca="1">TEXT(DATE(YEAR(Invoer!$A$5),1,1)+INT((ROWS(B$2:B110)-1)/3),"jjjjmmdd")</f>
        <v>19400206</v>
      </c>
      <c r="C110" s="35" t="str">
        <f>INDEX(Data,2,2+MOD(ROWS(C$2:C110)-1,3))</f>
        <v>07.45</v>
      </c>
      <c r="D110" s="23">
        <f t="shared" ca="1" si="6"/>
        <v>750</v>
      </c>
      <c r="E110" s="40">
        <f t="shared" ca="1" si="7"/>
        <v>0</v>
      </c>
      <c r="F110" s="23">
        <f t="shared" ca="1" si="8"/>
        <v>24</v>
      </c>
      <c r="G110" s="40">
        <f t="shared" ca="1" si="9"/>
        <v>0</v>
      </c>
    </row>
    <row r="111" spans="1:7" x14ac:dyDescent="0.25">
      <c r="A111" s="17">
        <f t="shared" si="5"/>
        <v>81</v>
      </c>
      <c r="B111" t="str">
        <f ca="1">TEXT(DATE(YEAR(Invoer!$A$5),1,1)+INT((ROWS(B$2:B111)-1)/3),"jjjjmmdd")</f>
        <v>19400206</v>
      </c>
      <c r="C111" s="35" t="str">
        <f>INDEX(Data,2,2+MOD(ROWS(C$2:C111)-1,3))</f>
        <v>13.45</v>
      </c>
      <c r="D111" s="23">
        <f t="shared" ca="1" si="6"/>
        <v>750</v>
      </c>
      <c r="E111" s="40">
        <f t="shared" ca="1" si="7"/>
        <v>0</v>
      </c>
      <c r="F111" s="23">
        <f t="shared" ca="1" si="8"/>
        <v>26</v>
      </c>
      <c r="G111" s="40">
        <f t="shared" ca="1" si="9"/>
        <v>0</v>
      </c>
    </row>
    <row r="112" spans="1:7" x14ac:dyDescent="0.25">
      <c r="A112" s="17">
        <f t="shared" si="5"/>
        <v>81</v>
      </c>
      <c r="B112" t="str">
        <f ca="1">TEXT(DATE(YEAR(Invoer!$A$5),1,1)+INT((ROWS(B$2:B112)-1)/3),"jjjjmmdd")</f>
        <v>19400206</v>
      </c>
      <c r="C112" s="35" t="str">
        <f>INDEX(Data,2,2+MOD(ROWS(C$2:C112)-1,3))</f>
        <v>19.45</v>
      </c>
      <c r="D112" s="23">
        <f t="shared" ca="1" si="6"/>
        <v>750</v>
      </c>
      <c r="E112" s="40">
        <f t="shared" ca="1" si="7"/>
        <v>0</v>
      </c>
      <c r="F112" s="23">
        <f t="shared" ca="1" si="8"/>
        <v>25</v>
      </c>
      <c r="G112" s="40">
        <f t="shared" ca="1" si="9"/>
        <v>0</v>
      </c>
    </row>
    <row r="113" spans="1:7" x14ac:dyDescent="0.25">
      <c r="A113" s="17">
        <f t="shared" si="5"/>
        <v>81</v>
      </c>
      <c r="B113" t="str">
        <f ca="1">TEXT(DATE(YEAR(Invoer!$A$5),1,1)+INT((ROWS(B$2:B113)-1)/3),"jjjjmmdd")</f>
        <v>19400207</v>
      </c>
      <c r="C113" s="35" t="str">
        <f>INDEX(Data,2,2+MOD(ROWS(C$2:C113)-1,3))</f>
        <v>07.45</v>
      </c>
      <c r="D113" s="23">
        <f t="shared" ca="1" si="6"/>
        <v>750</v>
      </c>
      <c r="E113" s="40">
        <f t="shared" ca="1" si="7"/>
        <v>0</v>
      </c>
      <c r="F113" s="23">
        <f t="shared" ca="1" si="8"/>
        <v>24</v>
      </c>
      <c r="G113" s="40">
        <f t="shared" ca="1" si="9"/>
        <v>0</v>
      </c>
    </row>
    <row r="114" spans="1:7" x14ac:dyDescent="0.25">
      <c r="A114" s="17">
        <f t="shared" si="5"/>
        <v>81</v>
      </c>
      <c r="B114" t="str">
        <f ca="1">TEXT(DATE(YEAR(Invoer!$A$5),1,1)+INT((ROWS(B$2:B114)-1)/3),"jjjjmmdd")</f>
        <v>19400207</v>
      </c>
      <c r="C114" s="35" t="str">
        <f>INDEX(Data,2,2+MOD(ROWS(C$2:C114)-1,3))</f>
        <v>13.45</v>
      </c>
      <c r="D114" s="23">
        <f t="shared" ca="1" si="6"/>
        <v>750</v>
      </c>
      <c r="E114" s="40">
        <f t="shared" ca="1" si="7"/>
        <v>0</v>
      </c>
      <c r="F114" s="23">
        <f t="shared" ca="1" si="8"/>
        <v>27</v>
      </c>
      <c r="G114" s="40">
        <f t="shared" ca="1" si="9"/>
        <v>0</v>
      </c>
    </row>
    <row r="115" spans="1:7" x14ac:dyDescent="0.25">
      <c r="A115" s="17">
        <f t="shared" si="5"/>
        <v>81</v>
      </c>
      <c r="B115" t="str">
        <f ca="1">TEXT(DATE(YEAR(Invoer!$A$5),1,1)+INT((ROWS(B$2:B115)-1)/3),"jjjjmmdd")</f>
        <v>19400207</v>
      </c>
      <c r="C115" s="35" t="str">
        <f>INDEX(Data,2,2+MOD(ROWS(C$2:C115)-1,3))</f>
        <v>19.45</v>
      </c>
      <c r="D115" s="23">
        <f t="shared" ca="1" si="6"/>
        <v>750</v>
      </c>
      <c r="E115" s="40">
        <f t="shared" ca="1" si="7"/>
        <v>0</v>
      </c>
      <c r="F115" s="23">
        <f t="shared" ca="1" si="8"/>
        <v>25</v>
      </c>
      <c r="G115" s="40">
        <f t="shared" ca="1" si="9"/>
        <v>0</v>
      </c>
    </row>
    <row r="116" spans="1:7" x14ac:dyDescent="0.25">
      <c r="A116" s="17">
        <f t="shared" si="5"/>
        <v>81</v>
      </c>
      <c r="B116" t="str">
        <f ca="1">TEXT(DATE(YEAR(Invoer!$A$5),1,1)+INT((ROWS(B$2:B116)-1)/3),"jjjjmmdd")</f>
        <v>19400208</v>
      </c>
      <c r="C116" s="35" t="str">
        <f>INDEX(Data,2,2+MOD(ROWS(C$2:C116)-1,3))</f>
        <v>07.45</v>
      </c>
      <c r="D116" s="23">
        <f t="shared" ca="1" si="6"/>
        <v>750</v>
      </c>
      <c r="E116" s="40">
        <f t="shared" ca="1" si="7"/>
        <v>0</v>
      </c>
      <c r="F116" s="23">
        <f t="shared" ca="1" si="8"/>
        <v>25</v>
      </c>
      <c r="G116" s="40">
        <f t="shared" ca="1" si="9"/>
        <v>0</v>
      </c>
    </row>
    <row r="117" spans="1:7" x14ac:dyDescent="0.25">
      <c r="A117" s="17">
        <f t="shared" si="5"/>
        <v>81</v>
      </c>
      <c r="B117" t="str">
        <f ca="1">TEXT(DATE(YEAR(Invoer!$A$5),1,1)+INT((ROWS(B$2:B117)-1)/3),"jjjjmmdd")</f>
        <v>19400208</v>
      </c>
      <c r="C117" s="35" t="str">
        <f>INDEX(Data,2,2+MOD(ROWS(C$2:C117)-1,3))</f>
        <v>13.45</v>
      </c>
      <c r="D117" s="23">
        <f t="shared" ca="1" si="6"/>
        <v>750</v>
      </c>
      <c r="E117" s="40">
        <f t="shared" ca="1" si="7"/>
        <v>0</v>
      </c>
      <c r="F117" s="23">
        <f t="shared" ca="1" si="8"/>
        <v>27</v>
      </c>
      <c r="G117" s="40">
        <f t="shared" ca="1" si="9"/>
        <v>0</v>
      </c>
    </row>
    <row r="118" spans="1:7" x14ac:dyDescent="0.25">
      <c r="A118" s="17">
        <f t="shared" si="5"/>
        <v>81</v>
      </c>
      <c r="B118" t="str">
        <f ca="1">TEXT(DATE(YEAR(Invoer!$A$5),1,1)+INT((ROWS(B$2:B118)-1)/3),"jjjjmmdd")</f>
        <v>19400208</v>
      </c>
      <c r="C118" s="35" t="str">
        <f>INDEX(Data,2,2+MOD(ROWS(C$2:C118)-1,3))</f>
        <v>19.45</v>
      </c>
      <c r="D118" s="23">
        <f t="shared" ca="1" si="6"/>
        <v>750</v>
      </c>
      <c r="E118" s="40">
        <f t="shared" ca="1" si="7"/>
        <v>0</v>
      </c>
      <c r="F118" s="23">
        <f t="shared" ca="1" si="8"/>
        <v>26</v>
      </c>
      <c r="G118" s="40">
        <f t="shared" ca="1" si="9"/>
        <v>0</v>
      </c>
    </row>
    <row r="119" spans="1:7" x14ac:dyDescent="0.25">
      <c r="A119" s="17">
        <f t="shared" si="5"/>
        <v>81</v>
      </c>
      <c r="B119" t="str">
        <f ca="1">TEXT(DATE(YEAR(Invoer!$A$5),1,1)+INT((ROWS(B$2:B119)-1)/3),"jjjjmmdd")</f>
        <v>19400209</v>
      </c>
      <c r="C119" s="35" t="str">
        <f>INDEX(Data,2,2+MOD(ROWS(C$2:C119)-1,3))</f>
        <v>07.45</v>
      </c>
      <c r="D119" s="23">
        <f t="shared" ca="1" si="6"/>
        <v>751</v>
      </c>
      <c r="E119" s="40">
        <f t="shared" ca="1" si="7"/>
        <v>0</v>
      </c>
      <c r="F119" s="23">
        <f t="shared" ca="1" si="8"/>
        <v>26</v>
      </c>
      <c r="G119" s="40">
        <f t="shared" ca="1" si="9"/>
        <v>0</v>
      </c>
    </row>
    <row r="120" spans="1:7" x14ac:dyDescent="0.25">
      <c r="A120" s="17">
        <f t="shared" si="5"/>
        <v>81</v>
      </c>
      <c r="B120" t="str">
        <f ca="1">TEXT(DATE(YEAR(Invoer!$A$5),1,1)+INT((ROWS(B$2:B120)-1)/3),"jjjjmmdd")</f>
        <v>19400209</v>
      </c>
      <c r="C120" s="35" t="str">
        <f>INDEX(Data,2,2+MOD(ROWS(C$2:C120)-1,3))</f>
        <v>13.45</v>
      </c>
      <c r="D120" s="23">
        <f t="shared" ca="1" si="6"/>
        <v>750</v>
      </c>
      <c r="E120" s="40">
        <f t="shared" ca="1" si="7"/>
        <v>0</v>
      </c>
      <c r="F120" s="23">
        <f t="shared" ca="1" si="8"/>
        <v>28</v>
      </c>
      <c r="G120" s="40">
        <f t="shared" ca="1" si="9"/>
        <v>0</v>
      </c>
    </row>
    <row r="121" spans="1:7" x14ac:dyDescent="0.25">
      <c r="A121" s="17">
        <f t="shared" si="5"/>
        <v>81</v>
      </c>
      <c r="B121" t="str">
        <f ca="1">TEXT(DATE(YEAR(Invoer!$A$5),1,1)+INT((ROWS(B$2:B121)-1)/3),"jjjjmmdd")</f>
        <v>19400209</v>
      </c>
      <c r="C121" s="35" t="str">
        <f>INDEX(Data,2,2+MOD(ROWS(C$2:C121)-1,3))</f>
        <v>19.45</v>
      </c>
      <c r="D121" s="23">
        <f t="shared" ca="1" si="6"/>
        <v>750</v>
      </c>
      <c r="E121" s="40">
        <f t="shared" ca="1" si="7"/>
        <v>0</v>
      </c>
      <c r="F121" s="23">
        <f t="shared" ca="1" si="8"/>
        <v>26</v>
      </c>
      <c r="G121" s="40">
        <f t="shared" ca="1" si="9"/>
        <v>0</v>
      </c>
    </row>
    <row r="122" spans="1:7" x14ac:dyDescent="0.25">
      <c r="A122" s="17">
        <f t="shared" si="5"/>
        <v>81</v>
      </c>
      <c r="B122" t="str">
        <f ca="1">TEXT(DATE(YEAR(Invoer!$A$5),1,1)+INT((ROWS(B$2:B122)-1)/3),"jjjjmmdd")</f>
        <v>19400210</v>
      </c>
      <c r="C122" s="35" t="str">
        <f>INDEX(Data,2,2+MOD(ROWS(C$2:C122)-1,3))</f>
        <v>07.45</v>
      </c>
      <c r="D122" s="23">
        <f t="shared" ca="1" si="6"/>
        <v>750</v>
      </c>
      <c r="E122" s="40">
        <f t="shared" ca="1" si="7"/>
        <v>0</v>
      </c>
      <c r="F122" s="23">
        <f t="shared" ca="1" si="8"/>
        <v>26</v>
      </c>
      <c r="G122" s="40">
        <f t="shared" ca="1" si="9"/>
        <v>0</v>
      </c>
    </row>
    <row r="123" spans="1:7" x14ac:dyDescent="0.25">
      <c r="A123" s="17">
        <f t="shared" si="5"/>
        <v>81</v>
      </c>
      <c r="B123" t="str">
        <f ca="1">TEXT(DATE(YEAR(Invoer!$A$5),1,1)+INT((ROWS(B$2:B123)-1)/3),"jjjjmmdd")</f>
        <v>19400210</v>
      </c>
      <c r="C123" s="35" t="str">
        <f>INDEX(Data,2,2+MOD(ROWS(C$2:C123)-1,3))</f>
        <v>13.45</v>
      </c>
      <c r="D123" s="23">
        <f t="shared" ca="1" si="6"/>
        <v>749</v>
      </c>
      <c r="E123" s="40">
        <f t="shared" ca="1" si="7"/>
        <v>0</v>
      </c>
      <c r="F123" s="23">
        <f t="shared" ca="1" si="8"/>
        <v>27</v>
      </c>
      <c r="G123" s="40">
        <f t="shared" ca="1" si="9"/>
        <v>0</v>
      </c>
    </row>
    <row r="124" spans="1:7" x14ac:dyDescent="0.25">
      <c r="A124" s="17">
        <f t="shared" si="5"/>
        <v>81</v>
      </c>
      <c r="B124" t="str">
        <f ca="1">TEXT(DATE(YEAR(Invoer!$A$5),1,1)+INT((ROWS(B$2:B124)-1)/3),"jjjjmmdd")</f>
        <v>19400210</v>
      </c>
      <c r="C124" s="35" t="str">
        <f>INDEX(Data,2,2+MOD(ROWS(C$2:C124)-1,3))</f>
        <v>19.45</v>
      </c>
      <c r="D124" s="23">
        <f t="shared" ca="1" si="6"/>
        <v>748</v>
      </c>
      <c r="E124" s="40">
        <f t="shared" ca="1" si="7"/>
        <v>0</v>
      </c>
      <c r="F124" s="23">
        <f t="shared" ca="1" si="8"/>
        <v>26</v>
      </c>
      <c r="G124" s="40">
        <f t="shared" ca="1" si="9"/>
        <v>0</v>
      </c>
    </row>
    <row r="125" spans="1:7" x14ac:dyDescent="0.25">
      <c r="A125" s="17">
        <f t="shared" si="5"/>
        <v>81</v>
      </c>
      <c r="B125" t="str">
        <f ca="1">TEXT(DATE(YEAR(Invoer!$A$5),1,1)+INT((ROWS(B$2:B125)-1)/3),"jjjjmmdd")</f>
        <v>19400211</v>
      </c>
      <c r="C125" s="35" t="str">
        <f>INDEX(Data,2,2+MOD(ROWS(C$2:C125)-1,3))</f>
        <v>07.45</v>
      </c>
      <c r="D125" s="23">
        <f t="shared" ca="1" si="6"/>
        <v>749</v>
      </c>
      <c r="E125" s="40">
        <f t="shared" ca="1" si="7"/>
        <v>0</v>
      </c>
      <c r="F125" s="23">
        <f t="shared" ca="1" si="8"/>
        <v>25</v>
      </c>
      <c r="G125" s="40">
        <f t="shared" ca="1" si="9"/>
        <v>0</v>
      </c>
    </row>
    <row r="126" spans="1:7" x14ac:dyDescent="0.25">
      <c r="A126" s="17">
        <f t="shared" si="5"/>
        <v>81</v>
      </c>
      <c r="B126" t="str">
        <f ca="1">TEXT(DATE(YEAR(Invoer!$A$5),1,1)+INT((ROWS(B$2:B126)-1)/3),"jjjjmmdd")</f>
        <v>19400211</v>
      </c>
      <c r="C126" s="35" t="str">
        <f>INDEX(Data,2,2+MOD(ROWS(C$2:C126)-1,3))</f>
        <v>13.45</v>
      </c>
      <c r="D126" s="23">
        <f t="shared" ca="1" si="6"/>
        <v>749</v>
      </c>
      <c r="E126" s="40">
        <f t="shared" ca="1" si="7"/>
        <v>0</v>
      </c>
      <c r="F126" s="23">
        <f t="shared" ca="1" si="8"/>
        <v>27</v>
      </c>
      <c r="G126" s="40">
        <f t="shared" ca="1" si="9"/>
        <v>0</v>
      </c>
    </row>
    <row r="127" spans="1:7" x14ac:dyDescent="0.25">
      <c r="A127" s="17">
        <f t="shared" si="5"/>
        <v>81</v>
      </c>
      <c r="B127" t="str">
        <f ca="1">TEXT(DATE(YEAR(Invoer!$A$5),1,1)+INT((ROWS(B$2:B127)-1)/3),"jjjjmmdd")</f>
        <v>19400211</v>
      </c>
      <c r="C127" s="35" t="str">
        <f>INDEX(Data,2,2+MOD(ROWS(C$2:C127)-1,3))</f>
        <v>19.45</v>
      </c>
      <c r="D127" s="23">
        <f t="shared" ca="1" si="6"/>
        <v>749</v>
      </c>
      <c r="E127" s="40">
        <f t="shared" ca="1" si="7"/>
        <v>0</v>
      </c>
      <c r="F127" s="23">
        <f t="shared" ca="1" si="8"/>
        <v>26</v>
      </c>
      <c r="G127" s="40">
        <f t="shared" ca="1" si="9"/>
        <v>0</v>
      </c>
    </row>
    <row r="128" spans="1:7" x14ac:dyDescent="0.25">
      <c r="A128" s="17">
        <f t="shared" si="5"/>
        <v>81</v>
      </c>
      <c r="B128" t="str">
        <f ca="1">TEXT(DATE(YEAR(Invoer!$A$5),1,1)+INT((ROWS(B$2:B128)-1)/3),"jjjjmmdd")</f>
        <v>19400212</v>
      </c>
      <c r="C128" s="35" t="str">
        <f>INDEX(Data,2,2+MOD(ROWS(C$2:C128)-1,3))</f>
        <v>07.45</v>
      </c>
      <c r="D128" s="23">
        <f t="shared" ca="1" si="6"/>
        <v>750</v>
      </c>
      <c r="E128" s="40">
        <f t="shared" ca="1" si="7"/>
        <v>0</v>
      </c>
      <c r="F128" s="23">
        <f t="shared" ca="1" si="8"/>
        <v>24</v>
      </c>
      <c r="G128" s="40">
        <f t="shared" ca="1" si="9"/>
        <v>0</v>
      </c>
    </row>
    <row r="129" spans="1:7" x14ac:dyDescent="0.25">
      <c r="A129" s="17">
        <f t="shared" si="5"/>
        <v>81</v>
      </c>
      <c r="B129" t="str">
        <f ca="1">TEXT(DATE(YEAR(Invoer!$A$5),1,1)+INT((ROWS(B$2:B129)-1)/3),"jjjjmmdd")</f>
        <v>19400212</v>
      </c>
      <c r="C129" s="35" t="str">
        <f>INDEX(Data,2,2+MOD(ROWS(C$2:C129)-1,3))</f>
        <v>13.45</v>
      </c>
      <c r="D129" s="23">
        <f t="shared" ca="1" si="6"/>
        <v>749</v>
      </c>
      <c r="E129" s="40">
        <f t="shared" ca="1" si="7"/>
        <v>0</v>
      </c>
      <c r="F129" s="23">
        <f t="shared" ca="1" si="8"/>
        <v>26</v>
      </c>
      <c r="G129" s="40">
        <f t="shared" ca="1" si="9"/>
        <v>0</v>
      </c>
    </row>
    <row r="130" spans="1:7" x14ac:dyDescent="0.25">
      <c r="A130" s="17">
        <f t="shared" ref="A130:A193" si="10">INDEX(Stations,2,1)</f>
        <v>81</v>
      </c>
      <c r="B130" t="str">
        <f ca="1">TEXT(DATE(YEAR(Invoer!$A$5),1,1)+INT((ROWS(B$2:B130)-1)/3),"jjjjmmdd")</f>
        <v>19400212</v>
      </c>
      <c r="C130" s="35" t="str">
        <f>INDEX(Data,2,2+MOD(ROWS(C$2:C130)-1,3))</f>
        <v>19.45</v>
      </c>
      <c r="D130" s="23">
        <f t="shared" ref="D130:D193" ca="1" si="11">IF(OR(ISBLANK(VLOOKUP(DATEVALUE(LEFT($B130,4)&amp;"-"&amp;MID($B130,5,2)&amp;"-"&amp;RIGHT($B130,2)),Data,MATCH(LEFT(VLOOKUP(D$1,Parameters,2,FALSE()),4)&amp;"*",OFFSET(Data,0,0,1),0)+MATCH($C130,OFFSET(Data,1,0,1),0)-2,FALSE())),ISTEXT(VLOOKUP(DATEVALUE(LEFT($B130,4)&amp;"-"&amp;MID($B130,5,2)&amp;"-"&amp;RIGHT($B130,2)),Data,MATCH(LEFT(VLOOKUP(D$1,Parameters,2,FALSE()),4)&amp;"*",OFFSET(Data,0,0,1),0)+MATCH($C130,OFFSET(Data,1,0,1),0)-2,FALSE()))),"—",VLOOKUP(DATEVALUE(LEFT($B130,4)&amp;"-"&amp;MID($B130,5,2)&amp;"-"&amp;RIGHT($B130,2)),Data,MATCH(LEFT(VLOOKUP(D$1,Parameters,2,FALSE()),4)&amp;"*",OFFSET(Data,0,0,1),0)+MATCH($C130,OFFSET(Data,1,0,1),0)-2,FALSE()))</f>
        <v>749</v>
      </c>
      <c r="E130" s="40">
        <f t="shared" ref="E130:E193" ca="1" si="12">IF(OR(ISBLANK(VLOOKUP(DATEVALUE(LEFT($B130,4)&amp;"-"&amp;MID($B130,5,2)&amp;"-"&amp;RIGHT($B130,2)),Data,MATCH(LEFT(VLOOKUP(MID(E$1,2,LEN(E$1)-1),Parameters,2,FALSE()),4)&amp;"*",OFFSET(Data,0,0,1),0)+MATCH($C130,OFFSET(Data,1,0,1),0)-2,FALSE())),ISTEXT(VLOOKUP(DATEVALUE(LEFT($B130,4)&amp;"-"&amp;MID($B130,5,2)&amp;"-"&amp;RIGHT($B130,2)),Data,MATCH(LEFT(VLOOKUP(MID(E$1,2,LEN(E$1)-1),Parameters,2,FALSE()),4)&amp;"*",OFFSET(Data,0,0,1),0)+MATCH($C130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E$1,2,LEN(E$1)-1),Parameters,2,FALSE()),4)&amp;"*",OFFSET(Catalogus,0,0,1),0)+MATCH($C130,OFFSET(Catalogus,1,0,1),0)-2,FALSE())))</f>
        <v>0</v>
      </c>
      <c r="F130" s="23">
        <f t="shared" ref="F130:F193" ca="1" si="13">IF(OR(ISBLANK(VLOOKUP(DATEVALUE(LEFT($B130,4)&amp;"-"&amp;MID($B130,5,2)&amp;"-"&amp;RIGHT($B130,2)),Data,MATCH(LEFT(VLOOKUP(F$1,Parameters,2,FALSE()),4)&amp;"*",OFFSET(Data,0,0,1),0)+MATCH($C130,OFFSET(Data,1,0,1),0)-2,FALSE())),ISTEXT(VLOOKUP(DATEVALUE(LEFT($B130,4)&amp;"-"&amp;MID($B130,5,2)&amp;"-"&amp;RIGHT($B130,2)),Data,MATCH(LEFT(VLOOKUP(F$1,Parameters,2,FALSE()),4)&amp;"*",OFFSET(Data,0,0,1),0)+MATCH($C130,OFFSET(Data,1,0,1),0)-2,FALSE()))),"—",VLOOKUP(DATEVALUE(LEFT($B130,4)&amp;"-"&amp;MID($B130,5,2)&amp;"-"&amp;RIGHT($B130,2)),Data,MATCH(LEFT(VLOOKUP(F$1,Parameters,2,FALSE()),4)&amp;"*",OFFSET(Data,0,0,1),0)+MATCH($C130,OFFSET(Data,1,0,1),0)-2,FALSE()))</f>
        <v>26</v>
      </c>
      <c r="G130" s="40">
        <f t="shared" ref="G130:G193" ca="1" si="14">IF(OR(ISBLANK(VLOOKUP(DATEVALUE(LEFT($B130,4)&amp;"-"&amp;MID($B130,5,2)&amp;"-"&amp;RIGHT($B130,2)),Data,MATCH(LEFT(VLOOKUP(MID(G$1,2,LEN(G$1)-1),Parameters,2,FALSE()),4)&amp;"*",OFFSET(Data,0,0,1),0)+MATCH($C130,OFFSET(Data,1,0,1),0)-2,FALSE())),ISTEXT(VLOOKUP(DATEVALUE(LEFT($B130,4)&amp;"-"&amp;MID($B130,5,2)&amp;"-"&amp;RIGHT($B130,2)),Data,MATCH(LEFT(VLOOKUP(MID(G$1,2,LEN(G$1)-1),Parameters,2,FALSE()),4)&amp;"*",OFFSET(Data,0,0,1),0)+MATCH($C130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G$1,2,LEN(G$1)-1),Parameters,2,FALSE()),4)&amp;"*",OFFSET(Catalogus,0,0,1),0)+MATCH($C130,OFFSET(Catalogus,1,0,1),0)-2,FALSE())))</f>
        <v>0</v>
      </c>
    </row>
    <row r="131" spans="1:7" x14ac:dyDescent="0.25">
      <c r="A131" s="17">
        <f t="shared" si="10"/>
        <v>81</v>
      </c>
      <c r="B131" t="str">
        <f ca="1">TEXT(DATE(YEAR(Invoer!$A$5),1,1)+INT((ROWS(B$2:B131)-1)/3),"jjjjmmdd")</f>
        <v>19400213</v>
      </c>
      <c r="C131" s="35" t="str">
        <f>INDEX(Data,2,2+MOD(ROWS(C$2:C131)-1,3))</f>
        <v>07.45</v>
      </c>
      <c r="D131" s="23">
        <f t="shared" ca="1" si="11"/>
        <v>750</v>
      </c>
      <c r="E131" s="40">
        <f t="shared" ca="1" si="12"/>
        <v>0</v>
      </c>
      <c r="F131" s="23">
        <f t="shared" ca="1" si="13"/>
        <v>25</v>
      </c>
      <c r="G131" s="40">
        <f t="shared" ca="1" si="14"/>
        <v>0</v>
      </c>
    </row>
    <row r="132" spans="1:7" x14ac:dyDescent="0.25">
      <c r="A132" s="17">
        <f t="shared" si="10"/>
        <v>81</v>
      </c>
      <c r="B132" t="str">
        <f ca="1">TEXT(DATE(YEAR(Invoer!$A$5),1,1)+INT((ROWS(B$2:B132)-1)/3),"jjjjmmdd")</f>
        <v>19400213</v>
      </c>
      <c r="C132" s="35" t="str">
        <f>INDEX(Data,2,2+MOD(ROWS(C$2:C132)-1,3))</f>
        <v>13.45</v>
      </c>
      <c r="D132" s="23">
        <f t="shared" ca="1" si="11"/>
        <v>749</v>
      </c>
      <c r="E132" s="40">
        <f t="shared" ca="1" si="12"/>
        <v>0</v>
      </c>
      <c r="F132" s="23">
        <f t="shared" ca="1" si="13"/>
        <v>27</v>
      </c>
      <c r="G132" s="40">
        <f t="shared" ca="1" si="14"/>
        <v>0</v>
      </c>
    </row>
    <row r="133" spans="1:7" x14ac:dyDescent="0.25">
      <c r="A133" s="17">
        <f t="shared" si="10"/>
        <v>81</v>
      </c>
      <c r="B133" t="str">
        <f ca="1">TEXT(DATE(YEAR(Invoer!$A$5),1,1)+INT((ROWS(B$2:B133)-1)/3),"jjjjmmdd")</f>
        <v>19400213</v>
      </c>
      <c r="C133" s="35" t="str">
        <f>INDEX(Data,2,2+MOD(ROWS(C$2:C133)-1,3))</f>
        <v>19.45</v>
      </c>
      <c r="D133" s="23">
        <f t="shared" ca="1" si="11"/>
        <v>749</v>
      </c>
      <c r="E133" s="40">
        <f t="shared" ca="1" si="12"/>
        <v>0</v>
      </c>
      <c r="F133" s="23">
        <f t="shared" ca="1" si="13"/>
        <v>26</v>
      </c>
      <c r="G133" s="40">
        <f t="shared" ca="1" si="14"/>
        <v>0</v>
      </c>
    </row>
    <row r="134" spans="1:7" x14ac:dyDescent="0.25">
      <c r="A134" s="17">
        <f t="shared" si="10"/>
        <v>81</v>
      </c>
      <c r="B134" t="str">
        <f ca="1">TEXT(DATE(YEAR(Invoer!$A$5),1,1)+INT((ROWS(B$2:B134)-1)/3),"jjjjmmdd")</f>
        <v>19400214</v>
      </c>
      <c r="C134" s="35" t="str">
        <f>INDEX(Data,2,2+MOD(ROWS(C$2:C134)-1,3))</f>
        <v>07.45</v>
      </c>
      <c r="D134" s="23">
        <f t="shared" ca="1" si="11"/>
        <v>748</v>
      </c>
      <c r="E134" s="40">
        <f t="shared" ca="1" si="12"/>
        <v>0</v>
      </c>
      <c r="F134" s="23">
        <f t="shared" ca="1" si="13"/>
        <v>24</v>
      </c>
      <c r="G134" s="40">
        <f t="shared" ca="1" si="14"/>
        <v>0</v>
      </c>
    </row>
    <row r="135" spans="1:7" x14ac:dyDescent="0.25">
      <c r="A135" s="17">
        <f t="shared" si="10"/>
        <v>81</v>
      </c>
      <c r="B135" t="str">
        <f ca="1">TEXT(DATE(YEAR(Invoer!$A$5),1,1)+INT((ROWS(B$2:B135)-1)/3),"jjjjmmdd")</f>
        <v>19400214</v>
      </c>
      <c r="C135" s="35" t="str">
        <f>INDEX(Data,2,2+MOD(ROWS(C$2:C135)-1,3))</f>
        <v>13.45</v>
      </c>
      <c r="D135" s="23">
        <f t="shared" ca="1" si="11"/>
        <v>748</v>
      </c>
      <c r="E135" s="40">
        <f t="shared" ca="1" si="12"/>
        <v>0</v>
      </c>
      <c r="F135" s="23">
        <f t="shared" ca="1" si="13"/>
        <v>28</v>
      </c>
      <c r="G135" s="40">
        <f t="shared" ca="1" si="14"/>
        <v>0</v>
      </c>
    </row>
    <row r="136" spans="1:7" x14ac:dyDescent="0.25">
      <c r="A136" s="17">
        <f t="shared" si="10"/>
        <v>81</v>
      </c>
      <c r="B136" t="str">
        <f ca="1">TEXT(DATE(YEAR(Invoer!$A$5),1,1)+INT((ROWS(B$2:B136)-1)/3),"jjjjmmdd")</f>
        <v>19400214</v>
      </c>
      <c r="C136" s="35" t="str">
        <f>INDEX(Data,2,2+MOD(ROWS(C$2:C136)-1,3))</f>
        <v>19.45</v>
      </c>
      <c r="D136" s="23">
        <f t="shared" ca="1" si="11"/>
        <v>748</v>
      </c>
      <c r="E136" s="40">
        <f t="shared" ca="1" si="12"/>
        <v>0</v>
      </c>
      <c r="F136" s="23">
        <f t="shared" ca="1" si="13"/>
        <v>27</v>
      </c>
      <c r="G136" s="40">
        <f t="shared" ca="1" si="14"/>
        <v>0</v>
      </c>
    </row>
    <row r="137" spans="1:7" x14ac:dyDescent="0.25">
      <c r="A137" s="17">
        <f t="shared" si="10"/>
        <v>81</v>
      </c>
      <c r="B137" t="str">
        <f ca="1">TEXT(DATE(YEAR(Invoer!$A$5),1,1)+INT((ROWS(B$2:B137)-1)/3),"jjjjmmdd")</f>
        <v>19400215</v>
      </c>
      <c r="C137" s="35" t="str">
        <f>INDEX(Data,2,2+MOD(ROWS(C$2:C137)-1,3))</f>
        <v>07.45</v>
      </c>
      <c r="D137" s="23">
        <f t="shared" ca="1" si="11"/>
        <v>749</v>
      </c>
      <c r="E137" s="40">
        <f t="shared" ca="1" si="12"/>
        <v>0</v>
      </c>
      <c r="F137" s="23">
        <f t="shared" ca="1" si="13"/>
        <v>25</v>
      </c>
      <c r="G137" s="40">
        <f t="shared" ca="1" si="14"/>
        <v>0</v>
      </c>
    </row>
    <row r="138" spans="1:7" x14ac:dyDescent="0.25">
      <c r="A138" s="17">
        <f t="shared" si="10"/>
        <v>81</v>
      </c>
      <c r="B138" t="str">
        <f ca="1">TEXT(DATE(YEAR(Invoer!$A$5),1,1)+INT((ROWS(B$2:B138)-1)/3),"jjjjmmdd")</f>
        <v>19400215</v>
      </c>
      <c r="C138" s="35" t="str">
        <f>INDEX(Data,2,2+MOD(ROWS(C$2:C138)-1,3))</f>
        <v>13.45</v>
      </c>
      <c r="D138" s="23">
        <f t="shared" ca="1" si="11"/>
        <v>749</v>
      </c>
      <c r="E138" s="40">
        <f t="shared" ca="1" si="12"/>
        <v>0</v>
      </c>
      <c r="F138" s="23">
        <f t="shared" ca="1" si="13"/>
        <v>27</v>
      </c>
      <c r="G138" s="40">
        <f t="shared" ca="1" si="14"/>
        <v>0</v>
      </c>
    </row>
    <row r="139" spans="1:7" x14ac:dyDescent="0.25">
      <c r="A139" s="17">
        <f t="shared" si="10"/>
        <v>81</v>
      </c>
      <c r="B139" t="str">
        <f ca="1">TEXT(DATE(YEAR(Invoer!$A$5),1,1)+INT((ROWS(B$2:B139)-1)/3),"jjjjmmdd")</f>
        <v>19400215</v>
      </c>
      <c r="C139" s="35" t="str">
        <f>INDEX(Data,2,2+MOD(ROWS(C$2:C139)-1,3))</f>
        <v>19.45</v>
      </c>
      <c r="D139" s="23">
        <f t="shared" ca="1" si="11"/>
        <v>749</v>
      </c>
      <c r="E139" s="40">
        <f t="shared" ca="1" si="12"/>
        <v>0</v>
      </c>
      <c r="F139" s="23">
        <f t="shared" ca="1" si="13"/>
        <v>26</v>
      </c>
      <c r="G139" s="40">
        <f t="shared" ca="1" si="14"/>
        <v>0</v>
      </c>
    </row>
    <row r="140" spans="1:7" x14ac:dyDescent="0.25">
      <c r="A140" s="17">
        <f t="shared" si="10"/>
        <v>81</v>
      </c>
      <c r="B140" t="str">
        <f ca="1">TEXT(DATE(YEAR(Invoer!$A$5),1,1)+INT((ROWS(B$2:B140)-1)/3),"jjjjmmdd")</f>
        <v>19400216</v>
      </c>
      <c r="C140" s="35" t="str">
        <f>INDEX(Data,2,2+MOD(ROWS(C$2:C140)-1,3))</f>
        <v>07.45</v>
      </c>
      <c r="D140" s="23">
        <f t="shared" ca="1" si="11"/>
        <v>749</v>
      </c>
      <c r="E140" s="40">
        <f t="shared" ca="1" si="12"/>
        <v>0</v>
      </c>
      <c r="F140" s="23">
        <f t="shared" ca="1" si="13"/>
        <v>25</v>
      </c>
      <c r="G140" s="40">
        <f t="shared" ca="1" si="14"/>
        <v>0</v>
      </c>
    </row>
    <row r="141" spans="1:7" x14ac:dyDescent="0.25">
      <c r="A141" s="17">
        <f t="shared" si="10"/>
        <v>81</v>
      </c>
      <c r="B141" t="str">
        <f ca="1">TEXT(DATE(YEAR(Invoer!$A$5),1,1)+INT((ROWS(B$2:B141)-1)/3),"jjjjmmdd")</f>
        <v>19400216</v>
      </c>
      <c r="C141" s="35" t="str">
        <f>INDEX(Data,2,2+MOD(ROWS(C$2:C141)-1,3))</f>
        <v>13.45</v>
      </c>
      <c r="D141" s="23">
        <f t="shared" ca="1" si="11"/>
        <v>749</v>
      </c>
      <c r="E141" s="40">
        <f t="shared" ca="1" si="12"/>
        <v>0</v>
      </c>
      <c r="F141" s="23">
        <f t="shared" ca="1" si="13"/>
        <v>27</v>
      </c>
      <c r="G141" s="40">
        <f t="shared" ca="1" si="14"/>
        <v>0</v>
      </c>
    </row>
    <row r="142" spans="1:7" x14ac:dyDescent="0.25">
      <c r="A142" s="17">
        <f t="shared" si="10"/>
        <v>81</v>
      </c>
      <c r="B142" t="str">
        <f ca="1">TEXT(DATE(YEAR(Invoer!$A$5),1,1)+INT((ROWS(B$2:B142)-1)/3),"jjjjmmdd")</f>
        <v>19400216</v>
      </c>
      <c r="C142" s="35" t="str">
        <f>INDEX(Data,2,2+MOD(ROWS(C$2:C142)-1,3))</f>
        <v>19.45</v>
      </c>
      <c r="D142" s="23">
        <f t="shared" ca="1" si="11"/>
        <v>749</v>
      </c>
      <c r="E142" s="40">
        <f t="shared" ca="1" si="12"/>
        <v>0</v>
      </c>
      <c r="F142" s="23">
        <f t="shared" ca="1" si="13"/>
        <v>26</v>
      </c>
      <c r="G142" s="40">
        <f t="shared" ca="1" si="14"/>
        <v>0</v>
      </c>
    </row>
    <row r="143" spans="1:7" x14ac:dyDescent="0.25">
      <c r="A143" s="17">
        <f t="shared" si="10"/>
        <v>81</v>
      </c>
      <c r="B143" t="str">
        <f ca="1">TEXT(DATE(YEAR(Invoer!$A$5),1,1)+INT((ROWS(B$2:B143)-1)/3),"jjjjmmdd")</f>
        <v>19400217</v>
      </c>
      <c r="C143" s="35" t="str">
        <f>INDEX(Data,2,2+MOD(ROWS(C$2:C143)-1,3))</f>
        <v>07.45</v>
      </c>
      <c r="D143" s="23">
        <f t="shared" ca="1" si="11"/>
        <v>749</v>
      </c>
      <c r="E143" s="40">
        <f t="shared" ca="1" si="12"/>
        <v>0</v>
      </c>
      <c r="F143" s="23">
        <f t="shared" ca="1" si="13"/>
        <v>24</v>
      </c>
      <c r="G143" s="40">
        <f t="shared" ca="1" si="14"/>
        <v>0</v>
      </c>
    </row>
    <row r="144" spans="1:7" x14ac:dyDescent="0.25">
      <c r="A144" s="17">
        <f t="shared" si="10"/>
        <v>81</v>
      </c>
      <c r="B144" t="str">
        <f ca="1">TEXT(DATE(YEAR(Invoer!$A$5),1,1)+INT((ROWS(B$2:B144)-1)/3),"jjjjmmdd")</f>
        <v>19400217</v>
      </c>
      <c r="C144" s="35" t="str">
        <f>INDEX(Data,2,2+MOD(ROWS(C$2:C144)-1,3))</f>
        <v>13.45</v>
      </c>
      <c r="D144" s="23">
        <f t="shared" ca="1" si="11"/>
        <v>749</v>
      </c>
      <c r="E144" s="40">
        <f t="shared" ca="1" si="12"/>
        <v>0</v>
      </c>
      <c r="F144" s="23">
        <f t="shared" ca="1" si="13"/>
        <v>25</v>
      </c>
      <c r="G144" s="40">
        <f t="shared" ca="1" si="14"/>
        <v>0</v>
      </c>
    </row>
    <row r="145" spans="1:7" x14ac:dyDescent="0.25">
      <c r="A145" s="17">
        <f t="shared" si="10"/>
        <v>81</v>
      </c>
      <c r="B145" t="str">
        <f ca="1">TEXT(DATE(YEAR(Invoer!$A$5),1,1)+INT((ROWS(B$2:B145)-1)/3),"jjjjmmdd")</f>
        <v>19400217</v>
      </c>
      <c r="C145" s="35" t="str">
        <f>INDEX(Data,2,2+MOD(ROWS(C$2:C145)-1,3))</f>
        <v>19.45</v>
      </c>
      <c r="D145" s="23">
        <f t="shared" ca="1" si="11"/>
        <v>749</v>
      </c>
      <c r="E145" s="40">
        <f t="shared" ca="1" si="12"/>
        <v>0</v>
      </c>
      <c r="F145" s="23">
        <f t="shared" ca="1" si="13"/>
        <v>25</v>
      </c>
      <c r="G145" s="40">
        <f t="shared" ca="1" si="14"/>
        <v>0</v>
      </c>
    </row>
    <row r="146" spans="1:7" x14ac:dyDescent="0.25">
      <c r="A146" s="17">
        <f t="shared" si="10"/>
        <v>81</v>
      </c>
      <c r="B146" t="str">
        <f ca="1">TEXT(DATE(YEAR(Invoer!$A$5),1,1)+INT((ROWS(B$2:B146)-1)/3),"jjjjmmdd")</f>
        <v>19400218</v>
      </c>
      <c r="C146" s="35" t="str">
        <f>INDEX(Data,2,2+MOD(ROWS(C$2:C146)-1,3))</f>
        <v>07.45</v>
      </c>
      <c r="D146" s="23">
        <f t="shared" ca="1" si="11"/>
        <v>750</v>
      </c>
      <c r="E146" s="40">
        <f t="shared" ca="1" si="12"/>
        <v>0</v>
      </c>
      <c r="F146" s="23">
        <f t="shared" ca="1" si="13"/>
        <v>24</v>
      </c>
      <c r="G146" s="40">
        <f t="shared" ca="1" si="14"/>
        <v>0</v>
      </c>
    </row>
    <row r="147" spans="1:7" x14ac:dyDescent="0.25">
      <c r="A147" s="17">
        <f t="shared" si="10"/>
        <v>81</v>
      </c>
      <c r="B147" t="str">
        <f ca="1">TEXT(DATE(YEAR(Invoer!$A$5),1,1)+INT((ROWS(B$2:B147)-1)/3),"jjjjmmdd")</f>
        <v>19400218</v>
      </c>
      <c r="C147" s="35" t="str">
        <f>INDEX(Data,2,2+MOD(ROWS(C$2:C147)-1,3))</f>
        <v>13.45</v>
      </c>
      <c r="D147" s="23">
        <f t="shared" ca="1" si="11"/>
        <v>749</v>
      </c>
      <c r="E147" s="40">
        <f t="shared" ca="1" si="12"/>
        <v>0</v>
      </c>
      <c r="F147" s="23">
        <f t="shared" ca="1" si="13"/>
        <v>26</v>
      </c>
      <c r="G147" s="40">
        <f t="shared" ca="1" si="14"/>
        <v>0</v>
      </c>
    </row>
    <row r="148" spans="1:7" x14ac:dyDescent="0.25">
      <c r="A148" s="17">
        <f t="shared" si="10"/>
        <v>81</v>
      </c>
      <c r="B148" t="str">
        <f ca="1">TEXT(DATE(YEAR(Invoer!$A$5),1,1)+INT((ROWS(B$2:B148)-1)/3),"jjjjmmdd")</f>
        <v>19400218</v>
      </c>
      <c r="C148" s="35" t="str">
        <f>INDEX(Data,2,2+MOD(ROWS(C$2:C148)-1,3))</f>
        <v>19.45</v>
      </c>
      <c r="D148" s="23">
        <f t="shared" ca="1" si="11"/>
        <v>749</v>
      </c>
      <c r="E148" s="40">
        <f t="shared" ca="1" si="12"/>
        <v>0</v>
      </c>
      <c r="F148" s="23">
        <f t="shared" ca="1" si="13"/>
        <v>26</v>
      </c>
      <c r="G148" s="40">
        <f t="shared" ca="1" si="14"/>
        <v>0</v>
      </c>
    </row>
    <row r="149" spans="1:7" x14ac:dyDescent="0.25">
      <c r="A149" s="17">
        <f t="shared" si="10"/>
        <v>81</v>
      </c>
      <c r="B149" t="str">
        <f ca="1">TEXT(DATE(YEAR(Invoer!$A$5),1,1)+INT((ROWS(B$2:B149)-1)/3),"jjjjmmdd")</f>
        <v>19400219</v>
      </c>
      <c r="C149" s="35" t="str">
        <f>INDEX(Data,2,2+MOD(ROWS(C$2:C149)-1,3))</f>
        <v>07.45</v>
      </c>
      <c r="D149" s="23">
        <f t="shared" ca="1" si="11"/>
        <v>750</v>
      </c>
      <c r="E149" s="40">
        <f t="shared" ca="1" si="12"/>
        <v>0</v>
      </c>
      <c r="F149" s="23">
        <f t="shared" ca="1" si="13"/>
        <v>25</v>
      </c>
      <c r="G149" s="40">
        <f t="shared" ca="1" si="14"/>
        <v>0</v>
      </c>
    </row>
    <row r="150" spans="1:7" x14ac:dyDescent="0.25">
      <c r="A150" s="17">
        <f t="shared" si="10"/>
        <v>81</v>
      </c>
      <c r="B150" t="str">
        <f ca="1">TEXT(DATE(YEAR(Invoer!$A$5),1,1)+INT((ROWS(B$2:B150)-1)/3),"jjjjmmdd")</f>
        <v>19400219</v>
      </c>
      <c r="C150" s="35" t="str">
        <f>INDEX(Data,2,2+MOD(ROWS(C$2:C150)-1,3))</f>
        <v>13.45</v>
      </c>
      <c r="D150" s="23">
        <f t="shared" ca="1" si="11"/>
        <v>748</v>
      </c>
      <c r="E150" s="40">
        <f t="shared" ca="1" si="12"/>
        <v>0</v>
      </c>
      <c r="F150" s="23">
        <f t="shared" ca="1" si="13"/>
        <v>27</v>
      </c>
      <c r="G150" s="40">
        <f t="shared" ca="1" si="14"/>
        <v>0</v>
      </c>
    </row>
    <row r="151" spans="1:7" x14ac:dyDescent="0.25">
      <c r="A151" s="17">
        <f t="shared" si="10"/>
        <v>81</v>
      </c>
      <c r="B151" t="str">
        <f ca="1">TEXT(DATE(YEAR(Invoer!$A$5),1,1)+INT((ROWS(B$2:B151)-1)/3),"jjjjmmdd")</f>
        <v>19400219</v>
      </c>
      <c r="C151" s="35" t="str">
        <f>INDEX(Data,2,2+MOD(ROWS(C$2:C151)-1,3))</f>
        <v>19.45</v>
      </c>
      <c r="D151" s="23">
        <f t="shared" ca="1" si="11"/>
        <v>748</v>
      </c>
      <c r="E151" s="40">
        <f t="shared" ca="1" si="12"/>
        <v>0</v>
      </c>
      <c r="F151" s="23">
        <f t="shared" ca="1" si="13"/>
        <v>26</v>
      </c>
      <c r="G151" s="40">
        <f t="shared" ca="1" si="14"/>
        <v>0</v>
      </c>
    </row>
    <row r="152" spans="1:7" x14ac:dyDescent="0.25">
      <c r="A152" s="17">
        <f t="shared" si="10"/>
        <v>81</v>
      </c>
      <c r="B152" t="str">
        <f ca="1">TEXT(DATE(YEAR(Invoer!$A$5),1,1)+INT((ROWS(B$2:B152)-1)/3),"jjjjmmdd")</f>
        <v>19400220</v>
      </c>
      <c r="C152" s="35" t="str">
        <f>INDEX(Data,2,2+MOD(ROWS(C$2:C152)-1,3))</f>
        <v>07.45</v>
      </c>
      <c r="D152" s="23">
        <f t="shared" ca="1" si="11"/>
        <v>749</v>
      </c>
      <c r="E152" s="40">
        <f t="shared" ca="1" si="12"/>
        <v>0</v>
      </c>
      <c r="F152" s="23">
        <f t="shared" ca="1" si="13"/>
        <v>26</v>
      </c>
      <c r="G152" s="40">
        <f t="shared" ca="1" si="14"/>
        <v>0</v>
      </c>
    </row>
    <row r="153" spans="1:7" x14ac:dyDescent="0.25">
      <c r="A153" s="17">
        <f t="shared" si="10"/>
        <v>81</v>
      </c>
      <c r="B153" t="str">
        <f ca="1">TEXT(DATE(YEAR(Invoer!$A$5),1,1)+INT((ROWS(B$2:B153)-1)/3),"jjjjmmdd")</f>
        <v>19400220</v>
      </c>
      <c r="C153" s="35" t="str">
        <f>INDEX(Data,2,2+MOD(ROWS(C$2:C153)-1,3))</f>
        <v>13.45</v>
      </c>
      <c r="D153" s="23">
        <f t="shared" ca="1" si="11"/>
        <v>747</v>
      </c>
      <c r="E153" s="40">
        <f t="shared" ca="1" si="12"/>
        <v>0</v>
      </c>
      <c r="F153" s="23">
        <f t="shared" ca="1" si="13"/>
        <v>27</v>
      </c>
      <c r="G153" s="40">
        <f t="shared" ca="1" si="14"/>
        <v>0</v>
      </c>
    </row>
    <row r="154" spans="1:7" x14ac:dyDescent="0.25">
      <c r="A154" s="17">
        <f t="shared" si="10"/>
        <v>81</v>
      </c>
      <c r="B154" t="str">
        <f ca="1">TEXT(DATE(YEAR(Invoer!$A$5),1,1)+INT((ROWS(B$2:B154)-1)/3),"jjjjmmdd")</f>
        <v>19400220</v>
      </c>
      <c r="C154" s="35" t="str">
        <f>INDEX(Data,2,2+MOD(ROWS(C$2:C154)-1,3))</f>
        <v>19.45</v>
      </c>
      <c r="D154" s="23">
        <f t="shared" ca="1" si="11"/>
        <v>748</v>
      </c>
      <c r="E154" s="40">
        <f t="shared" ca="1" si="12"/>
        <v>0</v>
      </c>
      <c r="F154" s="23">
        <f t="shared" ca="1" si="13"/>
        <v>26</v>
      </c>
      <c r="G154" s="40">
        <f t="shared" ca="1" si="14"/>
        <v>0</v>
      </c>
    </row>
    <row r="155" spans="1:7" x14ac:dyDescent="0.25">
      <c r="A155" s="17">
        <f t="shared" si="10"/>
        <v>81</v>
      </c>
      <c r="B155" t="str">
        <f ca="1">TEXT(DATE(YEAR(Invoer!$A$5),1,1)+INT((ROWS(B$2:B155)-1)/3),"jjjjmmdd")</f>
        <v>19400221</v>
      </c>
      <c r="C155" s="35" t="str">
        <f>INDEX(Data,2,2+MOD(ROWS(C$2:C155)-1,3))</f>
        <v>07.45</v>
      </c>
      <c r="D155" s="23">
        <f t="shared" ca="1" si="11"/>
        <v>749</v>
      </c>
      <c r="E155" s="40">
        <f t="shared" ca="1" si="12"/>
        <v>0</v>
      </c>
      <c r="F155" s="23">
        <f t="shared" ca="1" si="13"/>
        <v>25</v>
      </c>
      <c r="G155" s="40">
        <f t="shared" ca="1" si="14"/>
        <v>0</v>
      </c>
    </row>
    <row r="156" spans="1:7" x14ac:dyDescent="0.25">
      <c r="A156" s="17">
        <f t="shared" si="10"/>
        <v>81</v>
      </c>
      <c r="B156" t="str">
        <f ca="1">TEXT(DATE(YEAR(Invoer!$A$5),1,1)+INT((ROWS(B$2:B156)-1)/3),"jjjjmmdd")</f>
        <v>19400221</v>
      </c>
      <c r="C156" s="35" t="str">
        <f>INDEX(Data,2,2+MOD(ROWS(C$2:C156)-1,3))</f>
        <v>13.45</v>
      </c>
      <c r="D156" s="23">
        <f t="shared" ca="1" si="11"/>
        <v>749</v>
      </c>
      <c r="E156" s="40">
        <f t="shared" ca="1" si="12"/>
        <v>0</v>
      </c>
      <c r="F156" s="23">
        <f t="shared" ca="1" si="13"/>
        <v>28</v>
      </c>
      <c r="G156" s="40">
        <f t="shared" ca="1" si="14"/>
        <v>0</v>
      </c>
    </row>
    <row r="157" spans="1:7" x14ac:dyDescent="0.25">
      <c r="A157" s="17">
        <f t="shared" si="10"/>
        <v>81</v>
      </c>
      <c r="B157" t="str">
        <f ca="1">TEXT(DATE(YEAR(Invoer!$A$5),1,1)+INT((ROWS(B$2:B157)-1)/3),"jjjjmmdd")</f>
        <v>19400221</v>
      </c>
      <c r="C157" s="35" t="str">
        <f>INDEX(Data,2,2+MOD(ROWS(C$2:C157)-1,3))</f>
        <v>19.45</v>
      </c>
      <c r="D157" s="23">
        <f t="shared" ca="1" si="11"/>
        <v>750</v>
      </c>
      <c r="E157" s="40">
        <f t="shared" ca="1" si="12"/>
        <v>0</v>
      </c>
      <c r="F157" s="23">
        <f t="shared" ca="1" si="13"/>
        <v>27</v>
      </c>
      <c r="G157" s="40">
        <f t="shared" ca="1" si="14"/>
        <v>0</v>
      </c>
    </row>
    <row r="158" spans="1:7" x14ac:dyDescent="0.25">
      <c r="A158" s="17">
        <f t="shared" si="10"/>
        <v>81</v>
      </c>
      <c r="B158" t="str">
        <f ca="1">TEXT(DATE(YEAR(Invoer!$A$5),1,1)+INT((ROWS(B$2:B158)-1)/3),"jjjjmmdd")</f>
        <v>19400222</v>
      </c>
      <c r="C158" s="35" t="str">
        <f>INDEX(Data,2,2+MOD(ROWS(C$2:C158)-1,3))</f>
        <v>07.45</v>
      </c>
      <c r="D158" s="23">
        <f t="shared" ca="1" si="11"/>
        <v>751</v>
      </c>
      <c r="E158" s="40">
        <f t="shared" ca="1" si="12"/>
        <v>0</v>
      </c>
      <c r="F158" s="23">
        <f t="shared" ca="1" si="13"/>
        <v>26</v>
      </c>
      <c r="G158" s="40">
        <f t="shared" ca="1" si="14"/>
        <v>0</v>
      </c>
    </row>
    <row r="159" spans="1:7" x14ac:dyDescent="0.25">
      <c r="A159" s="17">
        <f t="shared" si="10"/>
        <v>81</v>
      </c>
      <c r="B159" t="str">
        <f ca="1">TEXT(DATE(YEAR(Invoer!$A$5),1,1)+INT((ROWS(B$2:B159)-1)/3),"jjjjmmdd")</f>
        <v>19400222</v>
      </c>
      <c r="C159" s="35" t="str">
        <f>INDEX(Data,2,2+MOD(ROWS(C$2:C159)-1,3))</f>
        <v>13.45</v>
      </c>
      <c r="D159" s="23">
        <f t="shared" ca="1" si="11"/>
        <v>750</v>
      </c>
      <c r="E159" s="40">
        <f t="shared" ca="1" si="12"/>
        <v>0</v>
      </c>
      <c r="F159" s="23">
        <f t="shared" ca="1" si="13"/>
        <v>28</v>
      </c>
      <c r="G159" s="40">
        <f t="shared" ca="1" si="14"/>
        <v>0</v>
      </c>
    </row>
    <row r="160" spans="1:7" x14ac:dyDescent="0.25">
      <c r="A160" s="17">
        <f t="shared" si="10"/>
        <v>81</v>
      </c>
      <c r="B160" t="str">
        <f ca="1">TEXT(DATE(YEAR(Invoer!$A$5),1,1)+INT((ROWS(B$2:B160)-1)/3),"jjjjmmdd")</f>
        <v>19400222</v>
      </c>
      <c r="C160" s="35" t="str">
        <f>INDEX(Data,2,2+MOD(ROWS(C$2:C160)-1,3))</f>
        <v>19.45</v>
      </c>
      <c r="D160" s="23">
        <f t="shared" ca="1" si="11"/>
        <v>751</v>
      </c>
      <c r="E160" s="40">
        <f t="shared" ca="1" si="12"/>
        <v>0</v>
      </c>
      <c r="F160" s="23">
        <f t="shared" ca="1" si="13"/>
        <v>27</v>
      </c>
      <c r="G160" s="40">
        <f t="shared" ca="1" si="14"/>
        <v>0</v>
      </c>
    </row>
    <row r="161" spans="1:7" x14ac:dyDescent="0.25">
      <c r="A161" s="17">
        <f t="shared" si="10"/>
        <v>81</v>
      </c>
      <c r="B161" t="str">
        <f ca="1">TEXT(DATE(YEAR(Invoer!$A$5),1,1)+INT((ROWS(B$2:B161)-1)/3),"jjjjmmdd")</f>
        <v>19400223</v>
      </c>
      <c r="C161" s="35" t="str">
        <f>INDEX(Data,2,2+MOD(ROWS(C$2:C161)-1,3))</f>
        <v>07.45</v>
      </c>
      <c r="D161" s="23">
        <f t="shared" ca="1" si="11"/>
        <v>750</v>
      </c>
      <c r="E161" s="40">
        <f t="shared" ca="1" si="12"/>
        <v>0</v>
      </c>
      <c r="F161" s="23">
        <f t="shared" ca="1" si="13"/>
        <v>25</v>
      </c>
      <c r="G161" s="40">
        <f t="shared" ca="1" si="14"/>
        <v>0</v>
      </c>
    </row>
    <row r="162" spans="1:7" x14ac:dyDescent="0.25">
      <c r="A162" s="17">
        <f t="shared" si="10"/>
        <v>81</v>
      </c>
      <c r="B162" t="str">
        <f ca="1">TEXT(DATE(YEAR(Invoer!$A$5),1,1)+INT((ROWS(B$2:B162)-1)/3),"jjjjmmdd")</f>
        <v>19400223</v>
      </c>
      <c r="C162" s="35" t="str">
        <f>INDEX(Data,2,2+MOD(ROWS(C$2:C162)-1,3))</f>
        <v>13.45</v>
      </c>
      <c r="D162" s="23">
        <f t="shared" ca="1" si="11"/>
        <v>750</v>
      </c>
      <c r="E162" s="40">
        <f t="shared" ca="1" si="12"/>
        <v>0</v>
      </c>
      <c r="F162" s="23">
        <f t="shared" ca="1" si="13"/>
        <v>28</v>
      </c>
      <c r="G162" s="40">
        <f t="shared" ca="1" si="14"/>
        <v>0</v>
      </c>
    </row>
    <row r="163" spans="1:7" x14ac:dyDescent="0.25">
      <c r="A163" s="17">
        <f t="shared" si="10"/>
        <v>81</v>
      </c>
      <c r="B163" t="str">
        <f ca="1">TEXT(DATE(YEAR(Invoer!$A$5),1,1)+INT((ROWS(B$2:B163)-1)/3),"jjjjmmdd")</f>
        <v>19400223</v>
      </c>
      <c r="C163" s="35" t="str">
        <f>INDEX(Data,2,2+MOD(ROWS(C$2:C163)-1,3))</f>
        <v>19.45</v>
      </c>
      <c r="D163" s="23">
        <f t="shared" ca="1" si="11"/>
        <v>750</v>
      </c>
      <c r="E163" s="40">
        <f t="shared" ca="1" si="12"/>
        <v>0</v>
      </c>
      <c r="F163" s="23">
        <f t="shared" ca="1" si="13"/>
        <v>27</v>
      </c>
      <c r="G163" s="40">
        <f t="shared" ca="1" si="14"/>
        <v>0</v>
      </c>
    </row>
    <row r="164" spans="1:7" x14ac:dyDescent="0.25">
      <c r="A164" s="17">
        <f t="shared" si="10"/>
        <v>81</v>
      </c>
      <c r="B164" t="str">
        <f ca="1">TEXT(DATE(YEAR(Invoer!$A$5),1,1)+INT((ROWS(B$2:B164)-1)/3),"jjjjmmdd")</f>
        <v>19400224</v>
      </c>
      <c r="C164" s="35" t="str">
        <f>INDEX(Data,2,2+MOD(ROWS(C$2:C164)-1,3))</f>
        <v>07.45</v>
      </c>
      <c r="D164" s="23">
        <f t="shared" ca="1" si="11"/>
        <v>751</v>
      </c>
      <c r="E164" s="40">
        <f t="shared" ca="1" si="12"/>
        <v>0</v>
      </c>
      <c r="F164" s="23">
        <f t="shared" ca="1" si="13"/>
        <v>25</v>
      </c>
      <c r="G164" s="40">
        <f t="shared" ca="1" si="14"/>
        <v>0</v>
      </c>
    </row>
    <row r="165" spans="1:7" x14ac:dyDescent="0.25">
      <c r="A165" s="17">
        <f t="shared" si="10"/>
        <v>81</v>
      </c>
      <c r="B165" t="str">
        <f ca="1">TEXT(DATE(YEAR(Invoer!$A$5),1,1)+INT((ROWS(B$2:B165)-1)/3),"jjjjmmdd")</f>
        <v>19400224</v>
      </c>
      <c r="C165" s="35" t="str">
        <f>INDEX(Data,2,2+MOD(ROWS(C$2:C165)-1,3))</f>
        <v>13.45</v>
      </c>
      <c r="D165" s="23">
        <f t="shared" ca="1" si="11"/>
        <v>750</v>
      </c>
      <c r="E165" s="40">
        <f t="shared" ca="1" si="12"/>
        <v>0</v>
      </c>
      <c r="F165" s="23">
        <f t="shared" ca="1" si="13"/>
        <v>28</v>
      </c>
      <c r="G165" s="40">
        <f t="shared" ca="1" si="14"/>
        <v>0</v>
      </c>
    </row>
    <row r="166" spans="1:7" x14ac:dyDescent="0.25">
      <c r="A166" s="17">
        <f t="shared" si="10"/>
        <v>81</v>
      </c>
      <c r="B166" t="str">
        <f ca="1">TEXT(DATE(YEAR(Invoer!$A$5),1,1)+INT((ROWS(B$2:B166)-1)/3),"jjjjmmdd")</f>
        <v>19400224</v>
      </c>
      <c r="C166" s="35" t="str">
        <f>INDEX(Data,2,2+MOD(ROWS(C$2:C166)-1,3))</f>
        <v>19.45</v>
      </c>
      <c r="D166" s="23">
        <f t="shared" ca="1" si="11"/>
        <v>749</v>
      </c>
      <c r="E166" s="40">
        <f t="shared" ca="1" si="12"/>
        <v>0</v>
      </c>
      <c r="F166" s="23">
        <f t="shared" ca="1" si="13"/>
        <v>27</v>
      </c>
      <c r="G166" s="40">
        <f t="shared" ca="1" si="14"/>
        <v>0</v>
      </c>
    </row>
    <row r="167" spans="1:7" x14ac:dyDescent="0.25">
      <c r="A167" s="17">
        <f t="shared" si="10"/>
        <v>81</v>
      </c>
      <c r="B167" t="str">
        <f ca="1">TEXT(DATE(YEAR(Invoer!$A$5),1,1)+INT((ROWS(B$2:B167)-1)/3),"jjjjmmdd")</f>
        <v>19400225</v>
      </c>
      <c r="C167" s="35" t="str">
        <f>INDEX(Data,2,2+MOD(ROWS(C$2:C167)-1,3))</f>
        <v>07.45</v>
      </c>
      <c r="D167" s="23">
        <f t="shared" ca="1" si="11"/>
        <v>750</v>
      </c>
      <c r="E167" s="40">
        <f t="shared" ca="1" si="12"/>
        <v>0</v>
      </c>
      <c r="F167" s="23">
        <f t="shared" ca="1" si="13"/>
        <v>25</v>
      </c>
      <c r="G167" s="40">
        <f t="shared" ca="1" si="14"/>
        <v>0</v>
      </c>
    </row>
    <row r="168" spans="1:7" x14ac:dyDescent="0.25">
      <c r="A168" s="17">
        <f t="shared" si="10"/>
        <v>81</v>
      </c>
      <c r="B168" t="str">
        <f ca="1">TEXT(DATE(YEAR(Invoer!$A$5),1,1)+INT((ROWS(B$2:B168)-1)/3),"jjjjmmdd")</f>
        <v>19400225</v>
      </c>
      <c r="C168" s="35" t="str">
        <f>INDEX(Data,2,2+MOD(ROWS(C$2:C168)-1,3))</f>
        <v>13.45</v>
      </c>
      <c r="D168" s="23">
        <f t="shared" ca="1" si="11"/>
        <v>748</v>
      </c>
      <c r="E168" s="40">
        <f t="shared" ca="1" si="12"/>
        <v>0</v>
      </c>
      <c r="F168" s="23">
        <f t="shared" ca="1" si="13"/>
        <v>28</v>
      </c>
      <c r="G168" s="40">
        <f t="shared" ca="1" si="14"/>
        <v>0</v>
      </c>
    </row>
    <row r="169" spans="1:7" x14ac:dyDescent="0.25">
      <c r="A169" s="17">
        <f t="shared" si="10"/>
        <v>81</v>
      </c>
      <c r="B169" t="str">
        <f ca="1">TEXT(DATE(YEAR(Invoer!$A$5),1,1)+INT((ROWS(B$2:B169)-1)/3),"jjjjmmdd")</f>
        <v>19400225</v>
      </c>
      <c r="C169" s="35" t="str">
        <f>INDEX(Data,2,2+MOD(ROWS(C$2:C169)-1,3))</f>
        <v>19.45</v>
      </c>
      <c r="D169" s="23">
        <f t="shared" ca="1" si="11"/>
        <v>748</v>
      </c>
      <c r="E169" s="40">
        <f t="shared" ca="1" si="12"/>
        <v>0</v>
      </c>
      <c r="F169" s="23">
        <f t="shared" ca="1" si="13"/>
        <v>27</v>
      </c>
      <c r="G169" s="40">
        <f t="shared" ca="1" si="14"/>
        <v>0</v>
      </c>
    </row>
    <row r="170" spans="1:7" x14ac:dyDescent="0.25">
      <c r="A170" s="17">
        <f t="shared" si="10"/>
        <v>81</v>
      </c>
      <c r="B170" t="str">
        <f ca="1">TEXT(DATE(YEAR(Invoer!$A$5),1,1)+INT((ROWS(B$2:B170)-1)/3),"jjjjmmdd")</f>
        <v>19400226</v>
      </c>
      <c r="C170" s="35" t="str">
        <f>INDEX(Data,2,2+MOD(ROWS(C$2:C170)-1,3))</f>
        <v>07.45</v>
      </c>
      <c r="D170" s="23">
        <f t="shared" ca="1" si="11"/>
        <v>747</v>
      </c>
      <c r="E170" s="40">
        <f t="shared" ca="1" si="12"/>
        <v>0</v>
      </c>
      <c r="F170" s="23">
        <f t="shared" ca="1" si="13"/>
        <v>25</v>
      </c>
      <c r="G170" s="40">
        <f t="shared" ca="1" si="14"/>
        <v>0</v>
      </c>
    </row>
    <row r="171" spans="1:7" x14ac:dyDescent="0.25">
      <c r="A171" s="17">
        <f t="shared" si="10"/>
        <v>81</v>
      </c>
      <c r="B171" t="str">
        <f ca="1">TEXT(DATE(YEAR(Invoer!$A$5),1,1)+INT((ROWS(B$2:B171)-1)/3),"jjjjmmdd")</f>
        <v>19400226</v>
      </c>
      <c r="C171" s="35" t="str">
        <f>INDEX(Data,2,2+MOD(ROWS(C$2:C171)-1,3))</f>
        <v>13.45</v>
      </c>
      <c r="D171" s="23">
        <f t="shared" ca="1" si="11"/>
        <v>747</v>
      </c>
      <c r="E171" s="40">
        <f t="shared" ca="1" si="12"/>
        <v>0</v>
      </c>
      <c r="F171" s="23">
        <f t="shared" ca="1" si="13"/>
        <v>28</v>
      </c>
      <c r="G171" s="40">
        <f t="shared" ca="1" si="14"/>
        <v>0</v>
      </c>
    </row>
    <row r="172" spans="1:7" x14ac:dyDescent="0.25">
      <c r="A172" s="17">
        <f t="shared" si="10"/>
        <v>81</v>
      </c>
      <c r="B172" t="str">
        <f ca="1">TEXT(DATE(YEAR(Invoer!$A$5),1,1)+INT((ROWS(B$2:B172)-1)/3),"jjjjmmdd")</f>
        <v>19400226</v>
      </c>
      <c r="C172" s="35" t="str">
        <f>INDEX(Data,2,2+MOD(ROWS(C$2:C172)-1,3))</f>
        <v>19.45</v>
      </c>
      <c r="D172" s="23">
        <f t="shared" ca="1" si="11"/>
        <v>747</v>
      </c>
      <c r="E172" s="40">
        <f t="shared" ca="1" si="12"/>
        <v>0</v>
      </c>
      <c r="F172" s="23">
        <f t="shared" ca="1" si="13"/>
        <v>27</v>
      </c>
      <c r="G172" s="40">
        <f t="shared" ca="1" si="14"/>
        <v>0</v>
      </c>
    </row>
    <row r="173" spans="1:7" x14ac:dyDescent="0.25">
      <c r="A173" s="17">
        <f t="shared" si="10"/>
        <v>81</v>
      </c>
      <c r="B173" t="str">
        <f ca="1">TEXT(DATE(YEAR(Invoer!$A$5),1,1)+INT((ROWS(B$2:B173)-1)/3),"jjjjmmdd")</f>
        <v>19400227</v>
      </c>
      <c r="C173" s="35" t="str">
        <f>INDEX(Data,2,2+MOD(ROWS(C$2:C173)-1,3))</f>
        <v>07.45</v>
      </c>
      <c r="D173" s="23">
        <f t="shared" ca="1" si="11"/>
        <v>749</v>
      </c>
      <c r="E173" s="40">
        <f t="shared" ca="1" si="12"/>
        <v>0</v>
      </c>
      <c r="F173" s="23">
        <f t="shared" ca="1" si="13"/>
        <v>25</v>
      </c>
      <c r="G173" s="40">
        <f t="shared" ca="1" si="14"/>
        <v>0</v>
      </c>
    </row>
    <row r="174" spans="1:7" x14ac:dyDescent="0.25">
      <c r="A174" s="17">
        <f t="shared" si="10"/>
        <v>81</v>
      </c>
      <c r="B174" t="str">
        <f ca="1">TEXT(DATE(YEAR(Invoer!$A$5),1,1)+INT((ROWS(B$2:B174)-1)/3),"jjjjmmdd")</f>
        <v>19400227</v>
      </c>
      <c r="C174" s="35" t="str">
        <f>INDEX(Data,2,2+MOD(ROWS(C$2:C174)-1,3))</f>
        <v>13.45</v>
      </c>
      <c r="D174" s="23">
        <f t="shared" ca="1" si="11"/>
        <v>749</v>
      </c>
      <c r="E174" s="40">
        <f t="shared" ca="1" si="12"/>
        <v>0</v>
      </c>
      <c r="F174" s="23">
        <f t="shared" ca="1" si="13"/>
        <v>25</v>
      </c>
      <c r="G174" s="40">
        <f t="shared" ca="1" si="14"/>
        <v>0</v>
      </c>
    </row>
    <row r="175" spans="1:7" x14ac:dyDescent="0.25">
      <c r="A175" s="17">
        <f t="shared" si="10"/>
        <v>81</v>
      </c>
      <c r="B175" t="str">
        <f ca="1">TEXT(DATE(YEAR(Invoer!$A$5),1,1)+INT((ROWS(B$2:B175)-1)/3),"jjjjmmdd")</f>
        <v>19400227</v>
      </c>
      <c r="C175" s="35" t="str">
        <f>INDEX(Data,2,2+MOD(ROWS(C$2:C175)-1,3))</f>
        <v>19.45</v>
      </c>
      <c r="D175" s="23">
        <f t="shared" ca="1" si="11"/>
        <v>750</v>
      </c>
      <c r="E175" s="40">
        <f t="shared" ca="1" si="12"/>
        <v>0</v>
      </c>
      <c r="F175" s="23">
        <f t="shared" ca="1" si="13"/>
        <v>24</v>
      </c>
      <c r="G175" s="40">
        <f t="shared" ca="1" si="14"/>
        <v>0</v>
      </c>
    </row>
    <row r="176" spans="1:7" x14ac:dyDescent="0.25">
      <c r="A176" s="17">
        <f t="shared" si="10"/>
        <v>81</v>
      </c>
      <c r="B176" t="str">
        <f ca="1">TEXT(DATE(YEAR(Invoer!$A$5),1,1)+INT((ROWS(B$2:B176)-1)/3),"jjjjmmdd")</f>
        <v>19400228</v>
      </c>
      <c r="C176" s="35" t="str">
        <f>INDEX(Data,2,2+MOD(ROWS(C$2:C176)-1,3))</f>
        <v>07.45</v>
      </c>
      <c r="D176" s="23">
        <f t="shared" ca="1" si="11"/>
        <v>749</v>
      </c>
      <c r="E176" s="40">
        <f t="shared" ca="1" si="12"/>
        <v>0</v>
      </c>
      <c r="F176" s="23">
        <f t="shared" ca="1" si="13"/>
        <v>24</v>
      </c>
      <c r="G176" s="40">
        <f t="shared" ca="1" si="14"/>
        <v>0</v>
      </c>
    </row>
    <row r="177" spans="1:7" x14ac:dyDescent="0.25">
      <c r="A177" s="17">
        <f t="shared" si="10"/>
        <v>81</v>
      </c>
      <c r="B177" t="str">
        <f ca="1">TEXT(DATE(YEAR(Invoer!$A$5),1,1)+INT((ROWS(B$2:B177)-1)/3),"jjjjmmdd")</f>
        <v>19400228</v>
      </c>
      <c r="C177" s="35" t="str">
        <f>INDEX(Data,2,2+MOD(ROWS(C$2:C177)-1,3))</f>
        <v>13.45</v>
      </c>
      <c r="D177" s="23">
        <f t="shared" ca="1" si="11"/>
        <v>748</v>
      </c>
      <c r="E177" s="40">
        <f t="shared" ca="1" si="12"/>
        <v>0</v>
      </c>
      <c r="F177" s="23">
        <f t="shared" ca="1" si="13"/>
        <v>27</v>
      </c>
      <c r="G177" s="40">
        <f t="shared" ca="1" si="14"/>
        <v>0</v>
      </c>
    </row>
    <row r="178" spans="1:7" x14ac:dyDescent="0.25">
      <c r="A178" s="17">
        <f t="shared" si="10"/>
        <v>81</v>
      </c>
      <c r="B178" t="str">
        <f ca="1">TEXT(DATE(YEAR(Invoer!$A$5),1,1)+INT((ROWS(B$2:B178)-1)/3),"jjjjmmdd")</f>
        <v>19400228</v>
      </c>
      <c r="C178" s="35" t="str">
        <f>INDEX(Data,2,2+MOD(ROWS(C$2:C178)-1,3))</f>
        <v>19.45</v>
      </c>
      <c r="D178" s="23">
        <f t="shared" ca="1" si="11"/>
        <v>748</v>
      </c>
      <c r="E178" s="40">
        <f t="shared" ca="1" si="12"/>
        <v>0</v>
      </c>
      <c r="F178" s="23">
        <f t="shared" ca="1" si="13"/>
        <v>26</v>
      </c>
      <c r="G178" s="40">
        <f t="shared" ca="1" si="14"/>
        <v>0</v>
      </c>
    </row>
    <row r="179" spans="1:7" x14ac:dyDescent="0.25">
      <c r="A179" s="17">
        <f t="shared" si="10"/>
        <v>81</v>
      </c>
      <c r="B179" t="str">
        <f ca="1">TEXT(DATE(YEAR(Invoer!$A$5),1,1)+INT((ROWS(B$2:B179)-1)/3),"jjjjmmdd")</f>
        <v>19400229</v>
      </c>
      <c r="C179" s="35" t="str">
        <f>INDEX(Data,2,2+MOD(ROWS(C$2:C179)-1,3))</f>
        <v>07.45</v>
      </c>
      <c r="D179" s="23">
        <f t="shared" ca="1" si="11"/>
        <v>748</v>
      </c>
      <c r="E179" s="40">
        <f t="shared" ca="1" si="12"/>
        <v>0</v>
      </c>
      <c r="F179" s="23">
        <f t="shared" ca="1" si="13"/>
        <v>25</v>
      </c>
      <c r="G179" s="40">
        <f t="shared" ca="1" si="14"/>
        <v>0</v>
      </c>
    </row>
    <row r="180" spans="1:7" x14ac:dyDescent="0.25">
      <c r="A180" s="17">
        <f t="shared" si="10"/>
        <v>81</v>
      </c>
      <c r="B180" t="str">
        <f ca="1">TEXT(DATE(YEAR(Invoer!$A$5),1,1)+INT((ROWS(B$2:B180)-1)/3),"jjjjmmdd")</f>
        <v>19400229</v>
      </c>
      <c r="C180" s="35" t="str">
        <f>INDEX(Data,2,2+MOD(ROWS(C$2:C180)-1,3))</f>
        <v>13.45</v>
      </c>
      <c r="D180" s="23">
        <f t="shared" ca="1" si="11"/>
        <v>748</v>
      </c>
      <c r="E180" s="40">
        <f t="shared" ca="1" si="12"/>
        <v>0</v>
      </c>
      <c r="F180" s="23">
        <f t="shared" ca="1" si="13"/>
        <v>27</v>
      </c>
      <c r="G180" s="40">
        <f t="shared" ca="1" si="14"/>
        <v>0</v>
      </c>
    </row>
    <row r="181" spans="1:7" x14ac:dyDescent="0.25">
      <c r="A181" s="17">
        <f t="shared" si="10"/>
        <v>81</v>
      </c>
      <c r="B181" t="str">
        <f ca="1">TEXT(DATE(YEAR(Invoer!$A$5),1,1)+INT((ROWS(B$2:B181)-1)/3),"jjjjmmdd")</f>
        <v>19400229</v>
      </c>
      <c r="C181" s="35" t="str">
        <f>INDEX(Data,2,2+MOD(ROWS(C$2:C181)-1,3))</f>
        <v>19.45</v>
      </c>
      <c r="D181" s="23">
        <f t="shared" ca="1" si="11"/>
        <v>749</v>
      </c>
      <c r="E181" s="40">
        <f t="shared" ca="1" si="12"/>
        <v>0</v>
      </c>
      <c r="F181" s="23">
        <f t="shared" ca="1" si="13"/>
        <v>26</v>
      </c>
      <c r="G181" s="40">
        <f t="shared" ca="1" si="14"/>
        <v>0</v>
      </c>
    </row>
    <row r="182" spans="1:7" x14ac:dyDescent="0.25">
      <c r="A182" s="17">
        <f t="shared" si="10"/>
        <v>81</v>
      </c>
      <c r="B182" t="str">
        <f ca="1">TEXT(DATE(YEAR(Invoer!$A$5),1,1)+INT((ROWS(B$2:B182)-1)/3),"jjjjmmdd")</f>
        <v>19400301</v>
      </c>
      <c r="C182" s="35" t="str">
        <f>INDEX(Data,2,2+MOD(ROWS(C$2:C182)-1,3))</f>
        <v>07.45</v>
      </c>
      <c r="D182" s="23">
        <f t="shared" ca="1" si="11"/>
        <v>748</v>
      </c>
      <c r="E182" s="40">
        <f t="shared" ca="1" si="12"/>
        <v>0</v>
      </c>
      <c r="F182" s="23">
        <f t="shared" ca="1" si="13"/>
        <v>25</v>
      </c>
      <c r="G182" s="40">
        <f t="shared" ca="1" si="14"/>
        <v>0</v>
      </c>
    </row>
    <row r="183" spans="1:7" x14ac:dyDescent="0.25">
      <c r="A183" s="17">
        <f t="shared" si="10"/>
        <v>81</v>
      </c>
      <c r="B183" t="str">
        <f ca="1">TEXT(DATE(YEAR(Invoer!$A$5),1,1)+INT((ROWS(B$2:B183)-1)/3),"jjjjmmdd")</f>
        <v>19400301</v>
      </c>
      <c r="C183" s="35" t="str">
        <f>INDEX(Data,2,2+MOD(ROWS(C$2:C183)-1,3))</f>
        <v>13.45</v>
      </c>
      <c r="D183" s="23">
        <f t="shared" ca="1" si="11"/>
        <v>748</v>
      </c>
      <c r="E183" s="40">
        <f t="shared" ca="1" si="12"/>
        <v>0</v>
      </c>
      <c r="F183" s="23">
        <f t="shared" ca="1" si="13"/>
        <v>27</v>
      </c>
      <c r="G183" s="40">
        <f t="shared" ca="1" si="14"/>
        <v>0</v>
      </c>
    </row>
    <row r="184" spans="1:7" x14ac:dyDescent="0.25">
      <c r="A184" s="17">
        <f t="shared" si="10"/>
        <v>81</v>
      </c>
      <c r="B184" t="str">
        <f ca="1">TEXT(DATE(YEAR(Invoer!$A$5),1,1)+INT((ROWS(B$2:B184)-1)/3),"jjjjmmdd")</f>
        <v>19400301</v>
      </c>
      <c r="C184" s="35" t="str">
        <f>INDEX(Data,2,2+MOD(ROWS(C$2:C184)-1,3))</f>
        <v>19.45</v>
      </c>
      <c r="D184" s="23">
        <f t="shared" ca="1" si="11"/>
        <v>748</v>
      </c>
      <c r="E184" s="40">
        <f t="shared" ca="1" si="12"/>
        <v>0</v>
      </c>
      <c r="F184" s="23">
        <f t="shared" ca="1" si="13"/>
        <v>26</v>
      </c>
      <c r="G184" s="40">
        <f t="shared" ca="1" si="14"/>
        <v>0</v>
      </c>
    </row>
    <row r="185" spans="1:7" x14ac:dyDescent="0.25">
      <c r="A185" s="17">
        <f t="shared" si="10"/>
        <v>81</v>
      </c>
      <c r="B185" t="str">
        <f ca="1">TEXT(DATE(YEAR(Invoer!$A$5),1,1)+INT((ROWS(B$2:B185)-1)/3),"jjjjmmdd")</f>
        <v>19400302</v>
      </c>
      <c r="C185" s="35" t="str">
        <f>INDEX(Data,2,2+MOD(ROWS(C$2:C185)-1,3))</f>
        <v>07.45</v>
      </c>
      <c r="D185" s="23">
        <f t="shared" ca="1" si="11"/>
        <v>749</v>
      </c>
      <c r="E185" s="40">
        <f t="shared" ca="1" si="12"/>
        <v>0</v>
      </c>
      <c r="F185" s="23">
        <f t="shared" ca="1" si="13"/>
        <v>24</v>
      </c>
      <c r="G185" s="40">
        <f t="shared" ca="1" si="14"/>
        <v>0</v>
      </c>
    </row>
    <row r="186" spans="1:7" x14ac:dyDescent="0.25">
      <c r="A186" s="17">
        <f t="shared" si="10"/>
        <v>81</v>
      </c>
      <c r="B186" t="str">
        <f ca="1">TEXT(DATE(YEAR(Invoer!$A$5),1,1)+INT((ROWS(B$2:B186)-1)/3),"jjjjmmdd")</f>
        <v>19400302</v>
      </c>
      <c r="C186" s="35" t="str">
        <f>INDEX(Data,2,2+MOD(ROWS(C$2:C186)-1,3))</f>
        <v>13.45</v>
      </c>
      <c r="D186" s="23">
        <f t="shared" ca="1" si="11"/>
        <v>748</v>
      </c>
      <c r="E186" s="40">
        <f t="shared" ca="1" si="12"/>
        <v>0</v>
      </c>
      <c r="F186" s="23">
        <f t="shared" ca="1" si="13"/>
        <v>25</v>
      </c>
      <c r="G186" s="40">
        <f t="shared" ca="1" si="14"/>
        <v>0</v>
      </c>
    </row>
    <row r="187" spans="1:7" x14ac:dyDescent="0.25">
      <c r="A187" s="17">
        <f t="shared" si="10"/>
        <v>81</v>
      </c>
      <c r="B187" t="str">
        <f ca="1">TEXT(DATE(YEAR(Invoer!$A$5),1,1)+INT((ROWS(B$2:B187)-1)/3),"jjjjmmdd")</f>
        <v>19400302</v>
      </c>
      <c r="C187" s="35" t="str">
        <f>INDEX(Data,2,2+MOD(ROWS(C$2:C187)-1,3))</f>
        <v>19.45</v>
      </c>
      <c r="D187" s="23">
        <f t="shared" ca="1" si="11"/>
        <v>748</v>
      </c>
      <c r="E187" s="40">
        <f t="shared" ca="1" si="12"/>
        <v>0</v>
      </c>
      <c r="F187" s="23">
        <f t="shared" ca="1" si="13"/>
        <v>25</v>
      </c>
      <c r="G187" s="40">
        <f t="shared" ca="1" si="14"/>
        <v>0</v>
      </c>
    </row>
    <row r="188" spans="1:7" x14ac:dyDescent="0.25">
      <c r="A188" s="17">
        <f t="shared" si="10"/>
        <v>81</v>
      </c>
      <c r="B188" t="str">
        <f ca="1">TEXT(DATE(YEAR(Invoer!$A$5),1,1)+INT((ROWS(B$2:B188)-1)/3),"jjjjmmdd")</f>
        <v>19400303</v>
      </c>
      <c r="C188" s="35" t="str">
        <f>INDEX(Data,2,2+MOD(ROWS(C$2:C188)-1,3))</f>
        <v>07.45</v>
      </c>
      <c r="D188" s="23">
        <f t="shared" ca="1" si="11"/>
        <v>748</v>
      </c>
      <c r="E188" s="40">
        <f t="shared" ca="1" si="12"/>
        <v>0</v>
      </c>
      <c r="F188" s="23">
        <f t="shared" ca="1" si="13"/>
        <v>23</v>
      </c>
      <c r="G188" s="40">
        <f t="shared" ca="1" si="14"/>
        <v>0</v>
      </c>
    </row>
    <row r="189" spans="1:7" x14ac:dyDescent="0.25">
      <c r="A189" s="17">
        <f t="shared" si="10"/>
        <v>81</v>
      </c>
      <c r="B189" t="str">
        <f ca="1">TEXT(DATE(YEAR(Invoer!$A$5),1,1)+INT((ROWS(B$2:B189)-1)/3),"jjjjmmdd")</f>
        <v>19400303</v>
      </c>
      <c r="C189" s="35" t="str">
        <f>INDEX(Data,2,2+MOD(ROWS(C$2:C189)-1,3))</f>
        <v>13.45</v>
      </c>
      <c r="D189" s="23">
        <f t="shared" ca="1" si="11"/>
        <v>748</v>
      </c>
      <c r="E189" s="40">
        <f t="shared" ca="1" si="12"/>
        <v>0</v>
      </c>
      <c r="F189" s="23">
        <f t="shared" ca="1" si="13"/>
        <v>25</v>
      </c>
      <c r="G189" s="40">
        <f t="shared" ca="1" si="14"/>
        <v>0</v>
      </c>
    </row>
    <row r="190" spans="1:7" x14ac:dyDescent="0.25">
      <c r="A190" s="17">
        <f t="shared" si="10"/>
        <v>81</v>
      </c>
      <c r="B190" t="str">
        <f ca="1">TEXT(DATE(YEAR(Invoer!$A$5),1,1)+INT((ROWS(B$2:B190)-1)/3),"jjjjmmdd")</f>
        <v>19400303</v>
      </c>
      <c r="C190" s="35" t="str">
        <f>INDEX(Data,2,2+MOD(ROWS(C$2:C190)-1,3))</f>
        <v>19.45</v>
      </c>
      <c r="D190" s="23">
        <f t="shared" ca="1" si="11"/>
        <v>747</v>
      </c>
      <c r="E190" s="40">
        <f t="shared" ca="1" si="12"/>
        <v>0</v>
      </c>
      <c r="F190" s="23">
        <f t="shared" ca="1" si="13"/>
        <v>24</v>
      </c>
      <c r="G190" s="40">
        <f t="shared" ca="1" si="14"/>
        <v>0</v>
      </c>
    </row>
    <row r="191" spans="1:7" x14ac:dyDescent="0.25">
      <c r="A191" s="17">
        <f t="shared" si="10"/>
        <v>81</v>
      </c>
      <c r="B191" t="str">
        <f ca="1">TEXT(DATE(YEAR(Invoer!$A$5),1,1)+INT((ROWS(B$2:B191)-1)/3),"jjjjmmdd")</f>
        <v>19400304</v>
      </c>
      <c r="C191" s="35" t="str">
        <f>INDEX(Data,2,2+MOD(ROWS(C$2:C191)-1,3))</f>
        <v>07.45</v>
      </c>
      <c r="D191" s="23">
        <f t="shared" ca="1" si="11"/>
        <v>747</v>
      </c>
      <c r="E191" s="40">
        <f t="shared" ca="1" si="12"/>
        <v>0</v>
      </c>
      <c r="F191" s="23">
        <f t="shared" ca="1" si="13"/>
        <v>23</v>
      </c>
      <c r="G191" s="40">
        <f t="shared" ca="1" si="14"/>
        <v>0</v>
      </c>
    </row>
    <row r="192" spans="1:7" x14ac:dyDescent="0.25">
      <c r="A192" s="17">
        <f t="shared" si="10"/>
        <v>81</v>
      </c>
      <c r="B192" t="str">
        <f ca="1">TEXT(DATE(YEAR(Invoer!$A$5),1,1)+INT((ROWS(B$2:B192)-1)/3),"jjjjmmdd")</f>
        <v>19400304</v>
      </c>
      <c r="C192" s="35" t="str">
        <f>INDEX(Data,2,2+MOD(ROWS(C$2:C192)-1,3))</f>
        <v>13.45</v>
      </c>
      <c r="D192" s="23">
        <f t="shared" ca="1" si="11"/>
        <v>747</v>
      </c>
      <c r="E192" s="40">
        <f t="shared" ca="1" si="12"/>
        <v>0</v>
      </c>
      <c r="F192" s="23">
        <f t="shared" ca="1" si="13"/>
        <v>25</v>
      </c>
      <c r="G192" s="40">
        <f t="shared" ca="1" si="14"/>
        <v>0</v>
      </c>
    </row>
    <row r="193" spans="1:7" x14ac:dyDescent="0.25">
      <c r="A193" s="17">
        <f t="shared" si="10"/>
        <v>81</v>
      </c>
      <c r="B193" t="str">
        <f ca="1">TEXT(DATE(YEAR(Invoer!$A$5),1,1)+INT((ROWS(B$2:B193)-1)/3),"jjjjmmdd")</f>
        <v>19400304</v>
      </c>
      <c r="C193" s="35" t="str">
        <f>INDEX(Data,2,2+MOD(ROWS(C$2:C193)-1,3))</f>
        <v>19.45</v>
      </c>
      <c r="D193" s="23">
        <f t="shared" ca="1" si="11"/>
        <v>747</v>
      </c>
      <c r="E193" s="40">
        <f t="shared" ca="1" si="12"/>
        <v>0</v>
      </c>
      <c r="F193" s="23">
        <f t="shared" ca="1" si="13"/>
        <v>24</v>
      </c>
      <c r="G193" s="40">
        <f t="shared" ca="1" si="14"/>
        <v>0</v>
      </c>
    </row>
    <row r="194" spans="1:7" x14ac:dyDescent="0.25">
      <c r="A194" s="17">
        <f t="shared" ref="A194:A257" si="15">INDEX(Stations,2,1)</f>
        <v>81</v>
      </c>
      <c r="B194" t="str">
        <f ca="1">TEXT(DATE(YEAR(Invoer!$A$5),1,1)+INT((ROWS(B$2:B194)-1)/3),"jjjjmmdd")</f>
        <v>19400305</v>
      </c>
      <c r="C194" s="35" t="str">
        <f>INDEX(Data,2,2+MOD(ROWS(C$2:C194)-1,3))</f>
        <v>07.45</v>
      </c>
      <c r="D194" s="23">
        <f t="shared" ref="D194:D257" ca="1" si="16">IF(OR(ISBLANK(VLOOKUP(DATEVALUE(LEFT($B194,4)&amp;"-"&amp;MID($B194,5,2)&amp;"-"&amp;RIGHT($B194,2)),Data,MATCH(LEFT(VLOOKUP(D$1,Parameters,2,FALSE()),4)&amp;"*",OFFSET(Data,0,0,1),0)+MATCH($C194,OFFSET(Data,1,0,1),0)-2,FALSE())),ISTEXT(VLOOKUP(DATEVALUE(LEFT($B194,4)&amp;"-"&amp;MID($B194,5,2)&amp;"-"&amp;RIGHT($B194,2)),Data,MATCH(LEFT(VLOOKUP(D$1,Parameters,2,FALSE()),4)&amp;"*",OFFSET(Data,0,0,1),0)+MATCH($C194,OFFSET(Data,1,0,1),0)-2,FALSE()))),"—",VLOOKUP(DATEVALUE(LEFT($B194,4)&amp;"-"&amp;MID($B194,5,2)&amp;"-"&amp;RIGHT($B194,2)),Data,MATCH(LEFT(VLOOKUP(D$1,Parameters,2,FALSE()),4)&amp;"*",OFFSET(Data,0,0,1),0)+MATCH($C194,OFFSET(Data,1,0,1),0)-2,FALSE()))</f>
        <v>748</v>
      </c>
      <c r="E194" s="40">
        <f t="shared" ref="E194:E257" ca="1" si="17">IF(OR(ISBLANK(VLOOKUP(DATEVALUE(LEFT($B194,4)&amp;"-"&amp;MID($B194,5,2)&amp;"-"&amp;RIGHT($B194,2)),Data,MATCH(LEFT(VLOOKUP(MID(E$1,2,LEN(E$1)-1),Parameters,2,FALSE()),4)&amp;"*",OFFSET(Data,0,0,1),0)+MATCH($C194,OFFSET(Data,1,0,1),0)-2,FALSE())),ISTEXT(VLOOKUP(DATEVALUE(LEFT($B194,4)&amp;"-"&amp;MID($B194,5,2)&amp;"-"&amp;RIGHT($B194,2)),Data,MATCH(LEFT(VLOOKUP(MID(E$1,2,LEN(E$1)-1),Parameters,2,FALSE()),4)&amp;"*",OFFSET(Data,0,0,1),0)+MATCH($C194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E$1,2,LEN(E$1)-1),Parameters,2,FALSE()),4)&amp;"*",OFFSET(Catalogus,0,0,1),0)+MATCH($C194,OFFSET(Catalogus,1,0,1),0)-2,FALSE())))</f>
        <v>0</v>
      </c>
      <c r="F194" s="23">
        <f t="shared" ref="F194:F257" ca="1" si="18">IF(OR(ISBLANK(VLOOKUP(DATEVALUE(LEFT($B194,4)&amp;"-"&amp;MID($B194,5,2)&amp;"-"&amp;RIGHT($B194,2)),Data,MATCH(LEFT(VLOOKUP(F$1,Parameters,2,FALSE()),4)&amp;"*",OFFSET(Data,0,0,1),0)+MATCH($C194,OFFSET(Data,1,0,1),0)-2,FALSE())),ISTEXT(VLOOKUP(DATEVALUE(LEFT($B194,4)&amp;"-"&amp;MID($B194,5,2)&amp;"-"&amp;RIGHT($B194,2)),Data,MATCH(LEFT(VLOOKUP(F$1,Parameters,2,FALSE()),4)&amp;"*",OFFSET(Data,0,0,1),0)+MATCH($C194,OFFSET(Data,1,0,1),0)-2,FALSE()))),"—",VLOOKUP(DATEVALUE(LEFT($B194,4)&amp;"-"&amp;MID($B194,5,2)&amp;"-"&amp;RIGHT($B194,2)),Data,MATCH(LEFT(VLOOKUP(F$1,Parameters,2,FALSE()),4)&amp;"*",OFFSET(Data,0,0,1),0)+MATCH($C194,OFFSET(Data,1,0,1),0)-2,FALSE()))</f>
        <v>24</v>
      </c>
      <c r="G194" s="40">
        <f t="shared" ref="G194:G257" ca="1" si="19">IF(OR(ISBLANK(VLOOKUP(DATEVALUE(LEFT($B194,4)&amp;"-"&amp;MID($B194,5,2)&amp;"-"&amp;RIGHT($B194,2)),Data,MATCH(LEFT(VLOOKUP(MID(G$1,2,LEN(G$1)-1),Parameters,2,FALSE()),4)&amp;"*",OFFSET(Data,0,0,1),0)+MATCH($C194,OFFSET(Data,1,0,1),0)-2,FALSE())),ISTEXT(VLOOKUP(DATEVALUE(LEFT($B194,4)&amp;"-"&amp;MID($B194,5,2)&amp;"-"&amp;RIGHT($B194,2)),Data,MATCH(LEFT(VLOOKUP(MID(G$1,2,LEN(G$1)-1),Parameters,2,FALSE()),4)&amp;"*",OFFSET(Data,0,0,1),0)+MATCH($C194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G$1,2,LEN(G$1)-1),Parameters,2,FALSE()),4)&amp;"*",OFFSET(Catalogus,0,0,1),0)+MATCH($C194,OFFSET(Catalogus,1,0,1),0)-2,FALSE())))</f>
        <v>0</v>
      </c>
    </row>
    <row r="195" spans="1:7" x14ac:dyDescent="0.25">
      <c r="A195" s="17">
        <f t="shared" si="15"/>
        <v>81</v>
      </c>
      <c r="B195" t="str">
        <f ca="1">TEXT(DATE(YEAR(Invoer!$A$5),1,1)+INT((ROWS(B$2:B195)-1)/3),"jjjjmmdd")</f>
        <v>19400305</v>
      </c>
      <c r="C195" s="35" t="str">
        <f>INDEX(Data,2,2+MOD(ROWS(C$2:C195)-1,3))</f>
        <v>13.45</v>
      </c>
      <c r="D195" s="23">
        <f t="shared" ca="1" si="16"/>
        <v>748</v>
      </c>
      <c r="E195" s="40">
        <f t="shared" ca="1" si="17"/>
        <v>0</v>
      </c>
      <c r="F195" s="23">
        <f t="shared" ca="1" si="18"/>
        <v>26</v>
      </c>
      <c r="G195" s="40">
        <f t="shared" ca="1" si="19"/>
        <v>0</v>
      </c>
    </row>
    <row r="196" spans="1:7" x14ac:dyDescent="0.25">
      <c r="A196" s="17">
        <f t="shared" si="15"/>
        <v>81</v>
      </c>
      <c r="B196" t="str">
        <f ca="1">TEXT(DATE(YEAR(Invoer!$A$5),1,1)+INT((ROWS(B$2:B196)-1)/3),"jjjjmmdd")</f>
        <v>19400305</v>
      </c>
      <c r="C196" s="35" t="str">
        <f>INDEX(Data,2,2+MOD(ROWS(C$2:C196)-1,3))</f>
        <v>19.45</v>
      </c>
      <c r="D196" s="23">
        <f t="shared" ca="1" si="16"/>
        <v>747</v>
      </c>
      <c r="E196" s="40">
        <f t="shared" ca="1" si="17"/>
        <v>0</v>
      </c>
      <c r="F196" s="23">
        <f t="shared" ca="1" si="18"/>
        <v>25</v>
      </c>
      <c r="G196" s="40">
        <f t="shared" ca="1" si="19"/>
        <v>0</v>
      </c>
    </row>
    <row r="197" spans="1:7" x14ac:dyDescent="0.25">
      <c r="A197" s="17">
        <f t="shared" si="15"/>
        <v>81</v>
      </c>
      <c r="B197" t="str">
        <f ca="1">TEXT(DATE(YEAR(Invoer!$A$5),1,1)+INT((ROWS(B$2:B197)-1)/3),"jjjjmmdd")</f>
        <v>19400306</v>
      </c>
      <c r="C197" s="35" t="str">
        <f>INDEX(Data,2,2+MOD(ROWS(C$2:C197)-1,3))</f>
        <v>07.45</v>
      </c>
      <c r="D197" s="23">
        <f t="shared" ca="1" si="16"/>
        <v>748</v>
      </c>
      <c r="E197" s="40">
        <f t="shared" ca="1" si="17"/>
        <v>0</v>
      </c>
      <c r="F197" s="23">
        <f t="shared" ca="1" si="18"/>
        <v>24</v>
      </c>
      <c r="G197" s="40">
        <f t="shared" ca="1" si="19"/>
        <v>0</v>
      </c>
    </row>
    <row r="198" spans="1:7" x14ac:dyDescent="0.25">
      <c r="A198" s="17">
        <f t="shared" si="15"/>
        <v>81</v>
      </c>
      <c r="B198" t="str">
        <f ca="1">TEXT(DATE(YEAR(Invoer!$A$5),1,1)+INT((ROWS(B$2:B198)-1)/3),"jjjjmmdd")</f>
        <v>19400306</v>
      </c>
      <c r="C198" s="35" t="str">
        <f>INDEX(Data,2,2+MOD(ROWS(C$2:C198)-1,3))</f>
        <v>13.45</v>
      </c>
      <c r="D198" s="23">
        <f t="shared" ca="1" si="16"/>
        <v>746</v>
      </c>
      <c r="E198" s="40">
        <f t="shared" ca="1" si="17"/>
        <v>0</v>
      </c>
      <c r="F198" s="23">
        <f t="shared" ca="1" si="18"/>
        <v>28</v>
      </c>
      <c r="G198" s="40">
        <f t="shared" ca="1" si="19"/>
        <v>0</v>
      </c>
    </row>
    <row r="199" spans="1:7" x14ac:dyDescent="0.25">
      <c r="A199" s="17">
        <f t="shared" si="15"/>
        <v>81</v>
      </c>
      <c r="B199" t="str">
        <f ca="1">TEXT(DATE(YEAR(Invoer!$A$5),1,1)+INT((ROWS(B$2:B199)-1)/3),"jjjjmmdd")</f>
        <v>19400306</v>
      </c>
      <c r="C199" s="35" t="str">
        <f>INDEX(Data,2,2+MOD(ROWS(C$2:C199)-1,3))</f>
        <v>19.45</v>
      </c>
      <c r="D199" s="23">
        <f t="shared" ca="1" si="16"/>
        <v>745</v>
      </c>
      <c r="E199" s="40">
        <f t="shared" ca="1" si="17"/>
        <v>0</v>
      </c>
      <c r="F199" s="23">
        <f t="shared" ca="1" si="18"/>
        <v>27</v>
      </c>
      <c r="G199" s="40">
        <f t="shared" ca="1" si="19"/>
        <v>0</v>
      </c>
    </row>
    <row r="200" spans="1:7" x14ac:dyDescent="0.25">
      <c r="A200" s="17">
        <f t="shared" si="15"/>
        <v>81</v>
      </c>
      <c r="B200" t="str">
        <f ca="1">TEXT(DATE(YEAR(Invoer!$A$5),1,1)+INT((ROWS(B$2:B200)-1)/3),"jjjjmmdd")</f>
        <v>19400307</v>
      </c>
      <c r="C200" s="35" t="str">
        <f>INDEX(Data,2,2+MOD(ROWS(C$2:C200)-1,3))</f>
        <v>07.45</v>
      </c>
      <c r="D200" s="23">
        <f t="shared" ca="1" si="16"/>
        <v>746</v>
      </c>
      <c r="E200" s="40">
        <f t="shared" ca="1" si="17"/>
        <v>0</v>
      </c>
      <c r="F200" s="23">
        <f t="shared" ca="1" si="18"/>
        <v>26</v>
      </c>
      <c r="G200" s="40">
        <f t="shared" ca="1" si="19"/>
        <v>0</v>
      </c>
    </row>
    <row r="201" spans="1:7" x14ac:dyDescent="0.25">
      <c r="A201" s="17">
        <f t="shared" si="15"/>
        <v>81</v>
      </c>
      <c r="B201" t="str">
        <f ca="1">TEXT(DATE(YEAR(Invoer!$A$5),1,1)+INT((ROWS(B$2:B201)-1)/3),"jjjjmmdd")</f>
        <v>19400307</v>
      </c>
      <c r="C201" s="35" t="str">
        <f>INDEX(Data,2,2+MOD(ROWS(C$2:C201)-1,3))</f>
        <v>13.45</v>
      </c>
      <c r="D201" s="23">
        <f t="shared" ca="1" si="16"/>
        <v>747</v>
      </c>
      <c r="E201" s="40">
        <f t="shared" ca="1" si="17"/>
        <v>0</v>
      </c>
      <c r="F201" s="23">
        <f t="shared" ca="1" si="18"/>
        <v>28</v>
      </c>
      <c r="G201" s="40">
        <f t="shared" ca="1" si="19"/>
        <v>0</v>
      </c>
    </row>
    <row r="202" spans="1:7" x14ac:dyDescent="0.25">
      <c r="A202" s="17">
        <f t="shared" si="15"/>
        <v>81</v>
      </c>
      <c r="B202" t="str">
        <f ca="1">TEXT(DATE(YEAR(Invoer!$A$5),1,1)+INT((ROWS(B$2:B202)-1)/3),"jjjjmmdd")</f>
        <v>19400307</v>
      </c>
      <c r="C202" s="35" t="str">
        <f>INDEX(Data,2,2+MOD(ROWS(C$2:C202)-1,3))</f>
        <v>19.45</v>
      </c>
      <c r="D202" s="23">
        <f t="shared" ca="1" si="16"/>
        <v>746</v>
      </c>
      <c r="E202" s="40">
        <f t="shared" ca="1" si="17"/>
        <v>0</v>
      </c>
      <c r="F202" s="23">
        <f t="shared" ca="1" si="18"/>
        <v>27</v>
      </c>
      <c r="G202" s="40">
        <f t="shared" ca="1" si="19"/>
        <v>0</v>
      </c>
    </row>
    <row r="203" spans="1:7" x14ac:dyDescent="0.25">
      <c r="A203" s="17">
        <f t="shared" si="15"/>
        <v>81</v>
      </c>
      <c r="B203" t="str">
        <f ca="1">TEXT(DATE(YEAR(Invoer!$A$5),1,1)+INT((ROWS(B$2:B203)-1)/3),"jjjjmmdd")</f>
        <v>19400308</v>
      </c>
      <c r="C203" s="35" t="str">
        <f>INDEX(Data,2,2+MOD(ROWS(C$2:C203)-1,3))</f>
        <v>07.45</v>
      </c>
      <c r="D203" s="23">
        <f t="shared" ca="1" si="16"/>
        <v>746</v>
      </c>
      <c r="E203" s="40">
        <f t="shared" ca="1" si="17"/>
        <v>0</v>
      </c>
      <c r="F203" s="23">
        <f t="shared" ca="1" si="18"/>
        <v>26</v>
      </c>
      <c r="G203" s="40">
        <f t="shared" ca="1" si="19"/>
        <v>0</v>
      </c>
    </row>
    <row r="204" spans="1:7" x14ac:dyDescent="0.25">
      <c r="A204" s="17">
        <f t="shared" si="15"/>
        <v>81</v>
      </c>
      <c r="B204" t="str">
        <f ca="1">TEXT(DATE(YEAR(Invoer!$A$5),1,1)+INT((ROWS(B$2:B204)-1)/3),"jjjjmmdd")</f>
        <v>19400308</v>
      </c>
      <c r="C204" s="35" t="str">
        <f>INDEX(Data,2,2+MOD(ROWS(C$2:C204)-1,3))</f>
        <v>13.45</v>
      </c>
      <c r="D204" s="23">
        <f t="shared" ca="1" si="16"/>
        <v>745</v>
      </c>
      <c r="E204" s="40">
        <f t="shared" ca="1" si="17"/>
        <v>0</v>
      </c>
      <c r="F204" s="23">
        <f t="shared" ca="1" si="18"/>
        <v>28</v>
      </c>
      <c r="G204" s="40">
        <f t="shared" ca="1" si="19"/>
        <v>0</v>
      </c>
    </row>
    <row r="205" spans="1:7" x14ac:dyDescent="0.25">
      <c r="A205" s="17">
        <f t="shared" si="15"/>
        <v>81</v>
      </c>
      <c r="B205" t="str">
        <f ca="1">TEXT(DATE(YEAR(Invoer!$A$5),1,1)+INT((ROWS(B$2:B205)-1)/3),"jjjjmmdd")</f>
        <v>19400308</v>
      </c>
      <c r="C205" s="35" t="str">
        <f>INDEX(Data,2,2+MOD(ROWS(C$2:C205)-1,3))</f>
        <v>19.45</v>
      </c>
      <c r="D205" s="23">
        <f t="shared" ca="1" si="16"/>
        <v>745</v>
      </c>
      <c r="E205" s="40">
        <f t="shared" ca="1" si="17"/>
        <v>0</v>
      </c>
      <c r="F205" s="23">
        <f t="shared" ca="1" si="18"/>
        <v>27</v>
      </c>
      <c r="G205" s="40">
        <f t="shared" ca="1" si="19"/>
        <v>0</v>
      </c>
    </row>
    <row r="206" spans="1:7" x14ac:dyDescent="0.25">
      <c r="A206" s="17">
        <f t="shared" si="15"/>
        <v>81</v>
      </c>
      <c r="B206" t="str">
        <f ca="1">TEXT(DATE(YEAR(Invoer!$A$5),1,1)+INT((ROWS(B$2:B206)-1)/3),"jjjjmmdd")</f>
        <v>19400309</v>
      </c>
      <c r="C206" s="35" t="str">
        <f>INDEX(Data,2,2+MOD(ROWS(C$2:C206)-1,3))</f>
        <v>07.45</v>
      </c>
      <c r="D206" s="23">
        <f t="shared" ca="1" si="16"/>
        <v>746</v>
      </c>
      <c r="E206" s="40">
        <f t="shared" ca="1" si="17"/>
        <v>0</v>
      </c>
      <c r="F206" s="23">
        <f t="shared" ca="1" si="18"/>
        <v>26</v>
      </c>
      <c r="G206" s="40">
        <f t="shared" ca="1" si="19"/>
        <v>0</v>
      </c>
    </row>
    <row r="207" spans="1:7" x14ac:dyDescent="0.25">
      <c r="A207" s="17">
        <f t="shared" si="15"/>
        <v>81</v>
      </c>
      <c r="B207" t="str">
        <f ca="1">TEXT(DATE(YEAR(Invoer!$A$5),1,1)+INT((ROWS(B$2:B207)-1)/3),"jjjjmmdd")</f>
        <v>19400309</v>
      </c>
      <c r="C207" s="35" t="str">
        <f>INDEX(Data,2,2+MOD(ROWS(C$2:C207)-1,3))</f>
        <v>13.45</v>
      </c>
      <c r="D207" s="23">
        <f t="shared" ca="1" si="16"/>
        <v>746</v>
      </c>
      <c r="E207" s="40">
        <f t="shared" ca="1" si="17"/>
        <v>0</v>
      </c>
      <c r="F207" s="23">
        <f t="shared" ca="1" si="18"/>
        <v>28</v>
      </c>
      <c r="G207" s="40">
        <f t="shared" ca="1" si="19"/>
        <v>0</v>
      </c>
    </row>
    <row r="208" spans="1:7" x14ac:dyDescent="0.25">
      <c r="A208" s="17">
        <f t="shared" si="15"/>
        <v>81</v>
      </c>
      <c r="B208" t="str">
        <f ca="1">TEXT(DATE(YEAR(Invoer!$A$5),1,1)+INT((ROWS(B$2:B208)-1)/3),"jjjjmmdd")</f>
        <v>19400309</v>
      </c>
      <c r="C208" s="35" t="str">
        <f>INDEX(Data,2,2+MOD(ROWS(C$2:C208)-1,3))</f>
        <v>19.45</v>
      </c>
      <c r="D208" s="23">
        <f t="shared" ca="1" si="16"/>
        <v>746</v>
      </c>
      <c r="E208" s="40">
        <f t="shared" ca="1" si="17"/>
        <v>0</v>
      </c>
      <c r="F208" s="23">
        <f t="shared" ca="1" si="18"/>
        <v>27</v>
      </c>
      <c r="G208" s="40">
        <f t="shared" ca="1" si="19"/>
        <v>0</v>
      </c>
    </row>
    <row r="209" spans="1:7" x14ac:dyDescent="0.25">
      <c r="A209" s="17">
        <f t="shared" si="15"/>
        <v>81</v>
      </c>
      <c r="B209" t="str">
        <f ca="1">TEXT(DATE(YEAR(Invoer!$A$5),1,1)+INT((ROWS(B$2:B209)-1)/3),"jjjjmmdd")</f>
        <v>19400310</v>
      </c>
      <c r="C209" s="35" t="str">
        <f>INDEX(Data,2,2+MOD(ROWS(C$2:C209)-1,3))</f>
        <v>07.45</v>
      </c>
      <c r="D209" s="23">
        <f t="shared" ca="1" si="16"/>
        <v>748</v>
      </c>
      <c r="E209" s="40">
        <f t="shared" ca="1" si="17"/>
        <v>0</v>
      </c>
      <c r="F209" s="23">
        <f t="shared" ca="1" si="18"/>
        <v>26</v>
      </c>
      <c r="G209" s="40">
        <f t="shared" ca="1" si="19"/>
        <v>0</v>
      </c>
    </row>
    <row r="210" spans="1:7" x14ac:dyDescent="0.25">
      <c r="A210" s="17">
        <f t="shared" si="15"/>
        <v>81</v>
      </c>
      <c r="B210" t="str">
        <f ca="1">TEXT(DATE(YEAR(Invoer!$A$5),1,1)+INT((ROWS(B$2:B210)-1)/3),"jjjjmmdd")</f>
        <v>19400310</v>
      </c>
      <c r="C210" s="35" t="str">
        <f>INDEX(Data,2,2+MOD(ROWS(C$2:C210)-1,3))</f>
        <v>13.45</v>
      </c>
      <c r="D210" s="23">
        <f t="shared" ca="1" si="16"/>
        <v>748</v>
      </c>
      <c r="E210" s="40">
        <f t="shared" ca="1" si="17"/>
        <v>0</v>
      </c>
      <c r="F210" s="23">
        <f t="shared" ca="1" si="18"/>
        <v>28</v>
      </c>
      <c r="G210" s="40">
        <f t="shared" ca="1" si="19"/>
        <v>0</v>
      </c>
    </row>
    <row r="211" spans="1:7" x14ac:dyDescent="0.25">
      <c r="A211" s="17">
        <f t="shared" si="15"/>
        <v>81</v>
      </c>
      <c r="B211" t="str">
        <f ca="1">TEXT(DATE(YEAR(Invoer!$A$5),1,1)+INT((ROWS(B$2:B211)-1)/3),"jjjjmmdd")</f>
        <v>19400310</v>
      </c>
      <c r="C211" s="35" t="str">
        <f>INDEX(Data,2,2+MOD(ROWS(C$2:C211)-1,3))</f>
        <v>19.45</v>
      </c>
      <c r="D211" s="23">
        <f t="shared" ca="1" si="16"/>
        <v>748</v>
      </c>
      <c r="E211" s="40">
        <f t="shared" ca="1" si="17"/>
        <v>0</v>
      </c>
      <c r="F211" s="23">
        <f t="shared" ca="1" si="18"/>
        <v>27</v>
      </c>
      <c r="G211" s="40">
        <f t="shared" ca="1" si="19"/>
        <v>0</v>
      </c>
    </row>
    <row r="212" spans="1:7" x14ac:dyDescent="0.25">
      <c r="A212" s="17">
        <f t="shared" si="15"/>
        <v>81</v>
      </c>
      <c r="B212" t="str">
        <f ca="1">TEXT(DATE(YEAR(Invoer!$A$5),1,1)+INT((ROWS(B$2:B212)-1)/3),"jjjjmmdd")</f>
        <v>19400311</v>
      </c>
      <c r="C212" s="35" t="str">
        <f>INDEX(Data,2,2+MOD(ROWS(C$2:C212)-1,3))</f>
        <v>07.45</v>
      </c>
      <c r="D212" s="23">
        <f t="shared" ca="1" si="16"/>
        <v>748</v>
      </c>
      <c r="E212" s="40">
        <f t="shared" ca="1" si="17"/>
        <v>0</v>
      </c>
      <c r="F212" s="23">
        <f t="shared" ca="1" si="18"/>
        <v>26</v>
      </c>
      <c r="G212" s="40">
        <f t="shared" ca="1" si="19"/>
        <v>0</v>
      </c>
    </row>
    <row r="213" spans="1:7" x14ac:dyDescent="0.25">
      <c r="A213" s="17">
        <f t="shared" si="15"/>
        <v>81</v>
      </c>
      <c r="B213" t="str">
        <f ca="1">TEXT(DATE(YEAR(Invoer!$A$5),1,1)+INT((ROWS(B$2:B213)-1)/3),"jjjjmmdd")</f>
        <v>19400311</v>
      </c>
      <c r="C213" s="35" t="str">
        <f>INDEX(Data,2,2+MOD(ROWS(C$2:C213)-1,3))</f>
        <v>13.45</v>
      </c>
      <c r="D213" s="23">
        <f t="shared" ca="1" si="16"/>
        <v>748</v>
      </c>
      <c r="E213" s="40">
        <f t="shared" ca="1" si="17"/>
        <v>0</v>
      </c>
      <c r="F213" s="23">
        <f t="shared" ca="1" si="18"/>
        <v>26</v>
      </c>
      <c r="G213" s="40">
        <f t="shared" ca="1" si="19"/>
        <v>0</v>
      </c>
    </row>
    <row r="214" spans="1:7" x14ac:dyDescent="0.25">
      <c r="A214" s="17">
        <f t="shared" si="15"/>
        <v>81</v>
      </c>
      <c r="B214" t="str">
        <f ca="1">TEXT(DATE(YEAR(Invoer!$A$5),1,1)+INT((ROWS(B$2:B214)-1)/3),"jjjjmmdd")</f>
        <v>19400311</v>
      </c>
      <c r="C214" s="35" t="str">
        <f>INDEX(Data,2,2+MOD(ROWS(C$2:C214)-1,3))</f>
        <v>19.45</v>
      </c>
      <c r="D214" s="23">
        <f t="shared" ca="1" si="16"/>
        <v>749</v>
      </c>
      <c r="E214" s="40">
        <f t="shared" ca="1" si="17"/>
        <v>0</v>
      </c>
      <c r="F214" s="23">
        <f t="shared" ca="1" si="18"/>
        <v>25</v>
      </c>
      <c r="G214" s="40">
        <f t="shared" ca="1" si="19"/>
        <v>0</v>
      </c>
    </row>
    <row r="215" spans="1:7" x14ac:dyDescent="0.25">
      <c r="A215" s="17">
        <f t="shared" si="15"/>
        <v>81</v>
      </c>
      <c r="B215" t="str">
        <f ca="1">TEXT(DATE(YEAR(Invoer!$A$5),1,1)+INT((ROWS(B$2:B215)-1)/3),"jjjjmmdd")</f>
        <v>19400312</v>
      </c>
      <c r="C215" s="35" t="str">
        <f>INDEX(Data,2,2+MOD(ROWS(C$2:C215)-1,3))</f>
        <v>07.45</v>
      </c>
      <c r="D215" s="23">
        <f t="shared" ca="1" si="16"/>
        <v>749</v>
      </c>
      <c r="E215" s="40">
        <f t="shared" ca="1" si="17"/>
        <v>0</v>
      </c>
      <c r="F215" s="23">
        <f t="shared" ca="1" si="18"/>
        <v>24</v>
      </c>
      <c r="G215" s="40">
        <f t="shared" ca="1" si="19"/>
        <v>0</v>
      </c>
    </row>
    <row r="216" spans="1:7" x14ac:dyDescent="0.25">
      <c r="A216" s="17">
        <f t="shared" si="15"/>
        <v>81</v>
      </c>
      <c r="B216" t="str">
        <f ca="1">TEXT(DATE(YEAR(Invoer!$A$5),1,1)+INT((ROWS(B$2:B216)-1)/3),"jjjjmmdd")</f>
        <v>19400312</v>
      </c>
      <c r="C216" s="35" t="str">
        <f>INDEX(Data,2,2+MOD(ROWS(C$2:C216)-1,3))</f>
        <v>13.45</v>
      </c>
      <c r="D216" s="23">
        <f t="shared" ca="1" si="16"/>
        <v>749</v>
      </c>
      <c r="E216" s="40">
        <f t="shared" ca="1" si="17"/>
        <v>0</v>
      </c>
      <c r="F216" s="23">
        <f t="shared" ca="1" si="18"/>
        <v>26</v>
      </c>
      <c r="G216" s="40">
        <f t="shared" ca="1" si="19"/>
        <v>0</v>
      </c>
    </row>
    <row r="217" spans="1:7" x14ac:dyDescent="0.25">
      <c r="A217" s="17">
        <f t="shared" si="15"/>
        <v>81</v>
      </c>
      <c r="B217" t="str">
        <f ca="1">TEXT(DATE(YEAR(Invoer!$A$5),1,1)+INT((ROWS(B$2:B217)-1)/3),"jjjjmmdd")</f>
        <v>19400312</v>
      </c>
      <c r="C217" s="35" t="str">
        <f>INDEX(Data,2,2+MOD(ROWS(C$2:C217)-1,3))</f>
        <v>19.45</v>
      </c>
      <c r="D217" s="23">
        <f t="shared" ca="1" si="16"/>
        <v>749</v>
      </c>
      <c r="E217" s="40">
        <f t="shared" ca="1" si="17"/>
        <v>0</v>
      </c>
      <c r="F217" s="23">
        <f t="shared" ca="1" si="18"/>
        <v>26</v>
      </c>
      <c r="G217" s="40">
        <f t="shared" ca="1" si="19"/>
        <v>0</v>
      </c>
    </row>
    <row r="218" spans="1:7" x14ac:dyDescent="0.25">
      <c r="A218" s="17">
        <f t="shared" si="15"/>
        <v>81</v>
      </c>
      <c r="B218" t="str">
        <f ca="1">TEXT(DATE(YEAR(Invoer!$A$5),1,1)+INT((ROWS(B$2:B218)-1)/3),"jjjjmmdd")</f>
        <v>19400313</v>
      </c>
      <c r="C218" s="35" t="str">
        <f>INDEX(Data,2,2+MOD(ROWS(C$2:C218)-1,3))</f>
        <v>07.45</v>
      </c>
      <c r="D218" s="23">
        <f t="shared" ca="1" si="16"/>
        <v>749</v>
      </c>
      <c r="E218" s="40">
        <f t="shared" ca="1" si="17"/>
        <v>0</v>
      </c>
      <c r="F218" s="23">
        <f t="shared" ca="1" si="18"/>
        <v>24</v>
      </c>
      <c r="G218" s="40">
        <f t="shared" ca="1" si="19"/>
        <v>0</v>
      </c>
    </row>
    <row r="219" spans="1:7" x14ac:dyDescent="0.25">
      <c r="A219" s="17">
        <f t="shared" si="15"/>
        <v>81</v>
      </c>
      <c r="B219" t="str">
        <f ca="1">TEXT(DATE(YEAR(Invoer!$A$5),1,1)+INT((ROWS(B$2:B219)-1)/3),"jjjjmmdd")</f>
        <v>19400313</v>
      </c>
      <c r="C219" s="35" t="str">
        <f>INDEX(Data,2,2+MOD(ROWS(C$2:C219)-1,3))</f>
        <v>13.45</v>
      </c>
      <c r="D219" s="23">
        <f t="shared" ca="1" si="16"/>
        <v>749</v>
      </c>
      <c r="E219" s="40">
        <f t="shared" ca="1" si="17"/>
        <v>0</v>
      </c>
      <c r="F219" s="23">
        <f t="shared" ca="1" si="18"/>
        <v>27</v>
      </c>
      <c r="G219" s="40">
        <f t="shared" ca="1" si="19"/>
        <v>0</v>
      </c>
    </row>
    <row r="220" spans="1:7" x14ac:dyDescent="0.25">
      <c r="A220" s="17">
        <f t="shared" si="15"/>
        <v>81</v>
      </c>
      <c r="B220" t="str">
        <f ca="1">TEXT(DATE(YEAR(Invoer!$A$5),1,1)+INT((ROWS(B$2:B220)-1)/3),"jjjjmmdd")</f>
        <v>19400313</v>
      </c>
      <c r="C220" s="35" t="str">
        <f>INDEX(Data,2,2+MOD(ROWS(C$2:C220)-1,3))</f>
        <v>19.45</v>
      </c>
      <c r="D220" s="23">
        <f t="shared" ca="1" si="16"/>
        <v>749</v>
      </c>
      <c r="E220" s="40">
        <f t="shared" ca="1" si="17"/>
        <v>0</v>
      </c>
      <c r="F220" s="23">
        <f t="shared" ca="1" si="18"/>
        <v>26</v>
      </c>
      <c r="G220" s="40">
        <f t="shared" ca="1" si="19"/>
        <v>0</v>
      </c>
    </row>
    <row r="221" spans="1:7" x14ac:dyDescent="0.25">
      <c r="A221" s="17">
        <f t="shared" si="15"/>
        <v>81</v>
      </c>
      <c r="B221" t="str">
        <f ca="1">TEXT(DATE(YEAR(Invoer!$A$5),1,1)+INT((ROWS(B$2:B221)-1)/3),"jjjjmmdd")</f>
        <v>19400314</v>
      </c>
      <c r="C221" s="35" t="str">
        <f>INDEX(Data,2,2+MOD(ROWS(C$2:C221)-1,3))</f>
        <v>07.45</v>
      </c>
      <c r="D221" s="23">
        <f t="shared" ca="1" si="16"/>
        <v>749</v>
      </c>
      <c r="E221" s="40">
        <f t="shared" ca="1" si="17"/>
        <v>0</v>
      </c>
      <c r="F221" s="23">
        <f t="shared" ca="1" si="18"/>
        <v>24</v>
      </c>
      <c r="G221" s="40">
        <f t="shared" ca="1" si="19"/>
        <v>0</v>
      </c>
    </row>
    <row r="222" spans="1:7" x14ac:dyDescent="0.25">
      <c r="A222" s="17">
        <f t="shared" si="15"/>
        <v>81</v>
      </c>
      <c r="B222" t="str">
        <f ca="1">TEXT(DATE(YEAR(Invoer!$A$5),1,1)+INT((ROWS(B$2:B222)-1)/3),"jjjjmmdd")</f>
        <v>19400314</v>
      </c>
      <c r="C222" s="35" t="str">
        <f>INDEX(Data,2,2+MOD(ROWS(C$2:C222)-1,3))</f>
        <v>13.45</v>
      </c>
      <c r="D222" s="23">
        <f t="shared" ca="1" si="16"/>
        <v>749</v>
      </c>
      <c r="E222" s="40">
        <f t="shared" ca="1" si="17"/>
        <v>0</v>
      </c>
      <c r="F222" s="23">
        <f t="shared" ca="1" si="18"/>
        <v>26</v>
      </c>
      <c r="G222" s="40">
        <f t="shared" ca="1" si="19"/>
        <v>0</v>
      </c>
    </row>
    <row r="223" spans="1:7" x14ac:dyDescent="0.25">
      <c r="A223" s="17">
        <f t="shared" si="15"/>
        <v>81</v>
      </c>
      <c r="B223" t="str">
        <f ca="1">TEXT(DATE(YEAR(Invoer!$A$5),1,1)+INT((ROWS(B$2:B223)-1)/3),"jjjjmmdd")</f>
        <v>19400314</v>
      </c>
      <c r="C223" s="35" t="str">
        <f>INDEX(Data,2,2+MOD(ROWS(C$2:C223)-1,3))</f>
        <v>19.45</v>
      </c>
      <c r="D223" s="23">
        <f t="shared" ca="1" si="16"/>
        <v>749</v>
      </c>
      <c r="E223" s="40">
        <f t="shared" ca="1" si="17"/>
        <v>0</v>
      </c>
      <c r="F223" s="23">
        <f t="shared" ca="1" si="18"/>
        <v>25</v>
      </c>
      <c r="G223" s="40">
        <f t="shared" ca="1" si="19"/>
        <v>0</v>
      </c>
    </row>
    <row r="224" spans="1:7" x14ac:dyDescent="0.25">
      <c r="A224" s="17">
        <f t="shared" si="15"/>
        <v>81</v>
      </c>
      <c r="B224" t="str">
        <f ca="1">TEXT(DATE(YEAR(Invoer!$A$5),1,1)+INT((ROWS(B$2:B224)-1)/3),"jjjjmmdd")</f>
        <v>19400315</v>
      </c>
      <c r="C224" s="35" t="str">
        <f>INDEX(Data,2,2+MOD(ROWS(C$2:C224)-1,3))</f>
        <v>07.45</v>
      </c>
      <c r="D224" s="23">
        <f t="shared" ca="1" si="16"/>
        <v>749</v>
      </c>
      <c r="E224" s="40">
        <f t="shared" ca="1" si="17"/>
        <v>0</v>
      </c>
      <c r="F224" s="23">
        <f t="shared" ca="1" si="18"/>
        <v>24</v>
      </c>
      <c r="G224" s="40">
        <f t="shared" ca="1" si="19"/>
        <v>0</v>
      </c>
    </row>
    <row r="225" spans="1:7" x14ac:dyDescent="0.25">
      <c r="A225" s="17">
        <f t="shared" si="15"/>
        <v>81</v>
      </c>
      <c r="B225" t="str">
        <f ca="1">TEXT(DATE(YEAR(Invoer!$A$5),1,1)+INT((ROWS(B$2:B225)-1)/3),"jjjjmmdd")</f>
        <v>19400315</v>
      </c>
      <c r="C225" s="35" t="str">
        <f>INDEX(Data,2,2+MOD(ROWS(C$2:C225)-1,3))</f>
        <v>13.45</v>
      </c>
      <c r="D225" s="23">
        <f t="shared" ca="1" si="16"/>
        <v>749</v>
      </c>
      <c r="E225" s="40">
        <f t="shared" ca="1" si="17"/>
        <v>0</v>
      </c>
      <c r="F225" s="23">
        <f t="shared" ca="1" si="18"/>
        <v>26</v>
      </c>
      <c r="G225" s="40">
        <f t="shared" ca="1" si="19"/>
        <v>0</v>
      </c>
    </row>
    <row r="226" spans="1:7" x14ac:dyDescent="0.25">
      <c r="A226" s="17">
        <f t="shared" si="15"/>
        <v>81</v>
      </c>
      <c r="B226" t="str">
        <f ca="1">TEXT(DATE(YEAR(Invoer!$A$5),1,1)+INT((ROWS(B$2:B226)-1)/3),"jjjjmmdd")</f>
        <v>19400315</v>
      </c>
      <c r="C226" s="35" t="str">
        <f>INDEX(Data,2,2+MOD(ROWS(C$2:C226)-1,3))</f>
        <v>19.45</v>
      </c>
      <c r="D226" s="23">
        <f t="shared" ca="1" si="16"/>
        <v>749</v>
      </c>
      <c r="E226" s="40">
        <f t="shared" ca="1" si="17"/>
        <v>0</v>
      </c>
      <c r="F226" s="23">
        <f t="shared" ca="1" si="18"/>
        <v>25</v>
      </c>
      <c r="G226" s="40">
        <f t="shared" ca="1" si="19"/>
        <v>0</v>
      </c>
    </row>
    <row r="227" spans="1:7" x14ac:dyDescent="0.25">
      <c r="A227" s="17">
        <f t="shared" si="15"/>
        <v>81</v>
      </c>
      <c r="B227" t="str">
        <f ca="1">TEXT(DATE(YEAR(Invoer!$A$5),1,1)+INT((ROWS(B$2:B227)-1)/3),"jjjjmmdd")</f>
        <v>19400316</v>
      </c>
      <c r="C227" s="35" t="str">
        <f>INDEX(Data,2,2+MOD(ROWS(C$2:C227)-1,3))</f>
        <v>07.45</v>
      </c>
      <c r="D227" s="23">
        <f t="shared" ca="1" si="16"/>
        <v>749</v>
      </c>
      <c r="E227" s="40">
        <f t="shared" ca="1" si="17"/>
        <v>0</v>
      </c>
      <c r="F227" s="23">
        <f t="shared" ca="1" si="18"/>
        <v>24</v>
      </c>
      <c r="G227" s="40">
        <f t="shared" ca="1" si="19"/>
        <v>0</v>
      </c>
    </row>
    <row r="228" spans="1:7" x14ac:dyDescent="0.25">
      <c r="A228" s="17">
        <f t="shared" si="15"/>
        <v>81</v>
      </c>
      <c r="B228" t="str">
        <f ca="1">TEXT(DATE(YEAR(Invoer!$A$5),1,1)+INT((ROWS(B$2:B228)-1)/3),"jjjjmmdd")</f>
        <v>19400316</v>
      </c>
      <c r="C228" s="35" t="str">
        <f>INDEX(Data,2,2+MOD(ROWS(C$2:C228)-1,3))</f>
        <v>13.45</v>
      </c>
      <c r="D228" s="23">
        <f t="shared" ca="1" si="16"/>
        <v>749</v>
      </c>
      <c r="E228" s="40">
        <f t="shared" ca="1" si="17"/>
        <v>0</v>
      </c>
      <c r="F228" s="23">
        <f t="shared" ca="1" si="18"/>
        <v>26</v>
      </c>
      <c r="G228" s="40">
        <f t="shared" ca="1" si="19"/>
        <v>0</v>
      </c>
    </row>
    <row r="229" spans="1:7" x14ac:dyDescent="0.25">
      <c r="A229" s="17">
        <f t="shared" si="15"/>
        <v>81</v>
      </c>
      <c r="B229" t="str">
        <f ca="1">TEXT(DATE(YEAR(Invoer!$A$5),1,1)+INT((ROWS(B$2:B229)-1)/3),"jjjjmmdd")</f>
        <v>19400316</v>
      </c>
      <c r="C229" s="35" t="str">
        <f>INDEX(Data,2,2+MOD(ROWS(C$2:C229)-1,3))</f>
        <v>19.45</v>
      </c>
      <c r="D229" s="23">
        <f t="shared" ca="1" si="16"/>
        <v>750</v>
      </c>
      <c r="E229" s="40">
        <f t="shared" ca="1" si="17"/>
        <v>0</v>
      </c>
      <c r="F229" s="23">
        <f t="shared" ca="1" si="18"/>
        <v>25</v>
      </c>
      <c r="G229" s="40">
        <f t="shared" ca="1" si="19"/>
        <v>0</v>
      </c>
    </row>
    <row r="230" spans="1:7" x14ac:dyDescent="0.25">
      <c r="A230" s="17">
        <f t="shared" si="15"/>
        <v>81</v>
      </c>
      <c r="B230" t="str">
        <f ca="1">TEXT(DATE(YEAR(Invoer!$A$5),1,1)+INT((ROWS(B$2:B230)-1)/3),"jjjjmmdd")</f>
        <v>19400317</v>
      </c>
      <c r="C230" s="35" t="str">
        <f>INDEX(Data,2,2+MOD(ROWS(C$2:C230)-1,3))</f>
        <v>07.45</v>
      </c>
      <c r="D230" s="23">
        <f t="shared" ca="1" si="16"/>
        <v>751</v>
      </c>
      <c r="E230" s="40">
        <f t="shared" ca="1" si="17"/>
        <v>0</v>
      </c>
      <c r="F230" s="23">
        <f t="shared" ca="1" si="18"/>
        <v>24</v>
      </c>
      <c r="G230" s="40">
        <f t="shared" ca="1" si="19"/>
        <v>0</v>
      </c>
    </row>
    <row r="231" spans="1:7" x14ac:dyDescent="0.25">
      <c r="A231" s="17">
        <f t="shared" si="15"/>
        <v>81</v>
      </c>
      <c r="B231" t="str">
        <f ca="1">TEXT(DATE(YEAR(Invoer!$A$5),1,1)+INT((ROWS(B$2:B231)-1)/3),"jjjjmmdd")</f>
        <v>19400317</v>
      </c>
      <c r="C231" s="35" t="str">
        <f>INDEX(Data,2,2+MOD(ROWS(C$2:C231)-1,3))</f>
        <v>13.45</v>
      </c>
      <c r="D231" s="23">
        <f t="shared" ca="1" si="16"/>
        <v>750</v>
      </c>
      <c r="E231" s="40">
        <f t="shared" ca="1" si="17"/>
        <v>0</v>
      </c>
      <c r="F231" s="23">
        <f t="shared" ca="1" si="18"/>
        <v>26</v>
      </c>
      <c r="G231" s="40">
        <f t="shared" ca="1" si="19"/>
        <v>0</v>
      </c>
    </row>
    <row r="232" spans="1:7" x14ac:dyDescent="0.25">
      <c r="A232" s="17">
        <f t="shared" si="15"/>
        <v>81</v>
      </c>
      <c r="B232" t="str">
        <f ca="1">TEXT(DATE(YEAR(Invoer!$A$5),1,1)+INT((ROWS(B$2:B232)-1)/3),"jjjjmmdd")</f>
        <v>19400317</v>
      </c>
      <c r="C232" s="35" t="str">
        <f>INDEX(Data,2,2+MOD(ROWS(C$2:C232)-1,3))</f>
        <v>19.45</v>
      </c>
      <c r="D232" s="23">
        <f t="shared" ca="1" si="16"/>
        <v>751</v>
      </c>
      <c r="E232" s="40">
        <f t="shared" ca="1" si="17"/>
        <v>0</v>
      </c>
      <c r="F232" s="23">
        <f t="shared" ca="1" si="18"/>
        <v>25</v>
      </c>
      <c r="G232" s="40">
        <f t="shared" ca="1" si="19"/>
        <v>0</v>
      </c>
    </row>
    <row r="233" spans="1:7" x14ac:dyDescent="0.25">
      <c r="A233" s="17">
        <f t="shared" si="15"/>
        <v>81</v>
      </c>
      <c r="B233" t="str">
        <f ca="1">TEXT(DATE(YEAR(Invoer!$A$5),1,1)+INT((ROWS(B$2:B233)-1)/3),"jjjjmmdd")</f>
        <v>19400318</v>
      </c>
      <c r="C233" s="35" t="str">
        <f>INDEX(Data,2,2+MOD(ROWS(C$2:C233)-1,3))</f>
        <v>07.45</v>
      </c>
      <c r="D233" s="23">
        <f t="shared" ca="1" si="16"/>
        <v>751</v>
      </c>
      <c r="E233" s="40">
        <f t="shared" ca="1" si="17"/>
        <v>0</v>
      </c>
      <c r="F233" s="23">
        <f t="shared" ca="1" si="18"/>
        <v>25</v>
      </c>
      <c r="G233" s="40">
        <f t="shared" ca="1" si="19"/>
        <v>0</v>
      </c>
    </row>
    <row r="234" spans="1:7" x14ac:dyDescent="0.25">
      <c r="A234" s="17">
        <f t="shared" si="15"/>
        <v>81</v>
      </c>
      <c r="B234" t="str">
        <f ca="1">TEXT(DATE(YEAR(Invoer!$A$5),1,1)+INT((ROWS(B$2:B234)-1)/3),"jjjjmmdd")</f>
        <v>19400318</v>
      </c>
      <c r="C234" s="35" t="str">
        <f>INDEX(Data,2,2+MOD(ROWS(C$2:C234)-1,3))</f>
        <v>13.45</v>
      </c>
      <c r="D234" s="23">
        <f t="shared" ca="1" si="16"/>
        <v>749</v>
      </c>
      <c r="E234" s="40">
        <f t="shared" ca="1" si="17"/>
        <v>0</v>
      </c>
      <c r="F234" s="23">
        <f t="shared" ca="1" si="18"/>
        <v>27</v>
      </c>
      <c r="G234" s="40">
        <f t="shared" ca="1" si="19"/>
        <v>0</v>
      </c>
    </row>
    <row r="235" spans="1:7" x14ac:dyDescent="0.25">
      <c r="A235" s="17">
        <f t="shared" si="15"/>
        <v>81</v>
      </c>
      <c r="B235" t="str">
        <f ca="1">TEXT(DATE(YEAR(Invoer!$A$5),1,1)+INT((ROWS(B$2:B235)-1)/3),"jjjjmmdd")</f>
        <v>19400318</v>
      </c>
      <c r="C235" s="35" t="str">
        <f>INDEX(Data,2,2+MOD(ROWS(C$2:C235)-1,3))</f>
        <v>19.45</v>
      </c>
      <c r="D235" s="23">
        <f t="shared" ca="1" si="16"/>
        <v>749</v>
      </c>
      <c r="E235" s="40">
        <f t="shared" ca="1" si="17"/>
        <v>0</v>
      </c>
      <c r="F235" s="23">
        <f t="shared" ca="1" si="18"/>
        <v>26</v>
      </c>
      <c r="G235" s="40">
        <f t="shared" ca="1" si="19"/>
        <v>0</v>
      </c>
    </row>
    <row r="236" spans="1:7" x14ac:dyDescent="0.25">
      <c r="A236" s="17">
        <f t="shared" si="15"/>
        <v>81</v>
      </c>
      <c r="B236" t="str">
        <f ca="1">TEXT(DATE(YEAR(Invoer!$A$5),1,1)+INT((ROWS(B$2:B236)-1)/3),"jjjjmmdd")</f>
        <v>19400319</v>
      </c>
      <c r="C236" s="35" t="str">
        <f>INDEX(Data,2,2+MOD(ROWS(C$2:C236)-1,3))</f>
        <v>07.45</v>
      </c>
      <c r="D236" s="23">
        <f t="shared" ca="1" si="16"/>
        <v>749</v>
      </c>
      <c r="E236" s="40">
        <f t="shared" ca="1" si="17"/>
        <v>0</v>
      </c>
      <c r="F236" s="23">
        <f t="shared" ca="1" si="18"/>
        <v>26</v>
      </c>
      <c r="G236" s="40">
        <f t="shared" ca="1" si="19"/>
        <v>0</v>
      </c>
    </row>
    <row r="237" spans="1:7" x14ac:dyDescent="0.25">
      <c r="A237" s="17">
        <f t="shared" si="15"/>
        <v>81</v>
      </c>
      <c r="B237" t="str">
        <f ca="1">TEXT(DATE(YEAR(Invoer!$A$5),1,1)+INT((ROWS(B$2:B237)-1)/3),"jjjjmmdd")</f>
        <v>19400319</v>
      </c>
      <c r="C237" s="35" t="str">
        <f>INDEX(Data,2,2+MOD(ROWS(C$2:C237)-1,3))</f>
        <v>13.45</v>
      </c>
      <c r="D237" s="23">
        <f t="shared" ca="1" si="16"/>
        <v>748</v>
      </c>
      <c r="E237" s="40">
        <f t="shared" ca="1" si="17"/>
        <v>0</v>
      </c>
      <c r="F237" s="23">
        <f t="shared" ca="1" si="18"/>
        <v>28</v>
      </c>
      <c r="G237" s="40">
        <f t="shared" ca="1" si="19"/>
        <v>0</v>
      </c>
    </row>
    <row r="238" spans="1:7" x14ac:dyDescent="0.25">
      <c r="A238" s="17">
        <f t="shared" si="15"/>
        <v>81</v>
      </c>
      <c r="B238" t="str">
        <f ca="1">TEXT(DATE(YEAR(Invoer!$A$5),1,1)+INT((ROWS(B$2:B238)-1)/3),"jjjjmmdd")</f>
        <v>19400319</v>
      </c>
      <c r="C238" s="35" t="str">
        <f>INDEX(Data,2,2+MOD(ROWS(C$2:C238)-1,3))</f>
        <v>19.45</v>
      </c>
      <c r="D238" s="23">
        <f t="shared" ca="1" si="16"/>
        <v>748</v>
      </c>
      <c r="E238" s="40">
        <f t="shared" ca="1" si="17"/>
        <v>0</v>
      </c>
      <c r="F238" s="23">
        <f t="shared" ca="1" si="18"/>
        <v>27</v>
      </c>
      <c r="G238" s="40">
        <f t="shared" ca="1" si="19"/>
        <v>0</v>
      </c>
    </row>
    <row r="239" spans="1:7" x14ac:dyDescent="0.25">
      <c r="A239" s="17">
        <f t="shared" si="15"/>
        <v>81</v>
      </c>
      <c r="B239" t="str">
        <f ca="1">TEXT(DATE(YEAR(Invoer!$A$5),1,1)+INT((ROWS(B$2:B239)-1)/3),"jjjjmmdd")</f>
        <v>19400320</v>
      </c>
      <c r="C239" s="35" t="str">
        <f>INDEX(Data,2,2+MOD(ROWS(C$2:C239)-1,3))</f>
        <v>07.45</v>
      </c>
      <c r="D239" s="23">
        <f t="shared" ca="1" si="16"/>
        <v>749</v>
      </c>
      <c r="E239" s="40">
        <f t="shared" ca="1" si="17"/>
        <v>0</v>
      </c>
      <c r="F239" s="23">
        <f t="shared" ca="1" si="18"/>
        <v>26</v>
      </c>
      <c r="G239" s="40">
        <f t="shared" ca="1" si="19"/>
        <v>0</v>
      </c>
    </row>
    <row r="240" spans="1:7" x14ac:dyDescent="0.25">
      <c r="A240" s="17">
        <f t="shared" si="15"/>
        <v>81</v>
      </c>
      <c r="B240" t="str">
        <f ca="1">TEXT(DATE(YEAR(Invoer!$A$5),1,1)+INT((ROWS(B$2:B240)-1)/3),"jjjjmmdd")</f>
        <v>19400320</v>
      </c>
      <c r="C240" s="35" t="str">
        <f>INDEX(Data,2,2+MOD(ROWS(C$2:C240)-1,3))</f>
        <v>13.45</v>
      </c>
      <c r="D240" s="23">
        <f t="shared" ca="1" si="16"/>
        <v>748</v>
      </c>
      <c r="E240" s="40">
        <f t="shared" ca="1" si="17"/>
        <v>0</v>
      </c>
      <c r="F240" s="23">
        <f t="shared" ca="1" si="18"/>
        <v>28</v>
      </c>
      <c r="G240" s="40">
        <f t="shared" ca="1" si="19"/>
        <v>0</v>
      </c>
    </row>
    <row r="241" spans="1:7" x14ac:dyDescent="0.25">
      <c r="A241" s="17">
        <f t="shared" si="15"/>
        <v>81</v>
      </c>
      <c r="B241" t="str">
        <f ca="1">TEXT(DATE(YEAR(Invoer!$A$5),1,1)+INT((ROWS(B$2:B241)-1)/3),"jjjjmmdd")</f>
        <v>19400320</v>
      </c>
      <c r="C241" s="35" t="str">
        <f>INDEX(Data,2,2+MOD(ROWS(C$2:C241)-1,3))</f>
        <v>19.45</v>
      </c>
      <c r="D241" s="23">
        <f t="shared" ca="1" si="16"/>
        <v>749</v>
      </c>
      <c r="E241" s="40">
        <f t="shared" ca="1" si="17"/>
        <v>0</v>
      </c>
      <c r="F241" s="23">
        <f t="shared" ca="1" si="18"/>
        <v>27</v>
      </c>
      <c r="G241" s="40">
        <f t="shared" ca="1" si="19"/>
        <v>0</v>
      </c>
    </row>
    <row r="242" spans="1:7" x14ac:dyDescent="0.25">
      <c r="A242" s="17">
        <f t="shared" si="15"/>
        <v>81</v>
      </c>
      <c r="B242" t="str">
        <f ca="1">TEXT(DATE(YEAR(Invoer!$A$5),1,1)+INT((ROWS(B$2:B242)-1)/3),"jjjjmmdd")</f>
        <v>19400321</v>
      </c>
      <c r="C242" s="35" t="str">
        <f>INDEX(Data,2,2+MOD(ROWS(C$2:C242)-1,3))</f>
        <v>07.45</v>
      </c>
      <c r="D242" s="23">
        <f t="shared" ca="1" si="16"/>
        <v>749</v>
      </c>
      <c r="E242" s="40">
        <f t="shared" ca="1" si="17"/>
        <v>0</v>
      </c>
      <c r="F242" s="23">
        <f t="shared" ca="1" si="18"/>
        <v>26</v>
      </c>
      <c r="G242" s="40">
        <f t="shared" ca="1" si="19"/>
        <v>0</v>
      </c>
    </row>
    <row r="243" spans="1:7" x14ac:dyDescent="0.25">
      <c r="A243" s="17">
        <f t="shared" si="15"/>
        <v>81</v>
      </c>
      <c r="B243" t="str">
        <f ca="1">TEXT(DATE(YEAR(Invoer!$A$5),1,1)+INT((ROWS(B$2:B243)-1)/3),"jjjjmmdd")</f>
        <v>19400321</v>
      </c>
      <c r="C243" s="35" t="str">
        <f>INDEX(Data,2,2+MOD(ROWS(C$2:C243)-1,3))</f>
        <v>13.45</v>
      </c>
      <c r="D243" s="23">
        <f t="shared" ca="1" si="16"/>
        <v>749</v>
      </c>
      <c r="E243" s="40">
        <f t="shared" ca="1" si="17"/>
        <v>0</v>
      </c>
      <c r="F243" s="23">
        <f t="shared" ca="1" si="18"/>
        <v>29</v>
      </c>
      <c r="G243" s="40">
        <f t="shared" ca="1" si="19"/>
        <v>0</v>
      </c>
    </row>
    <row r="244" spans="1:7" x14ac:dyDescent="0.25">
      <c r="A244" s="17">
        <f t="shared" si="15"/>
        <v>81</v>
      </c>
      <c r="B244" t="str">
        <f ca="1">TEXT(DATE(YEAR(Invoer!$A$5),1,1)+INT((ROWS(B$2:B244)-1)/3),"jjjjmmdd")</f>
        <v>19400321</v>
      </c>
      <c r="C244" s="35" t="str">
        <f>INDEX(Data,2,2+MOD(ROWS(C$2:C244)-1,3))</f>
        <v>19.45</v>
      </c>
      <c r="D244" s="23">
        <f t="shared" ca="1" si="16"/>
        <v>749</v>
      </c>
      <c r="E244" s="40">
        <f t="shared" ca="1" si="17"/>
        <v>0</v>
      </c>
      <c r="F244" s="23">
        <f t="shared" ca="1" si="18"/>
        <v>28</v>
      </c>
      <c r="G244" s="40">
        <f t="shared" ca="1" si="19"/>
        <v>0</v>
      </c>
    </row>
    <row r="245" spans="1:7" x14ac:dyDescent="0.25">
      <c r="A245" s="17">
        <f t="shared" si="15"/>
        <v>81</v>
      </c>
      <c r="B245" t="str">
        <f ca="1">TEXT(DATE(YEAR(Invoer!$A$5),1,1)+INT((ROWS(B$2:B245)-1)/3),"jjjjmmdd")</f>
        <v>19400322</v>
      </c>
      <c r="C245" s="35" t="str">
        <f>INDEX(Data,2,2+MOD(ROWS(C$2:C245)-1,3))</f>
        <v>07.45</v>
      </c>
      <c r="D245" s="23">
        <f t="shared" ca="1" si="16"/>
        <v>749</v>
      </c>
      <c r="E245" s="40">
        <f t="shared" ca="1" si="17"/>
        <v>0</v>
      </c>
      <c r="F245" s="23">
        <f t="shared" ca="1" si="18"/>
        <v>26</v>
      </c>
      <c r="G245" s="40">
        <f t="shared" ca="1" si="19"/>
        <v>0</v>
      </c>
    </row>
    <row r="246" spans="1:7" x14ac:dyDescent="0.25">
      <c r="A246" s="17">
        <f t="shared" si="15"/>
        <v>81</v>
      </c>
      <c r="B246" t="str">
        <f ca="1">TEXT(DATE(YEAR(Invoer!$A$5),1,1)+INT((ROWS(B$2:B246)-1)/3),"jjjjmmdd")</f>
        <v>19400322</v>
      </c>
      <c r="C246" s="35" t="str">
        <f>INDEX(Data,2,2+MOD(ROWS(C$2:C246)-1,3))</f>
        <v>13.45</v>
      </c>
      <c r="D246" s="23">
        <f t="shared" ca="1" si="16"/>
        <v>748</v>
      </c>
      <c r="E246" s="40">
        <f t="shared" ca="1" si="17"/>
        <v>0</v>
      </c>
      <c r="F246" s="23">
        <f t="shared" ca="1" si="18"/>
        <v>28</v>
      </c>
      <c r="G246" s="40">
        <f t="shared" ca="1" si="19"/>
        <v>0</v>
      </c>
    </row>
    <row r="247" spans="1:7" x14ac:dyDescent="0.25">
      <c r="A247" s="17">
        <f t="shared" si="15"/>
        <v>81</v>
      </c>
      <c r="B247" t="str">
        <f ca="1">TEXT(DATE(YEAR(Invoer!$A$5),1,1)+INT((ROWS(B$2:B247)-1)/3),"jjjjmmdd")</f>
        <v>19400322</v>
      </c>
      <c r="C247" s="35" t="str">
        <f>INDEX(Data,2,2+MOD(ROWS(C$2:C247)-1,3))</f>
        <v>19.45</v>
      </c>
      <c r="D247" s="23">
        <f t="shared" ca="1" si="16"/>
        <v>748</v>
      </c>
      <c r="E247" s="40">
        <f t="shared" ca="1" si="17"/>
        <v>0</v>
      </c>
      <c r="F247" s="23">
        <f t="shared" ca="1" si="18"/>
        <v>26</v>
      </c>
      <c r="G247" s="40">
        <f t="shared" ca="1" si="19"/>
        <v>0</v>
      </c>
    </row>
    <row r="248" spans="1:7" x14ac:dyDescent="0.25">
      <c r="A248" s="17">
        <f t="shared" si="15"/>
        <v>81</v>
      </c>
      <c r="B248" t="str">
        <f ca="1">TEXT(DATE(YEAR(Invoer!$A$5),1,1)+INT((ROWS(B$2:B248)-1)/3),"jjjjmmdd")</f>
        <v>19400323</v>
      </c>
      <c r="C248" s="35" t="str">
        <f>INDEX(Data,2,2+MOD(ROWS(C$2:C248)-1,3))</f>
        <v>07.45</v>
      </c>
      <c r="D248" s="23">
        <f t="shared" ca="1" si="16"/>
        <v>748</v>
      </c>
      <c r="E248" s="40">
        <f t="shared" ca="1" si="17"/>
        <v>0</v>
      </c>
      <c r="F248" s="23">
        <f t="shared" ca="1" si="18"/>
        <v>26</v>
      </c>
      <c r="G248" s="40">
        <f t="shared" ca="1" si="19"/>
        <v>0</v>
      </c>
    </row>
    <row r="249" spans="1:7" x14ac:dyDescent="0.25">
      <c r="A249" s="17">
        <f t="shared" si="15"/>
        <v>81</v>
      </c>
      <c r="B249" t="str">
        <f ca="1">TEXT(DATE(YEAR(Invoer!$A$5),1,1)+INT((ROWS(B$2:B249)-1)/3),"jjjjmmdd")</f>
        <v>19400323</v>
      </c>
      <c r="C249" s="35" t="str">
        <f>INDEX(Data,2,2+MOD(ROWS(C$2:C249)-1,3))</f>
        <v>13.45</v>
      </c>
      <c r="D249" s="23">
        <f t="shared" ca="1" si="16"/>
        <v>748</v>
      </c>
      <c r="E249" s="40">
        <f t="shared" ca="1" si="17"/>
        <v>0</v>
      </c>
      <c r="F249" s="23">
        <f t="shared" ca="1" si="18"/>
        <v>29</v>
      </c>
      <c r="G249" s="40">
        <f t="shared" ca="1" si="19"/>
        <v>0</v>
      </c>
    </row>
    <row r="250" spans="1:7" x14ac:dyDescent="0.25">
      <c r="A250" s="17">
        <f t="shared" si="15"/>
        <v>81</v>
      </c>
      <c r="B250" t="str">
        <f ca="1">TEXT(DATE(YEAR(Invoer!$A$5),1,1)+INT((ROWS(B$2:B250)-1)/3),"jjjjmmdd")</f>
        <v>19400323</v>
      </c>
      <c r="C250" s="35" t="str">
        <f>INDEX(Data,2,2+MOD(ROWS(C$2:C250)-1,3))</f>
        <v>19.45</v>
      </c>
      <c r="D250" s="23">
        <f t="shared" ca="1" si="16"/>
        <v>748</v>
      </c>
      <c r="E250" s="40">
        <f t="shared" ca="1" si="17"/>
        <v>0</v>
      </c>
      <c r="F250" s="23">
        <f t="shared" ca="1" si="18"/>
        <v>28</v>
      </c>
      <c r="G250" s="40">
        <f t="shared" ca="1" si="19"/>
        <v>0</v>
      </c>
    </row>
    <row r="251" spans="1:7" x14ac:dyDescent="0.25">
      <c r="A251" s="17">
        <f t="shared" si="15"/>
        <v>81</v>
      </c>
      <c r="B251" t="str">
        <f ca="1">TEXT(DATE(YEAR(Invoer!$A$5),1,1)+INT((ROWS(B$2:B251)-1)/3),"jjjjmmdd")</f>
        <v>19400324</v>
      </c>
      <c r="C251" s="35" t="str">
        <f>INDEX(Data,2,2+MOD(ROWS(C$2:C251)-1,3))</f>
        <v>07.45</v>
      </c>
      <c r="D251" s="23">
        <f t="shared" ca="1" si="16"/>
        <v>749</v>
      </c>
      <c r="E251" s="40">
        <f t="shared" ca="1" si="17"/>
        <v>0</v>
      </c>
      <c r="F251" s="23">
        <f t="shared" ca="1" si="18"/>
        <v>26</v>
      </c>
      <c r="G251" s="40">
        <f t="shared" ca="1" si="19"/>
        <v>0</v>
      </c>
    </row>
    <row r="252" spans="1:7" x14ac:dyDescent="0.25">
      <c r="A252" s="17">
        <f t="shared" si="15"/>
        <v>81</v>
      </c>
      <c r="B252" t="str">
        <f ca="1">TEXT(DATE(YEAR(Invoer!$A$5),1,1)+INT((ROWS(B$2:B252)-1)/3),"jjjjmmdd")</f>
        <v>19400324</v>
      </c>
      <c r="C252" s="35" t="str">
        <f>INDEX(Data,2,2+MOD(ROWS(C$2:C252)-1,3))</f>
        <v>13.45</v>
      </c>
      <c r="D252" s="23">
        <f t="shared" ca="1" si="16"/>
        <v>749</v>
      </c>
      <c r="E252" s="40">
        <f t="shared" ca="1" si="17"/>
        <v>0</v>
      </c>
      <c r="F252" s="23">
        <f t="shared" ca="1" si="18"/>
        <v>29</v>
      </c>
      <c r="G252" s="40">
        <f t="shared" ca="1" si="19"/>
        <v>0</v>
      </c>
    </row>
    <row r="253" spans="1:7" x14ac:dyDescent="0.25">
      <c r="A253" s="17">
        <f t="shared" si="15"/>
        <v>81</v>
      </c>
      <c r="B253" t="str">
        <f ca="1">TEXT(DATE(YEAR(Invoer!$A$5),1,1)+INT((ROWS(B$2:B253)-1)/3),"jjjjmmdd")</f>
        <v>19400324</v>
      </c>
      <c r="C253" s="35" t="str">
        <f>INDEX(Data,2,2+MOD(ROWS(C$2:C253)-1,3))</f>
        <v>19.45</v>
      </c>
      <c r="D253" s="23">
        <f t="shared" ca="1" si="16"/>
        <v>748</v>
      </c>
      <c r="E253" s="40">
        <f t="shared" ca="1" si="17"/>
        <v>0</v>
      </c>
      <c r="F253" s="23">
        <f t="shared" ca="1" si="18"/>
        <v>28</v>
      </c>
      <c r="G253" s="40">
        <f t="shared" ca="1" si="19"/>
        <v>0</v>
      </c>
    </row>
    <row r="254" spans="1:7" x14ac:dyDescent="0.25">
      <c r="A254" s="17">
        <f t="shared" si="15"/>
        <v>81</v>
      </c>
      <c r="B254" t="str">
        <f ca="1">TEXT(DATE(YEAR(Invoer!$A$5),1,1)+INT((ROWS(B$2:B254)-1)/3),"jjjjmmdd")</f>
        <v>19400325</v>
      </c>
      <c r="C254" s="35" t="str">
        <f>INDEX(Data,2,2+MOD(ROWS(C$2:C254)-1,3))</f>
        <v>07.45</v>
      </c>
      <c r="D254" s="23">
        <f t="shared" ca="1" si="16"/>
        <v>749</v>
      </c>
      <c r="E254" s="40">
        <f t="shared" ca="1" si="17"/>
        <v>0</v>
      </c>
      <c r="F254" s="23">
        <f t="shared" ca="1" si="18"/>
        <v>26</v>
      </c>
      <c r="G254" s="40">
        <f t="shared" ca="1" si="19"/>
        <v>0</v>
      </c>
    </row>
    <row r="255" spans="1:7" x14ac:dyDescent="0.25">
      <c r="A255" s="17">
        <f t="shared" si="15"/>
        <v>81</v>
      </c>
      <c r="B255" t="str">
        <f ca="1">TEXT(DATE(YEAR(Invoer!$A$5),1,1)+INT((ROWS(B$2:B255)-1)/3),"jjjjmmdd")</f>
        <v>19400325</v>
      </c>
      <c r="C255" s="35" t="str">
        <f>INDEX(Data,2,2+MOD(ROWS(C$2:C255)-1,3))</f>
        <v>13.45</v>
      </c>
      <c r="D255" s="23">
        <f t="shared" ca="1" si="16"/>
        <v>749</v>
      </c>
      <c r="E255" s="40">
        <f t="shared" ca="1" si="17"/>
        <v>0</v>
      </c>
      <c r="F255" s="23">
        <f t="shared" ca="1" si="18"/>
        <v>29</v>
      </c>
      <c r="G255" s="40">
        <f t="shared" ca="1" si="19"/>
        <v>0</v>
      </c>
    </row>
    <row r="256" spans="1:7" x14ac:dyDescent="0.25">
      <c r="A256" s="17">
        <f t="shared" si="15"/>
        <v>81</v>
      </c>
      <c r="B256" t="str">
        <f ca="1">TEXT(DATE(YEAR(Invoer!$A$5),1,1)+INT((ROWS(B$2:B256)-1)/3),"jjjjmmdd")</f>
        <v>19400325</v>
      </c>
      <c r="C256" s="35" t="str">
        <f>INDEX(Data,2,2+MOD(ROWS(C$2:C256)-1,3))</f>
        <v>19.45</v>
      </c>
      <c r="D256" s="23">
        <f t="shared" ca="1" si="16"/>
        <v>749</v>
      </c>
      <c r="E256" s="40">
        <f t="shared" ca="1" si="17"/>
        <v>0</v>
      </c>
      <c r="F256" s="23">
        <f t="shared" ca="1" si="18"/>
        <v>28</v>
      </c>
      <c r="G256" s="40">
        <f t="shared" ca="1" si="19"/>
        <v>0</v>
      </c>
    </row>
    <row r="257" spans="1:7" x14ac:dyDescent="0.25">
      <c r="A257" s="17">
        <f t="shared" si="15"/>
        <v>81</v>
      </c>
      <c r="B257" t="str">
        <f ca="1">TEXT(DATE(YEAR(Invoer!$A$5),1,1)+INT((ROWS(B$2:B257)-1)/3),"jjjjmmdd")</f>
        <v>19400326</v>
      </c>
      <c r="C257" s="35" t="str">
        <f>INDEX(Data,2,2+MOD(ROWS(C$2:C257)-1,3))</f>
        <v>07.45</v>
      </c>
      <c r="D257" s="23">
        <f t="shared" ca="1" si="16"/>
        <v>749</v>
      </c>
      <c r="E257" s="40">
        <f t="shared" ca="1" si="17"/>
        <v>0</v>
      </c>
      <c r="F257" s="23">
        <f t="shared" ca="1" si="18"/>
        <v>26</v>
      </c>
      <c r="G257" s="40">
        <f t="shared" ca="1" si="19"/>
        <v>0</v>
      </c>
    </row>
    <row r="258" spans="1:7" x14ac:dyDescent="0.25">
      <c r="A258" s="17">
        <f t="shared" ref="A258:A321" si="20">INDEX(Stations,2,1)</f>
        <v>81</v>
      </c>
      <c r="B258" t="str">
        <f ca="1">TEXT(DATE(YEAR(Invoer!$A$5),1,1)+INT((ROWS(B$2:B258)-1)/3),"jjjjmmdd")</f>
        <v>19400326</v>
      </c>
      <c r="C258" s="35" t="str">
        <f>INDEX(Data,2,2+MOD(ROWS(C$2:C258)-1,3))</f>
        <v>13.45</v>
      </c>
      <c r="D258" s="23">
        <f t="shared" ref="D258:D321" ca="1" si="21">IF(OR(ISBLANK(VLOOKUP(DATEVALUE(LEFT($B258,4)&amp;"-"&amp;MID($B258,5,2)&amp;"-"&amp;RIGHT($B258,2)),Data,MATCH(LEFT(VLOOKUP(D$1,Parameters,2,FALSE()),4)&amp;"*",OFFSET(Data,0,0,1),0)+MATCH($C258,OFFSET(Data,1,0,1),0)-2,FALSE())),ISTEXT(VLOOKUP(DATEVALUE(LEFT($B258,4)&amp;"-"&amp;MID($B258,5,2)&amp;"-"&amp;RIGHT($B258,2)),Data,MATCH(LEFT(VLOOKUP(D$1,Parameters,2,FALSE()),4)&amp;"*",OFFSET(Data,0,0,1),0)+MATCH($C258,OFFSET(Data,1,0,1),0)-2,FALSE()))),"—",VLOOKUP(DATEVALUE(LEFT($B258,4)&amp;"-"&amp;MID($B258,5,2)&amp;"-"&amp;RIGHT($B258,2)),Data,MATCH(LEFT(VLOOKUP(D$1,Parameters,2,FALSE()),4)&amp;"*",OFFSET(Data,0,0,1),0)+MATCH($C258,OFFSET(Data,1,0,1),0)-2,FALSE()))</f>
        <v>750</v>
      </c>
      <c r="E258" s="40">
        <f t="shared" ref="E258:E321" ca="1" si="22">IF(OR(ISBLANK(VLOOKUP(DATEVALUE(LEFT($B258,4)&amp;"-"&amp;MID($B258,5,2)&amp;"-"&amp;RIGHT($B258,2)),Data,MATCH(LEFT(VLOOKUP(MID(E$1,2,LEN(E$1)-1),Parameters,2,FALSE()),4)&amp;"*",OFFSET(Data,0,0,1),0)+MATCH($C258,OFFSET(Data,1,0,1),0)-2,FALSE())),ISTEXT(VLOOKUP(DATEVALUE(LEFT($B258,4)&amp;"-"&amp;MID($B258,5,2)&amp;"-"&amp;RIGHT($B258,2)),Data,MATCH(LEFT(VLOOKUP(MID(E$1,2,LEN(E$1)-1),Parameters,2,FALSE()),4)&amp;"*",OFFSET(Data,0,0,1),0)+MATCH($C258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E$1,2,LEN(E$1)-1),Parameters,2,FALSE()),4)&amp;"*",OFFSET(Catalogus,0,0,1),0)+MATCH($C258,OFFSET(Catalogus,1,0,1),0)-2,FALSE())))</f>
        <v>0</v>
      </c>
      <c r="F258" s="23">
        <f t="shared" ref="F258:F321" ca="1" si="23">IF(OR(ISBLANK(VLOOKUP(DATEVALUE(LEFT($B258,4)&amp;"-"&amp;MID($B258,5,2)&amp;"-"&amp;RIGHT($B258,2)),Data,MATCH(LEFT(VLOOKUP(F$1,Parameters,2,FALSE()),4)&amp;"*",OFFSET(Data,0,0,1),0)+MATCH($C258,OFFSET(Data,1,0,1),0)-2,FALSE())),ISTEXT(VLOOKUP(DATEVALUE(LEFT($B258,4)&amp;"-"&amp;MID($B258,5,2)&amp;"-"&amp;RIGHT($B258,2)),Data,MATCH(LEFT(VLOOKUP(F$1,Parameters,2,FALSE()),4)&amp;"*",OFFSET(Data,0,0,1),0)+MATCH($C258,OFFSET(Data,1,0,1),0)-2,FALSE()))),"—",VLOOKUP(DATEVALUE(LEFT($B258,4)&amp;"-"&amp;MID($B258,5,2)&amp;"-"&amp;RIGHT($B258,2)),Data,MATCH(LEFT(VLOOKUP(F$1,Parameters,2,FALSE()),4)&amp;"*",OFFSET(Data,0,0,1),0)+MATCH($C258,OFFSET(Data,1,0,1),0)-2,FALSE()))</f>
        <v>29</v>
      </c>
      <c r="G258" s="40">
        <f t="shared" ref="G258:G321" ca="1" si="24">IF(OR(ISBLANK(VLOOKUP(DATEVALUE(LEFT($B258,4)&amp;"-"&amp;MID($B258,5,2)&amp;"-"&amp;RIGHT($B258,2)),Data,MATCH(LEFT(VLOOKUP(MID(G$1,2,LEN(G$1)-1),Parameters,2,FALSE()),4)&amp;"*",OFFSET(Data,0,0,1),0)+MATCH($C258,OFFSET(Data,1,0,1),0)-2,FALSE())),ISTEXT(VLOOKUP(DATEVALUE(LEFT($B258,4)&amp;"-"&amp;MID($B258,5,2)&amp;"-"&amp;RIGHT($B258,2)),Data,MATCH(LEFT(VLOOKUP(MID(G$1,2,LEN(G$1)-1),Parameters,2,FALSE()),4)&amp;"*",OFFSET(Data,0,0,1),0)+MATCH($C258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G$1,2,LEN(G$1)-1),Parameters,2,FALSE()),4)&amp;"*",OFFSET(Catalogus,0,0,1),0)+MATCH($C258,OFFSET(Catalogus,1,0,1),0)-2,FALSE())))</f>
        <v>0</v>
      </c>
    </row>
    <row r="259" spans="1:7" x14ac:dyDescent="0.25">
      <c r="A259" s="17">
        <f t="shared" si="20"/>
        <v>81</v>
      </c>
      <c r="B259" t="str">
        <f ca="1">TEXT(DATE(YEAR(Invoer!$A$5),1,1)+INT((ROWS(B$2:B259)-1)/3),"jjjjmmdd")</f>
        <v>19400326</v>
      </c>
      <c r="C259" s="35" t="str">
        <f>INDEX(Data,2,2+MOD(ROWS(C$2:C259)-1,3))</f>
        <v>19.45</v>
      </c>
      <c r="D259" s="23">
        <f t="shared" ca="1" si="21"/>
        <v>750</v>
      </c>
      <c r="E259" s="40">
        <f t="shared" ca="1" si="22"/>
        <v>0</v>
      </c>
      <c r="F259" s="23">
        <f t="shared" ca="1" si="23"/>
        <v>27</v>
      </c>
      <c r="G259" s="40">
        <f t="shared" ca="1" si="24"/>
        <v>0</v>
      </c>
    </row>
    <row r="260" spans="1:7" x14ac:dyDescent="0.25">
      <c r="A260" s="17">
        <f t="shared" si="20"/>
        <v>81</v>
      </c>
      <c r="B260" t="str">
        <f ca="1">TEXT(DATE(YEAR(Invoer!$A$5),1,1)+INT((ROWS(B$2:B260)-1)/3),"jjjjmmdd")</f>
        <v>19400327</v>
      </c>
      <c r="C260" s="35" t="str">
        <f>INDEX(Data,2,2+MOD(ROWS(C$2:C260)-1,3))</f>
        <v>07.45</v>
      </c>
      <c r="D260" s="23">
        <f t="shared" ca="1" si="21"/>
        <v>751</v>
      </c>
      <c r="E260" s="40">
        <f t="shared" ca="1" si="22"/>
        <v>0</v>
      </c>
      <c r="F260" s="23">
        <f t="shared" ca="1" si="23"/>
        <v>25</v>
      </c>
      <c r="G260" s="40">
        <f t="shared" ca="1" si="24"/>
        <v>0</v>
      </c>
    </row>
    <row r="261" spans="1:7" x14ac:dyDescent="0.25">
      <c r="A261" s="17">
        <f t="shared" si="20"/>
        <v>81</v>
      </c>
      <c r="B261" t="str">
        <f ca="1">TEXT(DATE(YEAR(Invoer!$A$5),1,1)+INT((ROWS(B$2:B261)-1)/3),"jjjjmmdd")</f>
        <v>19400327</v>
      </c>
      <c r="C261" s="35" t="str">
        <f>INDEX(Data,2,2+MOD(ROWS(C$2:C261)-1,3))</f>
        <v>13.45</v>
      </c>
      <c r="D261" s="23">
        <f t="shared" ca="1" si="21"/>
        <v>750</v>
      </c>
      <c r="E261" s="40">
        <f t="shared" ca="1" si="22"/>
        <v>0</v>
      </c>
      <c r="F261" s="23">
        <f t="shared" ca="1" si="23"/>
        <v>28</v>
      </c>
      <c r="G261" s="40">
        <f t="shared" ca="1" si="24"/>
        <v>0</v>
      </c>
    </row>
    <row r="262" spans="1:7" x14ac:dyDescent="0.25">
      <c r="A262" s="17">
        <f t="shared" si="20"/>
        <v>81</v>
      </c>
      <c r="B262" t="str">
        <f ca="1">TEXT(DATE(YEAR(Invoer!$A$5),1,1)+INT((ROWS(B$2:B262)-1)/3),"jjjjmmdd")</f>
        <v>19400327</v>
      </c>
      <c r="C262" s="35" t="str">
        <f>INDEX(Data,2,2+MOD(ROWS(C$2:C262)-1,3))</f>
        <v>19.45</v>
      </c>
      <c r="D262" s="23">
        <f t="shared" ca="1" si="21"/>
        <v>750</v>
      </c>
      <c r="E262" s="40">
        <f t="shared" ca="1" si="22"/>
        <v>0</v>
      </c>
      <c r="F262" s="23">
        <f t="shared" ca="1" si="23"/>
        <v>27</v>
      </c>
      <c r="G262" s="40">
        <f t="shared" ca="1" si="24"/>
        <v>0</v>
      </c>
    </row>
    <row r="263" spans="1:7" x14ac:dyDescent="0.25">
      <c r="A263" s="17">
        <f t="shared" si="20"/>
        <v>81</v>
      </c>
      <c r="B263" t="str">
        <f ca="1">TEXT(DATE(YEAR(Invoer!$A$5),1,1)+INT((ROWS(B$2:B263)-1)/3),"jjjjmmdd")</f>
        <v>19400328</v>
      </c>
      <c r="C263" s="35" t="str">
        <f>INDEX(Data,2,2+MOD(ROWS(C$2:C263)-1,3))</f>
        <v>07.45</v>
      </c>
      <c r="D263" s="23">
        <f t="shared" ca="1" si="21"/>
        <v>751</v>
      </c>
      <c r="E263" s="40">
        <f t="shared" ca="1" si="22"/>
        <v>0</v>
      </c>
      <c r="F263" s="23">
        <f t="shared" ca="1" si="23"/>
        <v>26</v>
      </c>
      <c r="G263" s="40">
        <f t="shared" ca="1" si="24"/>
        <v>0</v>
      </c>
    </row>
    <row r="264" spans="1:7" x14ac:dyDescent="0.25">
      <c r="A264" s="17">
        <f t="shared" si="20"/>
        <v>81</v>
      </c>
      <c r="B264" t="str">
        <f ca="1">TEXT(DATE(YEAR(Invoer!$A$5),1,1)+INT((ROWS(B$2:B264)-1)/3),"jjjjmmdd")</f>
        <v>19400328</v>
      </c>
      <c r="C264" s="35" t="str">
        <f>INDEX(Data,2,2+MOD(ROWS(C$2:C264)-1,3))</f>
        <v>13.45</v>
      </c>
      <c r="D264" s="23">
        <f t="shared" ca="1" si="21"/>
        <v>750</v>
      </c>
      <c r="E264" s="40">
        <f t="shared" ca="1" si="22"/>
        <v>0</v>
      </c>
      <c r="F264" s="23">
        <f t="shared" ca="1" si="23"/>
        <v>29</v>
      </c>
      <c r="G264" s="40">
        <f t="shared" ca="1" si="24"/>
        <v>0</v>
      </c>
    </row>
    <row r="265" spans="1:7" x14ac:dyDescent="0.25">
      <c r="A265" s="17">
        <f t="shared" si="20"/>
        <v>81</v>
      </c>
      <c r="B265" t="str">
        <f ca="1">TEXT(DATE(YEAR(Invoer!$A$5),1,1)+INT((ROWS(B$2:B265)-1)/3),"jjjjmmdd")</f>
        <v>19400328</v>
      </c>
      <c r="C265" s="35" t="str">
        <f>INDEX(Data,2,2+MOD(ROWS(C$2:C265)-1,3))</f>
        <v>19.45</v>
      </c>
      <c r="D265" s="23">
        <f t="shared" ca="1" si="21"/>
        <v>750</v>
      </c>
      <c r="E265" s="40">
        <f t="shared" ca="1" si="22"/>
        <v>0</v>
      </c>
      <c r="F265" s="23">
        <f t="shared" ca="1" si="23"/>
        <v>27</v>
      </c>
      <c r="G265" s="40">
        <f t="shared" ca="1" si="24"/>
        <v>0</v>
      </c>
    </row>
    <row r="266" spans="1:7" x14ac:dyDescent="0.25">
      <c r="A266" s="17">
        <f t="shared" si="20"/>
        <v>81</v>
      </c>
      <c r="B266" t="str">
        <f ca="1">TEXT(DATE(YEAR(Invoer!$A$5),1,1)+INT((ROWS(B$2:B266)-1)/3),"jjjjmmdd")</f>
        <v>19400329</v>
      </c>
      <c r="C266" s="35" t="str">
        <f>INDEX(Data,2,2+MOD(ROWS(C$2:C266)-1,3))</f>
        <v>07.45</v>
      </c>
      <c r="D266" s="23">
        <f t="shared" ca="1" si="21"/>
        <v>750</v>
      </c>
      <c r="E266" s="40">
        <f t="shared" ca="1" si="22"/>
        <v>0</v>
      </c>
      <c r="F266" s="23">
        <f t="shared" ca="1" si="23"/>
        <v>26</v>
      </c>
      <c r="G266" s="40">
        <f t="shared" ca="1" si="24"/>
        <v>0</v>
      </c>
    </row>
    <row r="267" spans="1:7" x14ac:dyDescent="0.25">
      <c r="A267" s="17">
        <f t="shared" si="20"/>
        <v>81</v>
      </c>
      <c r="B267" t="str">
        <f ca="1">TEXT(DATE(YEAR(Invoer!$A$5),1,1)+INT((ROWS(B$2:B267)-1)/3),"jjjjmmdd")</f>
        <v>19400329</v>
      </c>
      <c r="C267" s="35" t="str">
        <f>INDEX(Data,2,2+MOD(ROWS(C$2:C267)-1,3))</f>
        <v>13.45</v>
      </c>
      <c r="D267" s="23">
        <f t="shared" ca="1" si="21"/>
        <v>750</v>
      </c>
      <c r="E267" s="40">
        <f t="shared" ca="1" si="22"/>
        <v>0</v>
      </c>
      <c r="F267" s="23">
        <f t="shared" ca="1" si="23"/>
        <v>29</v>
      </c>
      <c r="G267" s="40">
        <f t="shared" ca="1" si="24"/>
        <v>0</v>
      </c>
    </row>
    <row r="268" spans="1:7" x14ac:dyDescent="0.25">
      <c r="A268" s="17">
        <f t="shared" si="20"/>
        <v>81</v>
      </c>
      <c r="B268" t="str">
        <f ca="1">TEXT(DATE(YEAR(Invoer!$A$5),1,1)+INT((ROWS(B$2:B268)-1)/3),"jjjjmmdd")</f>
        <v>19400329</v>
      </c>
      <c r="C268" s="35" t="str">
        <f>INDEX(Data,2,2+MOD(ROWS(C$2:C268)-1,3))</f>
        <v>19.45</v>
      </c>
      <c r="D268" s="23">
        <f t="shared" ca="1" si="21"/>
        <v>750</v>
      </c>
      <c r="E268" s="40">
        <f t="shared" ca="1" si="22"/>
        <v>0</v>
      </c>
      <c r="F268" s="23">
        <f t="shared" ca="1" si="23"/>
        <v>27</v>
      </c>
      <c r="G268" s="40">
        <f t="shared" ca="1" si="24"/>
        <v>0</v>
      </c>
    </row>
    <row r="269" spans="1:7" x14ac:dyDescent="0.25">
      <c r="A269" s="17">
        <f t="shared" si="20"/>
        <v>81</v>
      </c>
      <c r="B269" t="str">
        <f ca="1">TEXT(DATE(YEAR(Invoer!$A$5),1,1)+INT((ROWS(B$2:B269)-1)/3),"jjjjmmdd")</f>
        <v>19400330</v>
      </c>
      <c r="C269" s="35" t="str">
        <f>INDEX(Data,2,2+MOD(ROWS(C$2:C269)-1,3))</f>
        <v>07.45</v>
      </c>
      <c r="D269" s="23">
        <f t="shared" ca="1" si="21"/>
        <v>750</v>
      </c>
      <c r="E269" s="40">
        <f t="shared" ca="1" si="22"/>
        <v>0</v>
      </c>
      <c r="F269" s="23">
        <f t="shared" ca="1" si="23"/>
        <v>26</v>
      </c>
      <c r="G269" s="40">
        <f t="shared" ca="1" si="24"/>
        <v>0</v>
      </c>
    </row>
    <row r="270" spans="1:7" x14ac:dyDescent="0.25">
      <c r="A270" s="17">
        <f t="shared" si="20"/>
        <v>81</v>
      </c>
      <c r="B270" t="str">
        <f ca="1">TEXT(DATE(YEAR(Invoer!$A$5),1,1)+INT((ROWS(B$2:B270)-1)/3),"jjjjmmdd")</f>
        <v>19400330</v>
      </c>
      <c r="C270" s="35" t="str">
        <f>INDEX(Data,2,2+MOD(ROWS(C$2:C270)-1,3))</f>
        <v>13.45</v>
      </c>
      <c r="D270" s="23">
        <f t="shared" ca="1" si="21"/>
        <v>750</v>
      </c>
      <c r="E270" s="40">
        <f t="shared" ca="1" si="22"/>
        <v>0</v>
      </c>
      <c r="F270" s="23">
        <f t="shared" ca="1" si="23"/>
        <v>29</v>
      </c>
      <c r="G270" s="40">
        <f t="shared" ca="1" si="24"/>
        <v>0</v>
      </c>
    </row>
    <row r="271" spans="1:7" x14ac:dyDescent="0.25">
      <c r="A271" s="17">
        <f t="shared" si="20"/>
        <v>81</v>
      </c>
      <c r="B271" t="str">
        <f ca="1">TEXT(DATE(YEAR(Invoer!$A$5),1,1)+INT((ROWS(B$2:B271)-1)/3),"jjjjmmdd")</f>
        <v>19400330</v>
      </c>
      <c r="C271" s="35" t="str">
        <f>INDEX(Data,2,2+MOD(ROWS(C$2:C271)-1,3))</f>
        <v>19.45</v>
      </c>
      <c r="D271" s="23">
        <f t="shared" ca="1" si="21"/>
        <v>750</v>
      </c>
      <c r="E271" s="40">
        <f t="shared" ca="1" si="22"/>
        <v>0</v>
      </c>
      <c r="F271" s="23">
        <f t="shared" ca="1" si="23"/>
        <v>26</v>
      </c>
      <c r="G271" s="40">
        <f t="shared" ca="1" si="24"/>
        <v>0</v>
      </c>
    </row>
    <row r="272" spans="1:7" x14ac:dyDescent="0.25">
      <c r="A272" s="17">
        <f t="shared" si="20"/>
        <v>81</v>
      </c>
      <c r="B272" t="str">
        <f ca="1">TEXT(DATE(YEAR(Invoer!$A$5),1,1)+INT((ROWS(B$2:B272)-1)/3),"jjjjmmdd")</f>
        <v>19400331</v>
      </c>
      <c r="C272" s="35" t="str">
        <f>INDEX(Data,2,2+MOD(ROWS(C$2:C272)-1,3))</f>
        <v>07.45</v>
      </c>
      <c r="D272" s="23">
        <f t="shared" ca="1" si="21"/>
        <v>750</v>
      </c>
      <c r="E272" s="40">
        <f t="shared" ca="1" si="22"/>
        <v>0</v>
      </c>
      <c r="F272" s="23">
        <f t="shared" ca="1" si="23"/>
        <v>26</v>
      </c>
      <c r="G272" s="40">
        <f t="shared" ca="1" si="24"/>
        <v>0</v>
      </c>
    </row>
    <row r="273" spans="1:7" x14ac:dyDescent="0.25">
      <c r="A273" s="17">
        <f t="shared" si="20"/>
        <v>81</v>
      </c>
      <c r="B273" t="str">
        <f ca="1">TEXT(DATE(YEAR(Invoer!$A$5),1,1)+INT((ROWS(B$2:B273)-1)/3),"jjjjmmdd")</f>
        <v>19400331</v>
      </c>
      <c r="C273" s="35" t="str">
        <f>INDEX(Data,2,2+MOD(ROWS(C$2:C273)-1,3))</f>
        <v>13.45</v>
      </c>
      <c r="D273" s="23">
        <f t="shared" ca="1" si="21"/>
        <v>751</v>
      </c>
      <c r="E273" s="40">
        <f t="shared" ca="1" si="22"/>
        <v>0</v>
      </c>
      <c r="F273" s="23">
        <f t="shared" ca="1" si="23"/>
        <v>28</v>
      </c>
      <c r="G273" s="40">
        <f t="shared" ca="1" si="24"/>
        <v>0</v>
      </c>
    </row>
    <row r="274" spans="1:7" x14ac:dyDescent="0.25">
      <c r="A274" s="17">
        <f t="shared" si="20"/>
        <v>81</v>
      </c>
      <c r="B274" t="str">
        <f ca="1">TEXT(DATE(YEAR(Invoer!$A$5),1,1)+INT((ROWS(B$2:B274)-1)/3),"jjjjmmdd")</f>
        <v>19400331</v>
      </c>
      <c r="C274" s="35" t="str">
        <f>INDEX(Data,2,2+MOD(ROWS(C$2:C274)-1,3))</f>
        <v>19.45</v>
      </c>
      <c r="D274" s="23">
        <f t="shared" ca="1" si="21"/>
        <v>750</v>
      </c>
      <c r="E274" s="40">
        <f t="shared" ca="1" si="22"/>
        <v>0</v>
      </c>
      <c r="F274" s="23">
        <f t="shared" ca="1" si="23"/>
        <v>26</v>
      </c>
      <c r="G274" s="40">
        <f t="shared" ca="1" si="24"/>
        <v>0</v>
      </c>
    </row>
    <row r="275" spans="1:7" x14ac:dyDescent="0.25">
      <c r="A275" s="17">
        <f t="shared" si="20"/>
        <v>81</v>
      </c>
      <c r="B275" t="str">
        <f ca="1">TEXT(DATE(YEAR(Invoer!$A$5),1,1)+INT((ROWS(B$2:B275)-1)/3),"jjjjmmdd")</f>
        <v>19400401</v>
      </c>
      <c r="C275" s="35" t="str">
        <f>INDEX(Data,2,2+MOD(ROWS(C$2:C275)-1,3))</f>
        <v>07.45</v>
      </c>
      <c r="D275" s="23">
        <f t="shared" ca="1" si="21"/>
        <v>750</v>
      </c>
      <c r="E275" s="40">
        <f t="shared" ca="1" si="22"/>
        <v>0</v>
      </c>
      <c r="F275" s="23">
        <f t="shared" ca="1" si="23"/>
        <v>26</v>
      </c>
      <c r="G275" s="40">
        <f t="shared" ca="1" si="24"/>
        <v>0</v>
      </c>
    </row>
    <row r="276" spans="1:7" x14ac:dyDescent="0.25">
      <c r="A276" s="17">
        <f t="shared" si="20"/>
        <v>81</v>
      </c>
      <c r="B276" t="str">
        <f ca="1">TEXT(DATE(YEAR(Invoer!$A$5),1,1)+INT((ROWS(B$2:B276)-1)/3),"jjjjmmdd")</f>
        <v>19400401</v>
      </c>
      <c r="C276" s="35" t="str">
        <f>INDEX(Data,2,2+MOD(ROWS(C$2:C276)-1,3))</f>
        <v>13.45</v>
      </c>
      <c r="D276" s="23">
        <f t="shared" ca="1" si="21"/>
        <v>750</v>
      </c>
      <c r="E276" s="40">
        <f t="shared" ca="1" si="22"/>
        <v>0</v>
      </c>
      <c r="F276" s="23">
        <f t="shared" ca="1" si="23"/>
        <v>29</v>
      </c>
      <c r="G276" s="40">
        <f t="shared" ca="1" si="24"/>
        <v>0</v>
      </c>
    </row>
    <row r="277" spans="1:7" x14ac:dyDescent="0.25">
      <c r="A277" s="17">
        <f t="shared" si="20"/>
        <v>81</v>
      </c>
      <c r="B277" t="str">
        <f ca="1">TEXT(DATE(YEAR(Invoer!$A$5),1,1)+INT((ROWS(B$2:B277)-1)/3),"jjjjmmdd")</f>
        <v>19400401</v>
      </c>
      <c r="C277" s="35" t="str">
        <f>INDEX(Data,2,2+MOD(ROWS(C$2:C277)-1,3))</f>
        <v>19.45</v>
      </c>
      <c r="D277" s="23">
        <f t="shared" ca="1" si="21"/>
        <v>750</v>
      </c>
      <c r="E277" s="40">
        <f t="shared" ca="1" si="22"/>
        <v>0</v>
      </c>
      <c r="F277" s="23">
        <f t="shared" ca="1" si="23"/>
        <v>27</v>
      </c>
      <c r="G277" s="40">
        <f t="shared" ca="1" si="24"/>
        <v>0</v>
      </c>
    </row>
    <row r="278" spans="1:7" x14ac:dyDescent="0.25">
      <c r="A278" s="17">
        <f t="shared" si="20"/>
        <v>81</v>
      </c>
      <c r="B278" t="str">
        <f ca="1">TEXT(DATE(YEAR(Invoer!$A$5),1,1)+INT((ROWS(B$2:B278)-1)/3),"jjjjmmdd")</f>
        <v>19400402</v>
      </c>
      <c r="C278" s="35" t="str">
        <f>INDEX(Data,2,2+MOD(ROWS(C$2:C278)-1,3))</f>
        <v>07.45</v>
      </c>
      <c r="D278" s="23">
        <f t="shared" ca="1" si="21"/>
        <v>750</v>
      </c>
      <c r="E278" s="40">
        <f t="shared" ca="1" si="22"/>
        <v>0</v>
      </c>
      <c r="F278" s="23">
        <f t="shared" ca="1" si="23"/>
        <v>26</v>
      </c>
      <c r="G278" s="40">
        <f t="shared" ca="1" si="24"/>
        <v>0</v>
      </c>
    </row>
    <row r="279" spans="1:7" x14ac:dyDescent="0.25">
      <c r="A279" s="17">
        <f t="shared" si="20"/>
        <v>81</v>
      </c>
      <c r="B279" t="str">
        <f ca="1">TEXT(DATE(YEAR(Invoer!$A$5),1,1)+INT((ROWS(B$2:B279)-1)/3),"jjjjmmdd")</f>
        <v>19400402</v>
      </c>
      <c r="C279" s="35" t="str">
        <f>INDEX(Data,2,2+MOD(ROWS(C$2:C279)-1,3))</f>
        <v>13.45</v>
      </c>
      <c r="D279" s="23">
        <f t="shared" ca="1" si="21"/>
        <v>750</v>
      </c>
      <c r="E279" s="40">
        <f t="shared" ca="1" si="22"/>
        <v>0</v>
      </c>
      <c r="F279" s="23">
        <f t="shared" ca="1" si="23"/>
        <v>29</v>
      </c>
      <c r="G279" s="40">
        <f t="shared" ca="1" si="24"/>
        <v>0</v>
      </c>
    </row>
    <row r="280" spans="1:7" x14ac:dyDescent="0.25">
      <c r="A280" s="17">
        <f t="shared" si="20"/>
        <v>81</v>
      </c>
      <c r="B280" t="str">
        <f ca="1">TEXT(DATE(YEAR(Invoer!$A$5),1,1)+INT((ROWS(B$2:B280)-1)/3),"jjjjmmdd")</f>
        <v>19400402</v>
      </c>
      <c r="C280" s="35" t="str">
        <f>INDEX(Data,2,2+MOD(ROWS(C$2:C280)-1,3))</f>
        <v>19.45</v>
      </c>
      <c r="D280" s="23">
        <f t="shared" ca="1" si="21"/>
        <v>750</v>
      </c>
      <c r="E280" s="40">
        <f t="shared" ca="1" si="22"/>
        <v>0</v>
      </c>
      <c r="F280" s="23">
        <f t="shared" ca="1" si="23"/>
        <v>27</v>
      </c>
      <c r="G280" s="40">
        <f t="shared" ca="1" si="24"/>
        <v>0</v>
      </c>
    </row>
    <row r="281" spans="1:7" x14ac:dyDescent="0.25">
      <c r="A281" s="17">
        <f t="shared" si="20"/>
        <v>81</v>
      </c>
      <c r="B281" t="str">
        <f ca="1">TEXT(DATE(YEAR(Invoer!$A$5),1,1)+INT((ROWS(B$2:B281)-1)/3),"jjjjmmdd")</f>
        <v>19400403</v>
      </c>
      <c r="C281" s="35" t="str">
        <f>INDEX(Data,2,2+MOD(ROWS(C$2:C281)-1,3))</f>
        <v>07.45</v>
      </c>
      <c r="D281" s="23">
        <f t="shared" ca="1" si="21"/>
        <v>750</v>
      </c>
      <c r="E281" s="40">
        <f t="shared" ca="1" si="22"/>
        <v>0</v>
      </c>
      <c r="F281" s="23">
        <f t="shared" ca="1" si="23"/>
        <v>26</v>
      </c>
      <c r="G281" s="40">
        <f t="shared" ca="1" si="24"/>
        <v>0</v>
      </c>
    </row>
    <row r="282" spans="1:7" x14ac:dyDescent="0.25">
      <c r="A282" s="17">
        <f t="shared" si="20"/>
        <v>81</v>
      </c>
      <c r="B282" t="str">
        <f ca="1">TEXT(DATE(YEAR(Invoer!$A$5),1,1)+INT((ROWS(B$2:B282)-1)/3),"jjjjmmdd")</f>
        <v>19400403</v>
      </c>
      <c r="C282" s="35" t="str">
        <f>INDEX(Data,2,2+MOD(ROWS(C$2:C282)-1,3))</f>
        <v>13.45</v>
      </c>
      <c r="D282" s="23">
        <f t="shared" ca="1" si="21"/>
        <v>749</v>
      </c>
      <c r="E282" s="40">
        <f t="shared" ca="1" si="22"/>
        <v>0</v>
      </c>
      <c r="F282" s="23">
        <f t="shared" ca="1" si="23"/>
        <v>29</v>
      </c>
      <c r="G282" s="40">
        <f t="shared" ca="1" si="24"/>
        <v>0</v>
      </c>
    </row>
    <row r="283" spans="1:7" x14ac:dyDescent="0.25">
      <c r="A283" s="17">
        <f t="shared" si="20"/>
        <v>81</v>
      </c>
      <c r="B283" t="str">
        <f ca="1">TEXT(DATE(YEAR(Invoer!$A$5),1,1)+INT((ROWS(B$2:B283)-1)/3),"jjjjmmdd")</f>
        <v>19400403</v>
      </c>
      <c r="C283" s="35" t="str">
        <f>INDEX(Data,2,2+MOD(ROWS(C$2:C283)-1,3))</f>
        <v>19.45</v>
      </c>
      <c r="D283" s="23">
        <f t="shared" ca="1" si="21"/>
        <v>749</v>
      </c>
      <c r="E283" s="40">
        <f t="shared" ca="1" si="22"/>
        <v>0</v>
      </c>
      <c r="F283" s="23">
        <f t="shared" ca="1" si="23"/>
        <v>27</v>
      </c>
      <c r="G283" s="40">
        <f t="shared" ca="1" si="24"/>
        <v>0</v>
      </c>
    </row>
    <row r="284" spans="1:7" x14ac:dyDescent="0.25">
      <c r="A284" s="17">
        <f t="shared" si="20"/>
        <v>81</v>
      </c>
      <c r="B284" t="str">
        <f ca="1">TEXT(DATE(YEAR(Invoer!$A$5),1,1)+INT((ROWS(B$2:B284)-1)/3),"jjjjmmdd")</f>
        <v>19400404</v>
      </c>
      <c r="C284" s="35" t="str">
        <f>INDEX(Data,2,2+MOD(ROWS(C$2:C284)-1,3))</f>
        <v>07.45</v>
      </c>
      <c r="D284" s="23">
        <f t="shared" ca="1" si="21"/>
        <v>750</v>
      </c>
      <c r="E284" s="40">
        <f t="shared" ca="1" si="22"/>
        <v>0</v>
      </c>
      <c r="F284" s="23">
        <f t="shared" ca="1" si="23"/>
        <v>26</v>
      </c>
      <c r="G284" s="40">
        <f t="shared" ca="1" si="24"/>
        <v>0</v>
      </c>
    </row>
    <row r="285" spans="1:7" x14ac:dyDescent="0.25">
      <c r="A285" s="17">
        <f t="shared" si="20"/>
        <v>81</v>
      </c>
      <c r="B285" t="str">
        <f ca="1">TEXT(DATE(YEAR(Invoer!$A$5),1,1)+INT((ROWS(B$2:B285)-1)/3),"jjjjmmdd")</f>
        <v>19400404</v>
      </c>
      <c r="C285" s="35" t="str">
        <f>INDEX(Data,2,2+MOD(ROWS(C$2:C285)-1,3))</f>
        <v>13.45</v>
      </c>
      <c r="D285" s="23">
        <f t="shared" ca="1" si="21"/>
        <v>750</v>
      </c>
      <c r="E285" s="40">
        <f t="shared" ca="1" si="22"/>
        <v>0</v>
      </c>
      <c r="F285" s="23">
        <f t="shared" ca="1" si="23"/>
        <v>29</v>
      </c>
      <c r="G285" s="40">
        <f t="shared" ca="1" si="24"/>
        <v>0</v>
      </c>
    </row>
    <row r="286" spans="1:7" x14ac:dyDescent="0.25">
      <c r="A286" s="17">
        <f t="shared" si="20"/>
        <v>81</v>
      </c>
      <c r="B286" t="str">
        <f ca="1">TEXT(DATE(YEAR(Invoer!$A$5),1,1)+INT((ROWS(B$2:B286)-1)/3),"jjjjmmdd")</f>
        <v>19400404</v>
      </c>
      <c r="C286" s="35" t="str">
        <f>INDEX(Data,2,2+MOD(ROWS(C$2:C286)-1,3))</f>
        <v>19.45</v>
      </c>
      <c r="D286" s="23">
        <f t="shared" ca="1" si="21"/>
        <v>750</v>
      </c>
      <c r="E286" s="40">
        <f t="shared" ca="1" si="22"/>
        <v>0</v>
      </c>
      <c r="F286" s="23">
        <f t="shared" ca="1" si="23"/>
        <v>27</v>
      </c>
      <c r="G286" s="40">
        <f t="shared" ca="1" si="24"/>
        <v>0</v>
      </c>
    </row>
    <row r="287" spans="1:7" x14ac:dyDescent="0.25">
      <c r="A287" s="17">
        <f t="shared" si="20"/>
        <v>81</v>
      </c>
      <c r="B287" t="str">
        <f ca="1">TEXT(DATE(YEAR(Invoer!$A$5),1,1)+INT((ROWS(B$2:B287)-1)/3),"jjjjmmdd")</f>
        <v>19400405</v>
      </c>
      <c r="C287" s="35" t="str">
        <f>INDEX(Data,2,2+MOD(ROWS(C$2:C287)-1,3))</f>
        <v>07.45</v>
      </c>
      <c r="D287" s="23">
        <f t="shared" ca="1" si="21"/>
        <v>751</v>
      </c>
      <c r="E287" s="40">
        <f t="shared" ca="1" si="22"/>
        <v>0</v>
      </c>
      <c r="F287" s="23">
        <f t="shared" ca="1" si="23"/>
        <v>26</v>
      </c>
      <c r="G287" s="40">
        <f t="shared" ca="1" si="24"/>
        <v>0</v>
      </c>
    </row>
    <row r="288" spans="1:7" x14ac:dyDescent="0.25">
      <c r="A288" s="17">
        <f t="shared" si="20"/>
        <v>81</v>
      </c>
      <c r="B288" t="str">
        <f ca="1">TEXT(DATE(YEAR(Invoer!$A$5),1,1)+INT((ROWS(B$2:B288)-1)/3),"jjjjmmdd")</f>
        <v>19400405</v>
      </c>
      <c r="C288" s="35" t="str">
        <f>INDEX(Data,2,2+MOD(ROWS(C$2:C288)-1,3))</f>
        <v>13.45</v>
      </c>
      <c r="D288" s="23">
        <f t="shared" ca="1" si="21"/>
        <v>751</v>
      </c>
      <c r="E288" s="40">
        <f t="shared" ca="1" si="22"/>
        <v>0</v>
      </c>
      <c r="F288" s="23">
        <f t="shared" ca="1" si="23"/>
        <v>29</v>
      </c>
      <c r="G288" s="40">
        <f t="shared" ca="1" si="24"/>
        <v>0</v>
      </c>
    </row>
    <row r="289" spans="1:7" x14ac:dyDescent="0.25">
      <c r="A289" s="17">
        <f t="shared" si="20"/>
        <v>81</v>
      </c>
      <c r="B289" t="str">
        <f ca="1">TEXT(DATE(YEAR(Invoer!$A$5),1,1)+INT((ROWS(B$2:B289)-1)/3),"jjjjmmdd")</f>
        <v>19400405</v>
      </c>
      <c r="C289" s="35" t="str">
        <f>INDEX(Data,2,2+MOD(ROWS(C$2:C289)-1,3))</f>
        <v>19.45</v>
      </c>
      <c r="D289" s="23">
        <f t="shared" ca="1" si="21"/>
        <v>751</v>
      </c>
      <c r="E289" s="40">
        <f t="shared" ca="1" si="22"/>
        <v>0</v>
      </c>
      <c r="F289" s="23">
        <f t="shared" ca="1" si="23"/>
        <v>27</v>
      </c>
      <c r="G289" s="40">
        <f t="shared" ca="1" si="24"/>
        <v>0</v>
      </c>
    </row>
    <row r="290" spans="1:7" x14ac:dyDescent="0.25">
      <c r="A290" s="17">
        <f t="shared" si="20"/>
        <v>81</v>
      </c>
      <c r="B290" t="str">
        <f ca="1">TEXT(DATE(YEAR(Invoer!$A$5),1,1)+INT((ROWS(B$2:B290)-1)/3),"jjjjmmdd")</f>
        <v>19400406</v>
      </c>
      <c r="C290" s="35" t="str">
        <f>INDEX(Data,2,2+MOD(ROWS(C$2:C290)-1,3))</f>
        <v>07.45</v>
      </c>
      <c r="D290" s="23">
        <f t="shared" ca="1" si="21"/>
        <v>750</v>
      </c>
      <c r="E290" s="40">
        <f t="shared" ca="1" si="22"/>
        <v>0</v>
      </c>
      <c r="F290" s="23">
        <f t="shared" ca="1" si="23"/>
        <v>26</v>
      </c>
      <c r="G290" s="40">
        <f t="shared" ca="1" si="24"/>
        <v>0</v>
      </c>
    </row>
    <row r="291" spans="1:7" x14ac:dyDescent="0.25">
      <c r="A291" s="17">
        <f t="shared" si="20"/>
        <v>81</v>
      </c>
      <c r="B291" t="str">
        <f ca="1">TEXT(DATE(YEAR(Invoer!$A$5),1,1)+INT((ROWS(B$2:B291)-1)/3),"jjjjmmdd")</f>
        <v>19400406</v>
      </c>
      <c r="C291" s="35" t="str">
        <f>INDEX(Data,2,2+MOD(ROWS(C$2:C291)-1,3))</f>
        <v>13.45</v>
      </c>
      <c r="D291" s="23">
        <f t="shared" ca="1" si="21"/>
        <v>750</v>
      </c>
      <c r="E291" s="40">
        <f t="shared" ca="1" si="22"/>
        <v>0</v>
      </c>
      <c r="F291" s="23">
        <f t="shared" ca="1" si="23"/>
        <v>29</v>
      </c>
      <c r="G291" s="40">
        <f t="shared" ca="1" si="24"/>
        <v>0</v>
      </c>
    </row>
    <row r="292" spans="1:7" x14ac:dyDescent="0.25">
      <c r="A292" s="17">
        <f t="shared" si="20"/>
        <v>81</v>
      </c>
      <c r="B292" t="str">
        <f ca="1">TEXT(DATE(YEAR(Invoer!$A$5),1,1)+INT((ROWS(B$2:B292)-1)/3),"jjjjmmdd")</f>
        <v>19400406</v>
      </c>
      <c r="C292" s="35" t="str">
        <f>INDEX(Data,2,2+MOD(ROWS(C$2:C292)-1,3))</f>
        <v>19.45</v>
      </c>
      <c r="D292" s="23">
        <f t="shared" ca="1" si="21"/>
        <v>750</v>
      </c>
      <c r="E292" s="40">
        <f t="shared" ca="1" si="22"/>
        <v>0</v>
      </c>
      <c r="F292" s="23">
        <f t="shared" ca="1" si="23"/>
        <v>27</v>
      </c>
      <c r="G292" s="40">
        <f t="shared" ca="1" si="24"/>
        <v>0</v>
      </c>
    </row>
    <row r="293" spans="1:7" x14ac:dyDescent="0.25">
      <c r="A293" s="17">
        <f t="shared" si="20"/>
        <v>81</v>
      </c>
      <c r="B293" t="str">
        <f ca="1">TEXT(DATE(YEAR(Invoer!$A$5),1,1)+INT((ROWS(B$2:B293)-1)/3),"jjjjmmdd")</f>
        <v>19400407</v>
      </c>
      <c r="C293" s="35" t="str">
        <f>INDEX(Data,2,2+MOD(ROWS(C$2:C293)-1,3))</f>
        <v>07.45</v>
      </c>
      <c r="D293" s="23">
        <f t="shared" ca="1" si="21"/>
        <v>750</v>
      </c>
      <c r="E293" s="40">
        <f t="shared" ca="1" si="22"/>
        <v>0</v>
      </c>
      <c r="F293" s="23">
        <f t="shared" ca="1" si="23"/>
        <v>26</v>
      </c>
      <c r="G293" s="40">
        <f t="shared" ca="1" si="24"/>
        <v>0</v>
      </c>
    </row>
    <row r="294" spans="1:7" x14ac:dyDescent="0.25">
      <c r="A294" s="17">
        <f t="shared" si="20"/>
        <v>81</v>
      </c>
      <c r="B294" t="str">
        <f ca="1">TEXT(DATE(YEAR(Invoer!$A$5),1,1)+INT((ROWS(B$2:B294)-1)/3),"jjjjmmdd")</f>
        <v>19400407</v>
      </c>
      <c r="C294" s="35" t="str">
        <f>INDEX(Data,2,2+MOD(ROWS(C$2:C294)-1,3))</f>
        <v>13.45</v>
      </c>
      <c r="D294" s="23">
        <f t="shared" ca="1" si="21"/>
        <v>750</v>
      </c>
      <c r="E294" s="40">
        <f t="shared" ca="1" si="22"/>
        <v>0</v>
      </c>
      <c r="F294" s="23">
        <f t="shared" ca="1" si="23"/>
        <v>29</v>
      </c>
      <c r="G294" s="40">
        <f t="shared" ca="1" si="24"/>
        <v>0</v>
      </c>
    </row>
    <row r="295" spans="1:7" x14ac:dyDescent="0.25">
      <c r="A295" s="17">
        <f t="shared" si="20"/>
        <v>81</v>
      </c>
      <c r="B295" t="str">
        <f ca="1">TEXT(DATE(YEAR(Invoer!$A$5),1,1)+INT((ROWS(B$2:B295)-1)/3),"jjjjmmdd")</f>
        <v>19400407</v>
      </c>
      <c r="C295" s="35" t="str">
        <f>INDEX(Data,2,2+MOD(ROWS(C$2:C295)-1,3))</f>
        <v>19.45</v>
      </c>
      <c r="D295" s="23">
        <f t="shared" ca="1" si="21"/>
        <v>750</v>
      </c>
      <c r="E295" s="40">
        <f t="shared" ca="1" si="22"/>
        <v>0</v>
      </c>
      <c r="F295" s="23">
        <f t="shared" ca="1" si="23"/>
        <v>27</v>
      </c>
      <c r="G295" s="40">
        <f t="shared" ca="1" si="24"/>
        <v>0</v>
      </c>
    </row>
    <row r="296" spans="1:7" x14ac:dyDescent="0.25">
      <c r="A296" s="17">
        <f t="shared" si="20"/>
        <v>81</v>
      </c>
      <c r="B296" t="str">
        <f ca="1">TEXT(DATE(YEAR(Invoer!$A$5),1,1)+INT((ROWS(B$2:B296)-1)/3),"jjjjmmdd")</f>
        <v>19400408</v>
      </c>
      <c r="C296" s="35" t="str">
        <f>INDEX(Data,2,2+MOD(ROWS(C$2:C296)-1,3))</f>
        <v>07.45</v>
      </c>
      <c r="D296" s="23">
        <f t="shared" ca="1" si="21"/>
        <v>750</v>
      </c>
      <c r="E296" s="40">
        <f t="shared" ca="1" si="22"/>
        <v>0</v>
      </c>
      <c r="F296" s="23">
        <f t="shared" ca="1" si="23"/>
        <v>26</v>
      </c>
      <c r="G296" s="40">
        <f t="shared" ca="1" si="24"/>
        <v>0</v>
      </c>
    </row>
    <row r="297" spans="1:7" x14ac:dyDescent="0.25">
      <c r="A297" s="17">
        <f t="shared" si="20"/>
        <v>81</v>
      </c>
      <c r="B297" t="str">
        <f ca="1">TEXT(DATE(YEAR(Invoer!$A$5),1,1)+INT((ROWS(B$2:B297)-1)/3),"jjjjmmdd")</f>
        <v>19400408</v>
      </c>
      <c r="C297" s="35" t="str">
        <f>INDEX(Data,2,2+MOD(ROWS(C$2:C297)-1,3))</f>
        <v>13.45</v>
      </c>
      <c r="D297" s="23">
        <f t="shared" ca="1" si="21"/>
        <v>749</v>
      </c>
      <c r="E297" s="40">
        <f t="shared" ca="1" si="22"/>
        <v>0</v>
      </c>
      <c r="F297" s="23">
        <f t="shared" ca="1" si="23"/>
        <v>29</v>
      </c>
      <c r="G297" s="40">
        <f t="shared" ca="1" si="24"/>
        <v>0</v>
      </c>
    </row>
    <row r="298" spans="1:7" x14ac:dyDescent="0.25">
      <c r="A298" s="17">
        <f t="shared" si="20"/>
        <v>81</v>
      </c>
      <c r="B298" t="str">
        <f ca="1">TEXT(DATE(YEAR(Invoer!$A$5),1,1)+INT((ROWS(B$2:B298)-1)/3),"jjjjmmdd")</f>
        <v>19400408</v>
      </c>
      <c r="C298" s="35" t="str">
        <f>INDEX(Data,2,2+MOD(ROWS(C$2:C298)-1,3))</f>
        <v>19.45</v>
      </c>
      <c r="D298" s="23">
        <f t="shared" ca="1" si="21"/>
        <v>750</v>
      </c>
      <c r="E298" s="40">
        <f t="shared" ca="1" si="22"/>
        <v>0</v>
      </c>
      <c r="F298" s="23">
        <f t="shared" ca="1" si="23"/>
        <v>27</v>
      </c>
      <c r="G298" s="40">
        <f t="shared" ca="1" si="24"/>
        <v>0</v>
      </c>
    </row>
    <row r="299" spans="1:7" x14ac:dyDescent="0.25">
      <c r="A299" s="17">
        <f t="shared" si="20"/>
        <v>81</v>
      </c>
      <c r="B299" t="str">
        <f ca="1">TEXT(DATE(YEAR(Invoer!$A$5),1,1)+INT((ROWS(B$2:B299)-1)/3),"jjjjmmdd")</f>
        <v>19400409</v>
      </c>
      <c r="C299" s="35" t="str">
        <f>INDEX(Data,2,2+MOD(ROWS(C$2:C299)-1,3))</f>
        <v>07.45</v>
      </c>
      <c r="D299" s="23">
        <f t="shared" ca="1" si="21"/>
        <v>750</v>
      </c>
      <c r="E299" s="40">
        <f t="shared" ca="1" si="22"/>
        <v>0</v>
      </c>
      <c r="F299" s="23">
        <f t="shared" ca="1" si="23"/>
        <v>26</v>
      </c>
      <c r="G299" s="40">
        <f t="shared" ca="1" si="24"/>
        <v>0</v>
      </c>
    </row>
    <row r="300" spans="1:7" x14ac:dyDescent="0.25">
      <c r="A300" s="17">
        <f t="shared" si="20"/>
        <v>81</v>
      </c>
      <c r="B300" t="str">
        <f ca="1">TEXT(DATE(YEAR(Invoer!$A$5),1,1)+INT((ROWS(B$2:B300)-1)/3),"jjjjmmdd")</f>
        <v>19400409</v>
      </c>
      <c r="C300" s="35" t="str">
        <f>INDEX(Data,2,2+MOD(ROWS(C$2:C300)-1,3))</f>
        <v>13.45</v>
      </c>
      <c r="D300" s="23">
        <f t="shared" ca="1" si="21"/>
        <v>750</v>
      </c>
      <c r="E300" s="40">
        <f t="shared" ca="1" si="22"/>
        <v>0</v>
      </c>
      <c r="F300" s="23">
        <f t="shared" ca="1" si="23"/>
        <v>28</v>
      </c>
      <c r="G300" s="40">
        <f t="shared" ca="1" si="24"/>
        <v>0</v>
      </c>
    </row>
    <row r="301" spans="1:7" x14ac:dyDescent="0.25">
      <c r="A301" s="17">
        <f t="shared" si="20"/>
        <v>81</v>
      </c>
      <c r="B301" t="str">
        <f ca="1">TEXT(DATE(YEAR(Invoer!$A$5),1,1)+INT((ROWS(B$2:B301)-1)/3),"jjjjmmdd")</f>
        <v>19400409</v>
      </c>
      <c r="C301" s="35" t="str">
        <f>INDEX(Data,2,2+MOD(ROWS(C$2:C301)-1,3))</f>
        <v>19.45</v>
      </c>
      <c r="D301" s="23">
        <f t="shared" ca="1" si="21"/>
        <v>750</v>
      </c>
      <c r="E301" s="40">
        <f t="shared" ca="1" si="22"/>
        <v>0</v>
      </c>
      <c r="F301" s="23">
        <f t="shared" ca="1" si="23"/>
        <v>27</v>
      </c>
      <c r="G301" s="40">
        <f t="shared" ca="1" si="24"/>
        <v>0</v>
      </c>
    </row>
    <row r="302" spans="1:7" x14ac:dyDescent="0.25">
      <c r="A302" s="17">
        <f t="shared" si="20"/>
        <v>81</v>
      </c>
      <c r="B302" t="str">
        <f ca="1">TEXT(DATE(YEAR(Invoer!$A$5),1,1)+INT((ROWS(B$2:B302)-1)/3),"jjjjmmdd")</f>
        <v>19400410</v>
      </c>
      <c r="C302" s="35" t="str">
        <f>INDEX(Data,2,2+MOD(ROWS(C$2:C302)-1,3))</f>
        <v>07.45</v>
      </c>
      <c r="D302" s="23">
        <f t="shared" ca="1" si="21"/>
        <v>750</v>
      </c>
      <c r="E302" s="40">
        <f t="shared" ca="1" si="22"/>
        <v>0</v>
      </c>
      <c r="F302" s="23">
        <f t="shared" ca="1" si="23"/>
        <v>26</v>
      </c>
      <c r="G302" s="40">
        <f t="shared" ca="1" si="24"/>
        <v>0</v>
      </c>
    </row>
    <row r="303" spans="1:7" x14ac:dyDescent="0.25">
      <c r="A303" s="17">
        <f t="shared" si="20"/>
        <v>81</v>
      </c>
      <c r="B303" t="str">
        <f ca="1">TEXT(DATE(YEAR(Invoer!$A$5),1,1)+INT((ROWS(B$2:B303)-1)/3),"jjjjmmdd")</f>
        <v>19400410</v>
      </c>
      <c r="C303" s="35" t="str">
        <f>INDEX(Data,2,2+MOD(ROWS(C$2:C303)-1,3))</f>
        <v>13.45</v>
      </c>
      <c r="D303" s="23">
        <f t="shared" ca="1" si="21"/>
        <v>750</v>
      </c>
      <c r="E303" s="40">
        <f t="shared" ca="1" si="22"/>
        <v>0</v>
      </c>
      <c r="F303" s="23">
        <f t="shared" ca="1" si="23"/>
        <v>29</v>
      </c>
      <c r="G303" s="40">
        <f t="shared" ca="1" si="24"/>
        <v>0</v>
      </c>
    </row>
    <row r="304" spans="1:7" x14ac:dyDescent="0.25">
      <c r="A304" s="17">
        <f t="shared" si="20"/>
        <v>81</v>
      </c>
      <c r="B304" t="str">
        <f ca="1">TEXT(DATE(YEAR(Invoer!$A$5),1,1)+INT((ROWS(B$2:B304)-1)/3),"jjjjmmdd")</f>
        <v>19400410</v>
      </c>
      <c r="C304" s="35" t="str">
        <f>INDEX(Data,2,2+MOD(ROWS(C$2:C304)-1,3))</f>
        <v>19.45</v>
      </c>
      <c r="D304" s="23">
        <f t="shared" ca="1" si="21"/>
        <v>750</v>
      </c>
      <c r="E304" s="40">
        <f t="shared" ca="1" si="22"/>
        <v>0</v>
      </c>
      <c r="F304" s="23">
        <f t="shared" ca="1" si="23"/>
        <v>27</v>
      </c>
      <c r="G304" s="40">
        <f t="shared" ca="1" si="24"/>
        <v>0</v>
      </c>
    </row>
    <row r="305" spans="1:7" x14ac:dyDescent="0.25">
      <c r="A305" s="17">
        <f t="shared" si="20"/>
        <v>81</v>
      </c>
      <c r="B305" t="str">
        <f ca="1">TEXT(DATE(YEAR(Invoer!$A$5),1,1)+INT((ROWS(B$2:B305)-1)/3),"jjjjmmdd")</f>
        <v>19400411</v>
      </c>
      <c r="C305" s="35" t="str">
        <f>INDEX(Data,2,2+MOD(ROWS(C$2:C305)-1,3))</f>
        <v>07.45</v>
      </c>
      <c r="D305" s="23">
        <f t="shared" ca="1" si="21"/>
        <v>750</v>
      </c>
      <c r="E305" s="40">
        <f t="shared" ca="1" si="22"/>
        <v>0</v>
      </c>
      <c r="F305" s="23">
        <f t="shared" ca="1" si="23"/>
        <v>26</v>
      </c>
      <c r="G305" s="40">
        <f t="shared" ca="1" si="24"/>
        <v>0</v>
      </c>
    </row>
    <row r="306" spans="1:7" x14ac:dyDescent="0.25">
      <c r="A306" s="17">
        <f t="shared" si="20"/>
        <v>81</v>
      </c>
      <c r="B306" t="str">
        <f ca="1">TEXT(DATE(YEAR(Invoer!$A$5),1,1)+INT((ROWS(B$2:B306)-1)/3),"jjjjmmdd")</f>
        <v>19400411</v>
      </c>
      <c r="C306" s="35" t="str">
        <f>INDEX(Data,2,2+MOD(ROWS(C$2:C306)-1,3))</f>
        <v>13.45</v>
      </c>
      <c r="D306" s="23">
        <f t="shared" ca="1" si="21"/>
        <v>750</v>
      </c>
      <c r="E306" s="40">
        <f t="shared" ca="1" si="22"/>
        <v>0</v>
      </c>
      <c r="F306" s="23">
        <f t="shared" ca="1" si="23"/>
        <v>29</v>
      </c>
      <c r="G306" s="40">
        <f t="shared" ca="1" si="24"/>
        <v>0</v>
      </c>
    </row>
    <row r="307" spans="1:7" x14ac:dyDescent="0.25">
      <c r="A307" s="17">
        <f t="shared" si="20"/>
        <v>81</v>
      </c>
      <c r="B307" t="str">
        <f ca="1">TEXT(DATE(YEAR(Invoer!$A$5),1,1)+INT((ROWS(B$2:B307)-1)/3),"jjjjmmdd")</f>
        <v>19400411</v>
      </c>
      <c r="C307" s="35" t="str">
        <f>INDEX(Data,2,2+MOD(ROWS(C$2:C307)-1,3))</f>
        <v>19.45</v>
      </c>
      <c r="D307" s="23">
        <f t="shared" ca="1" si="21"/>
        <v>750</v>
      </c>
      <c r="E307" s="40">
        <f t="shared" ca="1" si="22"/>
        <v>0</v>
      </c>
      <c r="F307" s="23">
        <f t="shared" ca="1" si="23"/>
        <v>27</v>
      </c>
      <c r="G307" s="40">
        <f t="shared" ca="1" si="24"/>
        <v>0</v>
      </c>
    </row>
    <row r="308" spans="1:7" x14ac:dyDescent="0.25">
      <c r="A308" s="17">
        <f t="shared" si="20"/>
        <v>81</v>
      </c>
      <c r="B308" t="str">
        <f ca="1">TEXT(DATE(YEAR(Invoer!$A$5),1,1)+INT((ROWS(B$2:B308)-1)/3),"jjjjmmdd")</f>
        <v>19400412</v>
      </c>
      <c r="C308" s="35" t="str">
        <f>INDEX(Data,2,2+MOD(ROWS(C$2:C308)-1,3))</f>
        <v>07.45</v>
      </c>
      <c r="D308" s="23">
        <f t="shared" ca="1" si="21"/>
        <v>750</v>
      </c>
      <c r="E308" s="40">
        <f t="shared" ca="1" si="22"/>
        <v>0</v>
      </c>
      <c r="F308" s="23">
        <f t="shared" ca="1" si="23"/>
        <v>26</v>
      </c>
      <c r="G308" s="40">
        <f t="shared" ca="1" si="24"/>
        <v>0</v>
      </c>
    </row>
    <row r="309" spans="1:7" x14ac:dyDescent="0.25">
      <c r="A309" s="17">
        <f t="shared" si="20"/>
        <v>81</v>
      </c>
      <c r="B309" t="str">
        <f ca="1">TEXT(DATE(YEAR(Invoer!$A$5),1,1)+INT((ROWS(B$2:B309)-1)/3),"jjjjmmdd")</f>
        <v>19400412</v>
      </c>
      <c r="C309" s="35" t="str">
        <f>INDEX(Data,2,2+MOD(ROWS(C$2:C309)-1,3))</f>
        <v>13.45</v>
      </c>
      <c r="D309" s="23">
        <f t="shared" ca="1" si="21"/>
        <v>750</v>
      </c>
      <c r="E309" s="40">
        <f t="shared" ca="1" si="22"/>
        <v>0</v>
      </c>
      <c r="F309" s="23">
        <f t="shared" ca="1" si="23"/>
        <v>29</v>
      </c>
      <c r="G309" s="40">
        <f t="shared" ca="1" si="24"/>
        <v>0</v>
      </c>
    </row>
    <row r="310" spans="1:7" x14ac:dyDescent="0.25">
      <c r="A310" s="17">
        <f t="shared" si="20"/>
        <v>81</v>
      </c>
      <c r="B310" t="str">
        <f ca="1">TEXT(DATE(YEAR(Invoer!$A$5),1,1)+INT((ROWS(B$2:B310)-1)/3),"jjjjmmdd")</f>
        <v>19400412</v>
      </c>
      <c r="C310" s="35" t="str">
        <f>INDEX(Data,2,2+MOD(ROWS(C$2:C310)-1,3))</f>
        <v>19.45</v>
      </c>
      <c r="D310" s="23">
        <f t="shared" ca="1" si="21"/>
        <v>749</v>
      </c>
      <c r="E310" s="40">
        <f t="shared" ca="1" si="22"/>
        <v>0</v>
      </c>
      <c r="F310" s="23">
        <f t="shared" ca="1" si="23"/>
        <v>27</v>
      </c>
      <c r="G310" s="40">
        <f t="shared" ca="1" si="24"/>
        <v>0</v>
      </c>
    </row>
    <row r="311" spans="1:7" x14ac:dyDescent="0.25">
      <c r="A311" s="17">
        <f t="shared" si="20"/>
        <v>81</v>
      </c>
      <c r="B311" t="str">
        <f ca="1">TEXT(DATE(YEAR(Invoer!$A$5),1,1)+INT((ROWS(B$2:B311)-1)/3),"jjjjmmdd")</f>
        <v>19400413</v>
      </c>
      <c r="C311" s="35" t="str">
        <f>INDEX(Data,2,2+MOD(ROWS(C$2:C311)-1,3))</f>
        <v>07.45</v>
      </c>
      <c r="D311" s="23">
        <f t="shared" ca="1" si="21"/>
        <v>749</v>
      </c>
      <c r="E311" s="40">
        <f t="shared" ca="1" si="22"/>
        <v>0</v>
      </c>
      <c r="F311" s="23">
        <f t="shared" ca="1" si="23"/>
        <v>26</v>
      </c>
      <c r="G311" s="40">
        <f t="shared" ca="1" si="24"/>
        <v>0</v>
      </c>
    </row>
    <row r="312" spans="1:7" x14ac:dyDescent="0.25">
      <c r="A312" s="17">
        <f t="shared" si="20"/>
        <v>81</v>
      </c>
      <c r="B312" t="str">
        <f ca="1">TEXT(DATE(YEAR(Invoer!$A$5),1,1)+INT((ROWS(B$2:B312)-1)/3),"jjjjmmdd")</f>
        <v>19400413</v>
      </c>
      <c r="C312" s="35" t="str">
        <f>INDEX(Data,2,2+MOD(ROWS(C$2:C312)-1,3))</f>
        <v>13.45</v>
      </c>
      <c r="D312" s="23">
        <f t="shared" ca="1" si="21"/>
        <v>749</v>
      </c>
      <c r="E312" s="40">
        <f t="shared" ca="1" si="22"/>
        <v>0</v>
      </c>
      <c r="F312" s="23">
        <f t="shared" ca="1" si="23"/>
        <v>29</v>
      </c>
      <c r="G312" s="40">
        <f t="shared" ca="1" si="24"/>
        <v>0</v>
      </c>
    </row>
    <row r="313" spans="1:7" x14ac:dyDescent="0.25">
      <c r="A313" s="17">
        <f t="shared" si="20"/>
        <v>81</v>
      </c>
      <c r="B313" t="str">
        <f ca="1">TEXT(DATE(YEAR(Invoer!$A$5),1,1)+INT((ROWS(B$2:B313)-1)/3),"jjjjmmdd")</f>
        <v>19400413</v>
      </c>
      <c r="C313" s="35" t="str">
        <f>INDEX(Data,2,2+MOD(ROWS(C$2:C313)-1,3))</f>
        <v>19.45</v>
      </c>
      <c r="D313" s="23">
        <f t="shared" ca="1" si="21"/>
        <v>749</v>
      </c>
      <c r="E313" s="40">
        <f t="shared" ca="1" si="22"/>
        <v>0</v>
      </c>
      <c r="F313" s="23">
        <f t="shared" ca="1" si="23"/>
        <v>27</v>
      </c>
      <c r="G313" s="40">
        <f t="shared" ca="1" si="24"/>
        <v>0</v>
      </c>
    </row>
    <row r="314" spans="1:7" x14ac:dyDescent="0.25">
      <c r="A314" s="17">
        <f t="shared" si="20"/>
        <v>81</v>
      </c>
      <c r="B314" t="str">
        <f ca="1">TEXT(DATE(YEAR(Invoer!$A$5),1,1)+INT((ROWS(B$2:B314)-1)/3),"jjjjmmdd")</f>
        <v>19400414</v>
      </c>
      <c r="C314" s="35" t="str">
        <f>INDEX(Data,2,2+MOD(ROWS(C$2:C314)-1,3))</f>
        <v>07.45</v>
      </c>
      <c r="D314" s="23">
        <f t="shared" ca="1" si="21"/>
        <v>748</v>
      </c>
      <c r="E314" s="40">
        <f t="shared" ca="1" si="22"/>
        <v>0</v>
      </c>
      <c r="F314" s="23">
        <f t="shared" ca="1" si="23"/>
        <v>26</v>
      </c>
      <c r="G314" s="40">
        <f t="shared" ca="1" si="24"/>
        <v>0</v>
      </c>
    </row>
    <row r="315" spans="1:7" x14ac:dyDescent="0.25">
      <c r="A315" s="17">
        <f t="shared" si="20"/>
        <v>81</v>
      </c>
      <c r="B315" t="str">
        <f ca="1">TEXT(DATE(YEAR(Invoer!$A$5),1,1)+INT((ROWS(B$2:B315)-1)/3),"jjjjmmdd")</f>
        <v>19400414</v>
      </c>
      <c r="C315" s="35" t="str">
        <f>INDEX(Data,2,2+MOD(ROWS(C$2:C315)-1,3))</f>
        <v>13.45</v>
      </c>
      <c r="D315" s="23">
        <f t="shared" ca="1" si="21"/>
        <v>748</v>
      </c>
      <c r="E315" s="40">
        <f t="shared" ca="1" si="22"/>
        <v>0</v>
      </c>
      <c r="F315" s="23">
        <f t="shared" ca="1" si="23"/>
        <v>29</v>
      </c>
      <c r="G315" s="40">
        <f t="shared" ca="1" si="24"/>
        <v>0</v>
      </c>
    </row>
    <row r="316" spans="1:7" x14ac:dyDescent="0.25">
      <c r="A316" s="17">
        <f t="shared" si="20"/>
        <v>81</v>
      </c>
      <c r="B316" t="str">
        <f ca="1">TEXT(DATE(YEAR(Invoer!$A$5),1,1)+INT((ROWS(B$2:B316)-1)/3),"jjjjmmdd")</f>
        <v>19400414</v>
      </c>
      <c r="C316" s="35" t="str">
        <f>INDEX(Data,2,2+MOD(ROWS(C$2:C316)-1,3))</f>
        <v>19.45</v>
      </c>
      <c r="D316" s="23">
        <f t="shared" ca="1" si="21"/>
        <v>748</v>
      </c>
      <c r="E316" s="40">
        <f t="shared" ca="1" si="22"/>
        <v>0</v>
      </c>
      <c r="F316" s="23">
        <f t="shared" ca="1" si="23"/>
        <v>27</v>
      </c>
      <c r="G316" s="40">
        <f t="shared" ca="1" si="24"/>
        <v>0</v>
      </c>
    </row>
    <row r="317" spans="1:7" x14ac:dyDescent="0.25">
      <c r="A317" s="17">
        <f t="shared" si="20"/>
        <v>81</v>
      </c>
      <c r="B317" t="str">
        <f ca="1">TEXT(DATE(YEAR(Invoer!$A$5),1,1)+INT((ROWS(B$2:B317)-1)/3),"jjjjmmdd")</f>
        <v>19400415</v>
      </c>
      <c r="C317" s="35" t="str">
        <f>INDEX(Data,2,2+MOD(ROWS(C$2:C317)-1,3))</f>
        <v>07.45</v>
      </c>
      <c r="D317" s="23">
        <f t="shared" ca="1" si="21"/>
        <v>748</v>
      </c>
      <c r="E317" s="40">
        <f t="shared" ca="1" si="22"/>
        <v>0</v>
      </c>
      <c r="F317" s="23">
        <f t="shared" ca="1" si="23"/>
        <v>26</v>
      </c>
      <c r="G317" s="40">
        <f t="shared" ca="1" si="24"/>
        <v>0</v>
      </c>
    </row>
    <row r="318" spans="1:7" x14ac:dyDescent="0.25">
      <c r="A318" s="17">
        <f t="shared" si="20"/>
        <v>81</v>
      </c>
      <c r="B318" t="str">
        <f ca="1">TEXT(DATE(YEAR(Invoer!$A$5),1,1)+INT((ROWS(B$2:B318)-1)/3),"jjjjmmdd")</f>
        <v>19400415</v>
      </c>
      <c r="C318" s="35" t="str">
        <f>INDEX(Data,2,2+MOD(ROWS(C$2:C318)-1,3))</f>
        <v>13.45</v>
      </c>
      <c r="D318" s="23">
        <f t="shared" ca="1" si="21"/>
        <v>748</v>
      </c>
      <c r="E318" s="40">
        <f t="shared" ca="1" si="22"/>
        <v>0</v>
      </c>
      <c r="F318" s="23">
        <f t="shared" ca="1" si="23"/>
        <v>29</v>
      </c>
      <c r="G318" s="40">
        <f t="shared" ca="1" si="24"/>
        <v>0</v>
      </c>
    </row>
    <row r="319" spans="1:7" x14ac:dyDescent="0.25">
      <c r="A319" s="17">
        <f t="shared" si="20"/>
        <v>81</v>
      </c>
      <c r="B319" t="str">
        <f ca="1">TEXT(DATE(YEAR(Invoer!$A$5),1,1)+INT((ROWS(B$2:B319)-1)/3),"jjjjmmdd")</f>
        <v>19400415</v>
      </c>
      <c r="C319" s="35" t="str">
        <f>INDEX(Data,2,2+MOD(ROWS(C$2:C319)-1,3))</f>
        <v>19.45</v>
      </c>
      <c r="D319" s="23">
        <f t="shared" ca="1" si="21"/>
        <v>748</v>
      </c>
      <c r="E319" s="40">
        <f t="shared" ca="1" si="22"/>
        <v>0</v>
      </c>
      <c r="F319" s="23">
        <f t="shared" ca="1" si="23"/>
        <v>27</v>
      </c>
      <c r="G319" s="40">
        <f t="shared" ca="1" si="24"/>
        <v>0</v>
      </c>
    </row>
    <row r="320" spans="1:7" x14ac:dyDescent="0.25">
      <c r="A320" s="17">
        <f t="shared" si="20"/>
        <v>81</v>
      </c>
      <c r="B320" t="str">
        <f ca="1">TEXT(DATE(YEAR(Invoer!$A$5),1,1)+INT((ROWS(B$2:B320)-1)/3),"jjjjmmdd")</f>
        <v>19400416</v>
      </c>
      <c r="C320" s="35" t="str">
        <f>INDEX(Data,2,2+MOD(ROWS(C$2:C320)-1,3))</f>
        <v>07.45</v>
      </c>
      <c r="D320" s="23">
        <f t="shared" ca="1" si="21"/>
        <v>749</v>
      </c>
      <c r="E320" s="40">
        <f t="shared" ca="1" si="22"/>
        <v>0</v>
      </c>
      <c r="F320" s="23">
        <f t="shared" ca="1" si="23"/>
        <v>26</v>
      </c>
      <c r="G320" s="40">
        <f t="shared" ca="1" si="24"/>
        <v>0</v>
      </c>
    </row>
    <row r="321" spans="1:7" x14ac:dyDescent="0.25">
      <c r="A321" s="17">
        <f t="shared" si="20"/>
        <v>81</v>
      </c>
      <c r="B321" t="str">
        <f ca="1">TEXT(DATE(YEAR(Invoer!$A$5),1,1)+INT((ROWS(B$2:B321)-1)/3),"jjjjmmdd")</f>
        <v>19400416</v>
      </c>
      <c r="C321" s="35" t="str">
        <f>INDEX(Data,2,2+MOD(ROWS(C$2:C321)-1,3))</f>
        <v>13.45</v>
      </c>
      <c r="D321" s="23">
        <f t="shared" ca="1" si="21"/>
        <v>749</v>
      </c>
      <c r="E321" s="40">
        <f t="shared" ca="1" si="22"/>
        <v>0</v>
      </c>
      <c r="F321" s="23">
        <f t="shared" ca="1" si="23"/>
        <v>29</v>
      </c>
      <c r="G321" s="40">
        <f t="shared" ca="1" si="24"/>
        <v>0</v>
      </c>
    </row>
    <row r="322" spans="1:7" x14ac:dyDescent="0.25">
      <c r="A322" s="17">
        <f t="shared" ref="A322:A385" si="25">INDEX(Stations,2,1)</f>
        <v>81</v>
      </c>
      <c r="B322" t="str">
        <f ca="1">TEXT(DATE(YEAR(Invoer!$A$5),1,1)+INT((ROWS(B$2:B322)-1)/3),"jjjjmmdd")</f>
        <v>19400416</v>
      </c>
      <c r="C322" s="35" t="str">
        <f>INDEX(Data,2,2+MOD(ROWS(C$2:C322)-1,3))</f>
        <v>19.45</v>
      </c>
      <c r="D322" s="23">
        <f t="shared" ref="D322:D385" ca="1" si="26">IF(OR(ISBLANK(VLOOKUP(DATEVALUE(LEFT($B322,4)&amp;"-"&amp;MID($B322,5,2)&amp;"-"&amp;RIGHT($B322,2)),Data,MATCH(LEFT(VLOOKUP(D$1,Parameters,2,FALSE()),4)&amp;"*",OFFSET(Data,0,0,1),0)+MATCH($C322,OFFSET(Data,1,0,1),0)-2,FALSE())),ISTEXT(VLOOKUP(DATEVALUE(LEFT($B322,4)&amp;"-"&amp;MID($B322,5,2)&amp;"-"&amp;RIGHT($B322,2)),Data,MATCH(LEFT(VLOOKUP(D$1,Parameters,2,FALSE()),4)&amp;"*",OFFSET(Data,0,0,1),0)+MATCH($C322,OFFSET(Data,1,0,1),0)-2,FALSE()))),"—",VLOOKUP(DATEVALUE(LEFT($B322,4)&amp;"-"&amp;MID($B322,5,2)&amp;"-"&amp;RIGHT($B322,2)),Data,MATCH(LEFT(VLOOKUP(D$1,Parameters,2,FALSE()),4)&amp;"*",OFFSET(Data,0,0,1),0)+MATCH($C322,OFFSET(Data,1,0,1),0)-2,FALSE()))</f>
        <v>748</v>
      </c>
      <c r="E322" s="40">
        <f t="shared" ref="E322:E385" ca="1" si="27">IF(OR(ISBLANK(VLOOKUP(DATEVALUE(LEFT($B322,4)&amp;"-"&amp;MID($B322,5,2)&amp;"-"&amp;RIGHT($B322,2)),Data,MATCH(LEFT(VLOOKUP(MID(E$1,2,LEN(E$1)-1),Parameters,2,FALSE()),4)&amp;"*",OFFSET(Data,0,0,1),0)+MATCH($C322,OFFSET(Data,1,0,1),0)-2,FALSE())),ISTEXT(VLOOKUP(DATEVALUE(LEFT($B322,4)&amp;"-"&amp;MID($B322,5,2)&amp;"-"&amp;RIGHT($B322,2)),Data,MATCH(LEFT(VLOOKUP(MID(E$1,2,LEN(E$1)-1),Parameters,2,FALSE()),4)&amp;"*",OFFSET(Data,0,0,1),0)+MATCH($C322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E$1,2,LEN(E$1)-1),Parameters,2,FALSE()),4)&amp;"*",OFFSET(Catalogus,0,0,1),0)+MATCH($C322,OFFSET(Catalogus,1,0,1),0)-2,FALSE())))</f>
        <v>0</v>
      </c>
      <c r="F322" s="23">
        <f t="shared" ref="F322:F385" ca="1" si="28">IF(OR(ISBLANK(VLOOKUP(DATEVALUE(LEFT($B322,4)&amp;"-"&amp;MID($B322,5,2)&amp;"-"&amp;RIGHT($B322,2)),Data,MATCH(LEFT(VLOOKUP(F$1,Parameters,2,FALSE()),4)&amp;"*",OFFSET(Data,0,0,1),0)+MATCH($C322,OFFSET(Data,1,0,1),0)-2,FALSE())),ISTEXT(VLOOKUP(DATEVALUE(LEFT($B322,4)&amp;"-"&amp;MID($B322,5,2)&amp;"-"&amp;RIGHT($B322,2)),Data,MATCH(LEFT(VLOOKUP(F$1,Parameters,2,FALSE()),4)&amp;"*",OFFSET(Data,0,0,1),0)+MATCH($C322,OFFSET(Data,1,0,1),0)-2,FALSE()))),"—",VLOOKUP(DATEVALUE(LEFT($B322,4)&amp;"-"&amp;MID($B322,5,2)&amp;"-"&amp;RIGHT($B322,2)),Data,MATCH(LEFT(VLOOKUP(F$1,Parameters,2,FALSE()),4)&amp;"*",OFFSET(Data,0,0,1),0)+MATCH($C322,OFFSET(Data,1,0,1),0)-2,FALSE()))</f>
        <v>27</v>
      </c>
      <c r="G322" s="40">
        <f t="shared" ref="G322:G385" ca="1" si="29">IF(OR(ISBLANK(VLOOKUP(DATEVALUE(LEFT($B322,4)&amp;"-"&amp;MID($B322,5,2)&amp;"-"&amp;RIGHT($B322,2)),Data,MATCH(LEFT(VLOOKUP(MID(G$1,2,LEN(G$1)-1),Parameters,2,FALSE()),4)&amp;"*",OFFSET(Data,0,0,1),0)+MATCH($C322,OFFSET(Data,1,0,1),0)-2,FALSE())),ISTEXT(VLOOKUP(DATEVALUE(LEFT($B322,4)&amp;"-"&amp;MID($B322,5,2)&amp;"-"&amp;RIGHT($B322,2)),Data,MATCH(LEFT(VLOOKUP(MID(G$1,2,LEN(G$1)-1),Parameters,2,FALSE()),4)&amp;"*",OFFSET(Data,0,0,1),0)+MATCH($C322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G$1,2,LEN(G$1)-1),Parameters,2,FALSE()),4)&amp;"*",OFFSET(Catalogus,0,0,1),0)+MATCH($C322,OFFSET(Catalogus,1,0,1),0)-2,FALSE())))</f>
        <v>0</v>
      </c>
    </row>
    <row r="323" spans="1:7" x14ac:dyDescent="0.25">
      <c r="A323" s="17">
        <f t="shared" si="25"/>
        <v>81</v>
      </c>
      <c r="B323" t="str">
        <f ca="1">TEXT(DATE(YEAR(Invoer!$A$5),1,1)+INT((ROWS(B$2:B323)-1)/3),"jjjjmmdd")</f>
        <v>19400417</v>
      </c>
      <c r="C323" s="35" t="str">
        <f>INDEX(Data,2,2+MOD(ROWS(C$2:C323)-1,3))</f>
        <v>07.45</v>
      </c>
      <c r="D323" s="23">
        <f t="shared" ca="1" si="26"/>
        <v>748</v>
      </c>
      <c r="E323" s="40">
        <f t="shared" ca="1" si="27"/>
        <v>0</v>
      </c>
      <c r="F323" s="23">
        <f t="shared" ca="1" si="28"/>
        <v>26</v>
      </c>
      <c r="G323" s="40">
        <f t="shared" ca="1" si="29"/>
        <v>0</v>
      </c>
    </row>
    <row r="324" spans="1:7" x14ac:dyDescent="0.25">
      <c r="A324" s="17">
        <f t="shared" si="25"/>
        <v>81</v>
      </c>
      <c r="B324" t="str">
        <f ca="1">TEXT(DATE(YEAR(Invoer!$A$5),1,1)+INT((ROWS(B$2:B324)-1)/3),"jjjjmmdd")</f>
        <v>19400417</v>
      </c>
      <c r="C324" s="35" t="str">
        <f>INDEX(Data,2,2+MOD(ROWS(C$2:C324)-1,3))</f>
        <v>13.45</v>
      </c>
      <c r="D324" s="23">
        <f t="shared" ca="1" si="26"/>
        <v>747</v>
      </c>
      <c r="E324" s="40">
        <f t="shared" ca="1" si="27"/>
        <v>0</v>
      </c>
      <c r="F324" s="23">
        <f t="shared" ca="1" si="28"/>
        <v>29</v>
      </c>
      <c r="G324" s="40">
        <f t="shared" ca="1" si="29"/>
        <v>0</v>
      </c>
    </row>
    <row r="325" spans="1:7" x14ac:dyDescent="0.25">
      <c r="A325" s="17">
        <f t="shared" si="25"/>
        <v>81</v>
      </c>
      <c r="B325" t="str">
        <f ca="1">TEXT(DATE(YEAR(Invoer!$A$5),1,1)+INT((ROWS(B$2:B325)-1)/3),"jjjjmmdd")</f>
        <v>19400417</v>
      </c>
      <c r="C325" s="35" t="str">
        <f>INDEX(Data,2,2+MOD(ROWS(C$2:C325)-1,3))</f>
        <v>19.45</v>
      </c>
      <c r="D325" s="23">
        <f t="shared" ca="1" si="26"/>
        <v>747</v>
      </c>
      <c r="E325" s="40">
        <f t="shared" ca="1" si="27"/>
        <v>0</v>
      </c>
      <c r="F325" s="23">
        <f t="shared" ca="1" si="28"/>
        <v>27</v>
      </c>
      <c r="G325" s="40">
        <f t="shared" ca="1" si="29"/>
        <v>0</v>
      </c>
    </row>
    <row r="326" spans="1:7" x14ac:dyDescent="0.25">
      <c r="A326" s="17">
        <f t="shared" si="25"/>
        <v>81</v>
      </c>
      <c r="B326" t="str">
        <f ca="1">TEXT(DATE(YEAR(Invoer!$A$5),1,1)+INT((ROWS(B$2:B326)-1)/3),"jjjjmmdd")</f>
        <v>19400418</v>
      </c>
      <c r="C326" s="35" t="str">
        <f>INDEX(Data,2,2+MOD(ROWS(C$2:C326)-1,3))</f>
        <v>07.45</v>
      </c>
      <c r="D326" s="23">
        <f t="shared" ca="1" si="26"/>
        <v>747</v>
      </c>
      <c r="E326" s="40">
        <f t="shared" ca="1" si="27"/>
        <v>0</v>
      </c>
      <c r="F326" s="23">
        <f t="shared" ca="1" si="28"/>
        <v>26</v>
      </c>
      <c r="G326" s="40">
        <f t="shared" ca="1" si="29"/>
        <v>0</v>
      </c>
    </row>
    <row r="327" spans="1:7" x14ac:dyDescent="0.25">
      <c r="A327" s="17">
        <f t="shared" si="25"/>
        <v>81</v>
      </c>
      <c r="B327" t="str">
        <f ca="1">TEXT(DATE(YEAR(Invoer!$A$5),1,1)+INT((ROWS(B$2:B327)-1)/3),"jjjjmmdd")</f>
        <v>19400418</v>
      </c>
      <c r="C327" s="35" t="str">
        <f>INDEX(Data,2,2+MOD(ROWS(C$2:C327)-1,3))</f>
        <v>13.45</v>
      </c>
      <c r="D327" s="23">
        <f t="shared" ca="1" si="26"/>
        <v>747</v>
      </c>
      <c r="E327" s="40">
        <f t="shared" ca="1" si="27"/>
        <v>0</v>
      </c>
      <c r="F327" s="23">
        <f t="shared" ca="1" si="28"/>
        <v>30</v>
      </c>
      <c r="G327" s="40">
        <f t="shared" ca="1" si="29"/>
        <v>0</v>
      </c>
    </row>
    <row r="328" spans="1:7" x14ac:dyDescent="0.25">
      <c r="A328" s="17">
        <f t="shared" si="25"/>
        <v>81</v>
      </c>
      <c r="B328" t="str">
        <f ca="1">TEXT(DATE(YEAR(Invoer!$A$5),1,1)+INT((ROWS(B$2:B328)-1)/3),"jjjjmmdd")</f>
        <v>19400418</v>
      </c>
      <c r="C328" s="35" t="str">
        <f>INDEX(Data,2,2+MOD(ROWS(C$2:C328)-1,3))</f>
        <v>19.45</v>
      </c>
      <c r="D328" s="23">
        <f t="shared" ca="1" si="26"/>
        <v>747</v>
      </c>
      <c r="E328" s="40">
        <f t="shared" ca="1" si="27"/>
        <v>0</v>
      </c>
      <c r="F328" s="23">
        <f t="shared" ca="1" si="28"/>
        <v>29</v>
      </c>
      <c r="G328" s="40">
        <f t="shared" ca="1" si="29"/>
        <v>0</v>
      </c>
    </row>
    <row r="329" spans="1:7" x14ac:dyDescent="0.25">
      <c r="A329" s="17">
        <f t="shared" si="25"/>
        <v>81</v>
      </c>
      <c r="B329" t="str">
        <f ca="1">TEXT(DATE(YEAR(Invoer!$A$5),1,1)+INT((ROWS(B$2:B329)-1)/3),"jjjjmmdd")</f>
        <v>19400419</v>
      </c>
      <c r="C329" s="35" t="str">
        <f>INDEX(Data,2,2+MOD(ROWS(C$2:C329)-1,3))</f>
        <v>07.45</v>
      </c>
      <c r="D329" s="23">
        <f t="shared" ca="1" si="26"/>
        <v>747</v>
      </c>
      <c r="E329" s="40">
        <f t="shared" ca="1" si="27"/>
        <v>0</v>
      </c>
      <c r="F329" s="23">
        <f t="shared" ca="1" si="28"/>
        <v>27</v>
      </c>
      <c r="G329" s="40">
        <f t="shared" ca="1" si="29"/>
        <v>0</v>
      </c>
    </row>
    <row r="330" spans="1:7" x14ac:dyDescent="0.25">
      <c r="A330" s="17">
        <f t="shared" si="25"/>
        <v>81</v>
      </c>
      <c r="B330" t="str">
        <f ca="1">TEXT(DATE(YEAR(Invoer!$A$5),1,1)+INT((ROWS(B$2:B330)-1)/3),"jjjjmmdd")</f>
        <v>19400419</v>
      </c>
      <c r="C330" s="35" t="str">
        <f>INDEX(Data,2,2+MOD(ROWS(C$2:C330)-1,3))</f>
        <v>13.45</v>
      </c>
      <c r="D330" s="23">
        <f t="shared" ca="1" si="26"/>
        <v>747</v>
      </c>
      <c r="E330" s="40">
        <f t="shared" ca="1" si="27"/>
        <v>0</v>
      </c>
      <c r="F330" s="23">
        <f t="shared" ca="1" si="28"/>
        <v>29</v>
      </c>
      <c r="G330" s="40">
        <f t="shared" ca="1" si="29"/>
        <v>0</v>
      </c>
    </row>
    <row r="331" spans="1:7" x14ac:dyDescent="0.25">
      <c r="A331" s="17">
        <f t="shared" si="25"/>
        <v>81</v>
      </c>
      <c r="B331" t="str">
        <f ca="1">TEXT(DATE(YEAR(Invoer!$A$5),1,1)+INT((ROWS(B$2:B331)-1)/3),"jjjjmmdd")</f>
        <v>19400419</v>
      </c>
      <c r="C331" s="35" t="str">
        <f>INDEX(Data,2,2+MOD(ROWS(C$2:C331)-1,3))</f>
        <v>19.45</v>
      </c>
      <c r="D331" s="23">
        <f t="shared" ca="1" si="26"/>
        <v>747</v>
      </c>
      <c r="E331" s="40">
        <f t="shared" ca="1" si="27"/>
        <v>0</v>
      </c>
      <c r="F331" s="23">
        <f t="shared" ca="1" si="28"/>
        <v>27</v>
      </c>
      <c r="G331" s="40">
        <f t="shared" ca="1" si="29"/>
        <v>0</v>
      </c>
    </row>
    <row r="332" spans="1:7" x14ac:dyDescent="0.25">
      <c r="A332" s="17">
        <f t="shared" si="25"/>
        <v>81</v>
      </c>
      <c r="B332" t="str">
        <f ca="1">TEXT(DATE(YEAR(Invoer!$A$5),1,1)+INT((ROWS(B$2:B332)-1)/3),"jjjjmmdd")</f>
        <v>19400420</v>
      </c>
      <c r="C332" s="35" t="str">
        <f>INDEX(Data,2,2+MOD(ROWS(C$2:C332)-1,3))</f>
        <v>07.45</v>
      </c>
      <c r="D332" s="23">
        <f t="shared" ca="1" si="26"/>
        <v>747</v>
      </c>
      <c r="E332" s="40">
        <f t="shared" ca="1" si="27"/>
        <v>0</v>
      </c>
      <c r="F332" s="23">
        <f t="shared" ca="1" si="28"/>
        <v>26</v>
      </c>
      <c r="G332" s="40">
        <f t="shared" ca="1" si="29"/>
        <v>0</v>
      </c>
    </row>
    <row r="333" spans="1:7" x14ac:dyDescent="0.25">
      <c r="A333" s="17">
        <f t="shared" si="25"/>
        <v>81</v>
      </c>
      <c r="B333" t="str">
        <f ca="1">TEXT(DATE(YEAR(Invoer!$A$5),1,1)+INT((ROWS(B$2:B333)-1)/3),"jjjjmmdd")</f>
        <v>19400420</v>
      </c>
      <c r="C333" s="35" t="str">
        <f>INDEX(Data,2,2+MOD(ROWS(C$2:C333)-1,3))</f>
        <v>13.45</v>
      </c>
      <c r="D333" s="23">
        <f t="shared" ca="1" si="26"/>
        <v>747</v>
      </c>
      <c r="E333" s="40">
        <f t="shared" ca="1" si="27"/>
        <v>0</v>
      </c>
      <c r="F333" s="23">
        <f t="shared" ca="1" si="28"/>
        <v>29</v>
      </c>
      <c r="G333" s="40">
        <f t="shared" ca="1" si="29"/>
        <v>0</v>
      </c>
    </row>
    <row r="334" spans="1:7" x14ac:dyDescent="0.25">
      <c r="A334" s="17">
        <f t="shared" si="25"/>
        <v>81</v>
      </c>
      <c r="B334" t="str">
        <f ca="1">TEXT(DATE(YEAR(Invoer!$A$5),1,1)+INT((ROWS(B$2:B334)-1)/3),"jjjjmmdd")</f>
        <v>19400420</v>
      </c>
      <c r="C334" s="35" t="str">
        <f>INDEX(Data,2,2+MOD(ROWS(C$2:C334)-1,3))</f>
        <v>19.45</v>
      </c>
      <c r="D334" s="23">
        <f t="shared" ca="1" si="26"/>
        <v>748</v>
      </c>
      <c r="E334" s="40">
        <f t="shared" ca="1" si="27"/>
        <v>0</v>
      </c>
      <c r="F334" s="23">
        <f t="shared" ca="1" si="28"/>
        <v>27</v>
      </c>
      <c r="G334" s="40">
        <f t="shared" ca="1" si="29"/>
        <v>0</v>
      </c>
    </row>
    <row r="335" spans="1:7" x14ac:dyDescent="0.25">
      <c r="A335" s="17">
        <f t="shared" si="25"/>
        <v>81</v>
      </c>
      <c r="B335" t="str">
        <f ca="1">TEXT(DATE(YEAR(Invoer!$A$5),1,1)+INT((ROWS(B$2:B335)-1)/3),"jjjjmmdd")</f>
        <v>19400421</v>
      </c>
      <c r="C335" s="35" t="str">
        <f>INDEX(Data,2,2+MOD(ROWS(C$2:C335)-1,3))</f>
        <v>07.45</v>
      </c>
      <c r="D335" s="23">
        <f t="shared" ca="1" si="26"/>
        <v>747</v>
      </c>
      <c r="E335" s="40">
        <f t="shared" ca="1" si="27"/>
        <v>0</v>
      </c>
      <c r="F335" s="23">
        <f t="shared" ca="1" si="28"/>
        <v>26</v>
      </c>
      <c r="G335" s="40">
        <f t="shared" ca="1" si="29"/>
        <v>0</v>
      </c>
    </row>
    <row r="336" spans="1:7" x14ac:dyDescent="0.25">
      <c r="A336" s="17">
        <f t="shared" si="25"/>
        <v>81</v>
      </c>
      <c r="B336" t="str">
        <f ca="1">TEXT(DATE(YEAR(Invoer!$A$5),1,1)+INT((ROWS(B$2:B336)-1)/3),"jjjjmmdd")</f>
        <v>19400421</v>
      </c>
      <c r="C336" s="35" t="str">
        <f>INDEX(Data,2,2+MOD(ROWS(C$2:C336)-1,3))</f>
        <v>13.45</v>
      </c>
      <c r="D336" s="23">
        <f t="shared" ca="1" si="26"/>
        <v>747</v>
      </c>
      <c r="E336" s="40">
        <f t="shared" ca="1" si="27"/>
        <v>0</v>
      </c>
      <c r="F336" s="23">
        <f t="shared" ca="1" si="28"/>
        <v>28</v>
      </c>
      <c r="G336" s="40">
        <f t="shared" ca="1" si="29"/>
        <v>0</v>
      </c>
    </row>
    <row r="337" spans="1:7" x14ac:dyDescent="0.25">
      <c r="A337" s="17">
        <f t="shared" si="25"/>
        <v>81</v>
      </c>
      <c r="B337" t="str">
        <f ca="1">TEXT(DATE(YEAR(Invoer!$A$5),1,1)+INT((ROWS(B$2:B337)-1)/3),"jjjjmmdd")</f>
        <v>19400421</v>
      </c>
      <c r="C337" s="35" t="str">
        <f>INDEX(Data,2,2+MOD(ROWS(C$2:C337)-1,3))</f>
        <v>19.45</v>
      </c>
      <c r="D337" s="23">
        <f t="shared" ca="1" si="26"/>
        <v>747</v>
      </c>
      <c r="E337" s="40">
        <f t="shared" ca="1" si="27"/>
        <v>0</v>
      </c>
      <c r="F337" s="23">
        <f t="shared" ca="1" si="28"/>
        <v>28</v>
      </c>
      <c r="G337" s="40">
        <f t="shared" ca="1" si="29"/>
        <v>0</v>
      </c>
    </row>
    <row r="338" spans="1:7" x14ac:dyDescent="0.25">
      <c r="A338" s="17">
        <f t="shared" si="25"/>
        <v>81</v>
      </c>
      <c r="B338" t="str">
        <f ca="1">TEXT(DATE(YEAR(Invoer!$A$5),1,1)+INT((ROWS(B$2:B338)-1)/3),"jjjjmmdd")</f>
        <v>19400422</v>
      </c>
      <c r="C338" s="35" t="str">
        <f>INDEX(Data,2,2+MOD(ROWS(C$2:C338)-1,3))</f>
        <v>07.45</v>
      </c>
      <c r="D338" s="23">
        <f t="shared" ca="1" si="26"/>
        <v>747</v>
      </c>
      <c r="E338" s="40">
        <f t="shared" ca="1" si="27"/>
        <v>0</v>
      </c>
      <c r="F338" s="23">
        <f t="shared" ca="1" si="28"/>
        <v>27</v>
      </c>
      <c r="G338" s="40">
        <f t="shared" ca="1" si="29"/>
        <v>0</v>
      </c>
    </row>
    <row r="339" spans="1:7" x14ac:dyDescent="0.25">
      <c r="A339" s="17">
        <f t="shared" si="25"/>
        <v>81</v>
      </c>
      <c r="B339" t="str">
        <f ca="1">TEXT(DATE(YEAR(Invoer!$A$5),1,1)+INT((ROWS(B$2:B339)-1)/3),"jjjjmmdd")</f>
        <v>19400422</v>
      </c>
      <c r="C339" s="35" t="str">
        <f>INDEX(Data,2,2+MOD(ROWS(C$2:C339)-1,3))</f>
        <v>13.45</v>
      </c>
      <c r="D339" s="23">
        <f t="shared" ca="1" si="26"/>
        <v>746</v>
      </c>
      <c r="E339" s="40">
        <f t="shared" ca="1" si="27"/>
        <v>0</v>
      </c>
      <c r="F339" s="23">
        <f t="shared" ca="1" si="28"/>
        <v>29</v>
      </c>
      <c r="G339" s="40">
        <f t="shared" ca="1" si="29"/>
        <v>0</v>
      </c>
    </row>
    <row r="340" spans="1:7" x14ac:dyDescent="0.25">
      <c r="A340" s="17">
        <f t="shared" si="25"/>
        <v>81</v>
      </c>
      <c r="B340" t="str">
        <f ca="1">TEXT(DATE(YEAR(Invoer!$A$5),1,1)+INT((ROWS(B$2:B340)-1)/3),"jjjjmmdd")</f>
        <v>19400422</v>
      </c>
      <c r="C340" s="35" t="str">
        <f>INDEX(Data,2,2+MOD(ROWS(C$2:C340)-1,3))</f>
        <v>19.45</v>
      </c>
      <c r="D340" s="23">
        <f t="shared" ca="1" si="26"/>
        <v>747</v>
      </c>
      <c r="E340" s="40">
        <f t="shared" ca="1" si="27"/>
        <v>0</v>
      </c>
      <c r="F340" s="23">
        <f t="shared" ca="1" si="28"/>
        <v>28</v>
      </c>
      <c r="G340" s="40">
        <f t="shared" ca="1" si="29"/>
        <v>0</v>
      </c>
    </row>
    <row r="341" spans="1:7" x14ac:dyDescent="0.25">
      <c r="A341" s="17">
        <f t="shared" si="25"/>
        <v>81</v>
      </c>
      <c r="B341" t="str">
        <f ca="1">TEXT(DATE(YEAR(Invoer!$A$5),1,1)+INT((ROWS(B$2:B341)-1)/3),"jjjjmmdd")</f>
        <v>19400423</v>
      </c>
      <c r="C341" s="35" t="str">
        <f>INDEX(Data,2,2+MOD(ROWS(C$2:C341)-1,3))</f>
        <v>07.45</v>
      </c>
      <c r="D341" s="23">
        <f t="shared" ca="1" si="26"/>
        <v>748</v>
      </c>
      <c r="E341" s="40">
        <f t="shared" ca="1" si="27"/>
        <v>0</v>
      </c>
      <c r="F341" s="23">
        <f t="shared" ca="1" si="28"/>
        <v>28</v>
      </c>
      <c r="G341" s="40">
        <f t="shared" ca="1" si="29"/>
        <v>0</v>
      </c>
    </row>
    <row r="342" spans="1:7" x14ac:dyDescent="0.25">
      <c r="A342" s="17">
        <f t="shared" si="25"/>
        <v>81</v>
      </c>
      <c r="B342" t="str">
        <f ca="1">TEXT(DATE(YEAR(Invoer!$A$5),1,1)+INT((ROWS(B$2:B342)-1)/3),"jjjjmmdd")</f>
        <v>19400423</v>
      </c>
      <c r="C342" s="35" t="str">
        <f>INDEX(Data,2,2+MOD(ROWS(C$2:C342)-1,3))</f>
        <v>13.45</v>
      </c>
      <c r="D342" s="23">
        <f t="shared" ca="1" si="26"/>
        <v>749</v>
      </c>
      <c r="E342" s="40">
        <f t="shared" ca="1" si="27"/>
        <v>0</v>
      </c>
      <c r="F342" s="23">
        <f t="shared" ca="1" si="28"/>
        <v>30</v>
      </c>
      <c r="G342" s="40">
        <f t="shared" ca="1" si="29"/>
        <v>0</v>
      </c>
    </row>
    <row r="343" spans="1:7" x14ac:dyDescent="0.25">
      <c r="A343" s="17">
        <f t="shared" si="25"/>
        <v>81</v>
      </c>
      <c r="B343" t="str">
        <f ca="1">TEXT(DATE(YEAR(Invoer!$A$5),1,1)+INT((ROWS(B$2:B343)-1)/3),"jjjjmmdd")</f>
        <v>19400423</v>
      </c>
      <c r="C343" s="35" t="str">
        <f>INDEX(Data,2,2+MOD(ROWS(C$2:C343)-1,3))</f>
        <v>19.45</v>
      </c>
      <c r="D343" s="23">
        <f t="shared" ca="1" si="26"/>
        <v>749</v>
      </c>
      <c r="E343" s="40">
        <f t="shared" ca="1" si="27"/>
        <v>0</v>
      </c>
      <c r="F343" s="23">
        <f t="shared" ca="1" si="28"/>
        <v>29</v>
      </c>
      <c r="G343" s="40">
        <f t="shared" ca="1" si="29"/>
        <v>0</v>
      </c>
    </row>
    <row r="344" spans="1:7" x14ac:dyDescent="0.25">
      <c r="A344" s="17">
        <f t="shared" si="25"/>
        <v>81</v>
      </c>
      <c r="B344" t="str">
        <f ca="1">TEXT(DATE(YEAR(Invoer!$A$5),1,1)+INT((ROWS(B$2:B344)-1)/3),"jjjjmmdd")</f>
        <v>19400424</v>
      </c>
      <c r="C344" s="35" t="str">
        <f>INDEX(Data,2,2+MOD(ROWS(C$2:C344)-1,3))</f>
        <v>07.45</v>
      </c>
      <c r="D344" s="23">
        <f t="shared" ca="1" si="26"/>
        <v>750</v>
      </c>
      <c r="E344" s="40">
        <f t="shared" ca="1" si="27"/>
        <v>0</v>
      </c>
      <c r="F344" s="23">
        <f t="shared" ca="1" si="28"/>
        <v>28</v>
      </c>
      <c r="G344" s="40">
        <f t="shared" ca="1" si="29"/>
        <v>0</v>
      </c>
    </row>
    <row r="345" spans="1:7" x14ac:dyDescent="0.25">
      <c r="A345" s="17">
        <f t="shared" si="25"/>
        <v>81</v>
      </c>
      <c r="B345" t="str">
        <f ca="1">TEXT(DATE(YEAR(Invoer!$A$5),1,1)+INT((ROWS(B$2:B345)-1)/3),"jjjjmmdd")</f>
        <v>19400424</v>
      </c>
      <c r="C345" s="35" t="str">
        <f>INDEX(Data,2,2+MOD(ROWS(C$2:C345)-1,3))</f>
        <v>13.45</v>
      </c>
      <c r="D345" s="23">
        <f t="shared" ca="1" si="26"/>
        <v>750</v>
      </c>
      <c r="E345" s="40">
        <f t="shared" ca="1" si="27"/>
        <v>0</v>
      </c>
      <c r="F345" s="23">
        <f t="shared" ca="1" si="28"/>
        <v>30</v>
      </c>
      <c r="G345" s="40">
        <f t="shared" ca="1" si="29"/>
        <v>0</v>
      </c>
    </row>
    <row r="346" spans="1:7" x14ac:dyDescent="0.25">
      <c r="A346" s="17">
        <f t="shared" si="25"/>
        <v>81</v>
      </c>
      <c r="B346" t="str">
        <f ca="1">TEXT(DATE(YEAR(Invoer!$A$5),1,1)+INT((ROWS(B$2:B346)-1)/3),"jjjjmmdd")</f>
        <v>19400424</v>
      </c>
      <c r="C346" s="35" t="str">
        <f>INDEX(Data,2,2+MOD(ROWS(C$2:C346)-1,3))</f>
        <v>19.45</v>
      </c>
      <c r="D346" s="23">
        <f t="shared" ca="1" si="26"/>
        <v>750</v>
      </c>
      <c r="E346" s="40">
        <f t="shared" ca="1" si="27"/>
        <v>0</v>
      </c>
      <c r="F346" s="23">
        <f t="shared" ca="1" si="28"/>
        <v>29</v>
      </c>
      <c r="G346" s="40">
        <f t="shared" ca="1" si="29"/>
        <v>0</v>
      </c>
    </row>
    <row r="347" spans="1:7" x14ac:dyDescent="0.25">
      <c r="A347" s="17">
        <f t="shared" si="25"/>
        <v>81</v>
      </c>
      <c r="B347" t="str">
        <f ca="1">TEXT(DATE(YEAR(Invoer!$A$5),1,1)+INT((ROWS(B$2:B347)-1)/3),"jjjjmmdd")</f>
        <v>19400425</v>
      </c>
      <c r="C347" s="35" t="str">
        <f>INDEX(Data,2,2+MOD(ROWS(C$2:C347)-1,3))</f>
        <v>07.45</v>
      </c>
      <c r="D347" s="23">
        <f t="shared" ca="1" si="26"/>
        <v>750</v>
      </c>
      <c r="E347" s="40">
        <f t="shared" ca="1" si="27"/>
        <v>0</v>
      </c>
      <c r="F347" s="23">
        <f t="shared" ca="1" si="28"/>
        <v>28</v>
      </c>
      <c r="G347" s="40">
        <f t="shared" ca="1" si="29"/>
        <v>0</v>
      </c>
    </row>
    <row r="348" spans="1:7" x14ac:dyDescent="0.25">
      <c r="A348" s="17">
        <f t="shared" si="25"/>
        <v>81</v>
      </c>
      <c r="B348" t="str">
        <f ca="1">TEXT(DATE(YEAR(Invoer!$A$5),1,1)+INT((ROWS(B$2:B348)-1)/3),"jjjjmmdd")</f>
        <v>19400425</v>
      </c>
      <c r="C348" s="35" t="str">
        <f>INDEX(Data,2,2+MOD(ROWS(C$2:C348)-1,3))</f>
        <v>13.45</v>
      </c>
      <c r="D348" s="23">
        <f t="shared" ca="1" si="26"/>
        <v>750</v>
      </c>
      <c r="E348" s="40">
        <f t="shared" ca="1" si="27"/>
        <v>0</v>
      </c>
      <c r="F348" s="23">
        <f t="shared" ca="1" si="28"/>
        <v>30</v>
      </c>
      <c r="G348" s="40">
        <f t="shared" ca="1" si="29"/>
        <v>0</v>
      </c>
    </row>
    <row r="349" spans="1:7" x14ac:dyDescent="0.25">
      <c r="A349" s="17">
        <f t="shared" si="25"/>
        <v>81</v>
      </c>
      <c r="B349" t="str">
        <f ca="1">TEXT(DATE(YEAR(Invoer!$A$5),1,1)+INT((ROWS(B$2:B349)-1)/3),"jjjjmmdd")</f>
        <v>19400425</v>
      </c>
      <c r="C349" s="35" t="str">
        <f>INDEX(Data,2,2+MOD(ROWS(C$2:C349)-1,3))</f>
        <v>19.45</v>
      </c>
      <c r="D349" s="23">
        <f t="shared" ca="1" si="26"/>
        <v>750</v>
      </c>
      <c r="E349" s="40">
        <f t="shared" ca="1" si="27"/>
        <v>0</v>
      </c>
      <c r="F349" s="23">
        <f t="shared" ca="1" si="28"/>
        <v>28</v>
      </c>
      <c r="G349" s="40">
        <f t="shared" ca="1" si="29"/>
        <v>0</v>
      </c>
    </row>
    <row r="350" spans="1:7" x14ac:dyDescent="0.25">
      <c r="A350" s="17">
        <f t="shared" si="25"/>
        <v>81</v>
      </c>
      <c r="B350" t="str">
        <f ca="1">TEXT(DATE(YEAR(Invoer!$A$5),1,1)+INT((ROWS(B$2:B350)-1)/3),"jjjjmmdd")</f>
        <v>19400426</v>
      </c>
      <c r="C350" s="35" t="str">
        <f>INDEX(Data,2,2+MOD(ROWS(C$2:C350)-1,3))</f>
        <v>07.45</v>
      </c>
      <c r="D350" s="23">
        <f t="shared" ca="1" si="26"/>
        <v>750</v>
      </c>
      <c r="E350" s="40">
        <f t="shared" ca="1" si="27"/>
        <v>0</v>
      </c>
      <c r="F350" s="23">
        <f t="shared" ca="1" si="28"/>
        <v>27</v>
      </c>
      <c r="G350" s="40">
        <f t="shared" ca="1" si="29"/>
        <v>0</v>
      </c>
    </row>
    <row r="351" spans="1:7" x14ac:dyDescent="0.25">
      <c r="A351" s="17">
        <f t="shared" si="25"/>
        <v>81</v>
      </c>
      <c r="B351" t="str">
        <f ca="1">TEXT(DATE(YEAR(Invoer!$A$5),1,1)+INT((ROWS(B$2:B351)-1)/3),"jjjjmmdd")</f>
        <v>19400426</v>
      </c>
      <c r="C351" s="35" t="str">
        <f>INDEX(Data,2,2+MOD(ROWS(C$2:C351)-1,3))</f>
        <v>13.45</v>
      </c>
      <c r="D351" s="23">
        <f t="shared" ca="1" si="26"/>
        <v>749</v>
      </c>
      <c r="E351" s="40">
        <f t="shared" ca="1" si="27"/>
        <v>0</v>
      </c>
      <c r="F351" s="23">
        <f t="shared" ca="1" si="28"/>
        <v>30</v>
      </c>
      <c r="G351" s="40">
        <f t="shared" ca="1" si="29"/>
        <v>0</v>
      </c>
    </row>
    <row r="352" spans="1:7" x14ac:dyDescent="0.25">
      <c r="A352" s="17">
        <f t="shared" si="25"/>
        <v>81</v>
      </c>
      <c r="B352" t="str">
        <f ca="1">TEXT(DATE(YEAR(Invoer!$A$5),1,1)+INT((ROWS(B$2:B352)-1)/3),"jjjjmmdd")</f>
        <v>19400426</v>
      </c>
      <c r="C352" s="35" t="str">
        <f>INDEX(Data,2,2+MOD(ROWS(C$2:C352)-1,3))</f>
        <v>19.45</v>
      </c>
      <c r="D352" s="23">
        <f t="shared" ca="1" si="26"/>
        <v>749</v>
      </c>
      <c r="E352" s="40">
        <f t="shared" ca="1" si="27"/>
        <v>0</v>
      </c>
      <c r="F352" s="23">
        <f t="shared" ca="1" si="28"/>
        <v>28</v>
      </c>
      <c r="G352" s="40">
        <f t="shared" ca="1" si="29"/>
        <v>0</v>
      </c>
    </row>
    <row r="353" spans="1:7" x14ac:dyDescent="0.25">
      <c r="A353" s="17">
        <f t="shared" si="25"/>
        <v>81</v>
      </c>
      <c r="B353" t="str">
        <f ca="1">TEXT(DATE(YEAR(Invoer!$A$5),1,1)+INT((ROWS(B$2:B353)-1)/3),"jjjjmmdd")</f>
        <v>19400427</v>
      </c>
      <c r="C353" s="35" t="str">
        <f>INDEX(Data,2,2+MOD(ROWS(C$2:C353)-1,3))</f>
        <v>07.45</v>
      </c>
      <c r="D353" s="23">
        <f t="shared" ca="1" si="26"/>
        <v>750</v>
      </c>
      <c r="E353" s="40">
        <f t="shared" ca="1" si="27"/>
        <v>0</v>
      </c>
      <c r="F353" s="23">
        <f t="shared" ca="1" si="28"/>
        <v>27</v>
      </c>
      <c r="G353" s="40">
        <f t="shared" ca="1" si="29"/>
        <v>0</v>
      </c>
    </row>
    <row r="354" spans="1:7" x14ac:dyDescent="0.25">
      <c r="A354" s="17">
        <f t="shared" si="25"/>
        <v>81</v>
      </c>
      <c r="B354" t="str">
        <f ca="1">TEXT(DATE(YEAR(Invoer!$A$5),1,1)+INT((ROWS(B$2:B354)-1)/3),"jjjjmmdd")</f>
        <v>19400427</v>
      </c>
      <c r="C354" s="35" t="str">
        <f>INDEX(Data,2,2+MOD(ROWS(C$2:C354)-1,3))</f>
        <v>13.45</v>
      </c>
      <c r="D354" s="23">
        <f t="shared" ca="1" si="26"/>
        <v>749</v>
      </c>
      <c r="E354" s="40">
        <f t="shared" ca="1" si="27"/>
        <v>0</v>
      </c>
      <c r="F354" s="23">
        <f t="shared" ca="1" si="28"/>
        <v>29</v>
      </c>
      <c r="G354" s="40">
        <f t="shared" ca="1" si="29"/>
        <v>0</v>
      </c>
    </row>
    <row r="355" spans="1:7" x14ac:dyDescent="0.25">
      <c r="A355" s="17">
        <f t="shared" si="25"/>
        <v>81</v>
      </c>
      <c r="B355" t="str">
        <f ca="1">TEXT(DATE(YEAR(Invoer!$A$5),1,1)+INT((ROWS(B$2:B355)-1)/3),"jjjjmmdd")</f>
        <v>19400427</v>
      </c>
      <c r="C355" s="35" t="str">
        <f>INDEX(Data,2,2+MOD(ROWS(C$2:C355)-1,3))</f>
        <v>19.45</v>
      </c>
      <c r="D355" s="23">
        <f t="shared" ca="1" si="26"/>
        <v>750</v>
      </c>
      <c r="E355" s="40">
        <f t="shared" ca="1" si="27"/>
        <v>0</v>
      </c>
      <c r="F355" s="23">
        <f t="shared" ca="1" si="28"/>
        <v>28</v>
      </c>
      <c r="G355" s="40">
        <f t="shared" ca="1" si="29"/>
        <v>0</v>
      </c>
    </row>
    <row r="356" spans="1:7" x14ac:dyDescent="0.25">
      <c r="A356" s="17">
        <f t="shared" si="25"/>
        <v>81</v>
      </c>
      <c r="B356" t="str">
        <f ca="1">TEXT(DATE(YEAR(Invoer!$A$5),1,1)+INT((ROWS(B$2:B356)-1)/3),"jjjjmmdd")</f>
        <v>19400428</v>
      </c>
      <c r="C356" s="35" t="str">
        <f>INDEX(Data,2,2+MOD(ROWS(C$2:C356)-1,3))</f>
        <v>07.45</v>
      </c>
      <c r="D356" s="23">
        <f t="shared" ca="1" si="26"/>
        <v>750</v>
      </c>
      <c r="E356" s="40">
        <f t="shared" ca="1" si="27"/>
        <v>0</v>
      </c>
      <c r="F356" s="23">
        <f t="shared" ca="1" si="28"/>
        <v>28</v>
      </c>
      <c r="G356" s="40">
        <f t="shared" ca="1" si="29"/>
        <v>0</v>
      </c>
    </row>
    <row r="357" spans="1:7" x14ac:dyDescent="0.25">
      <c r="A357" s="17">
        <f t="shared" si="25"/>
        <v>81</v>
      </c>
      <c r="B357" t="str">
        <f ca="1">TEXT(DATE(YEAR(Invoer!$A$5),1,1)+INT((ROWS(B$2:B357)-1)/3),"jjjjmmdd")</f>
        <v>19400428</v>
      </c>
      <c r="C357" s="35" t="str">
        <f>INDEX(Data,2,2+MOD(ROWS(C$2:C357)-1,3))</f>
        <v>13.45</v>
      </c>
      <c r="D357" s="23">
        <f t="shared" ca="1" si="26"/>
        <v>749</v>
      </c>
      <c r="E357" s="40">
        <f t="shared" ca="1" si="27"/>
        <v>0</v>
      </c>
      <c r="F357" s="23">
        <f t="shared" ca="1" si="28"/>
        <v>30</v>
      </c>
      <c r="G357" s="40">
        <f t="shared" ca="1" si="29"/>
        <v>0</v>
      </c>
    </row>
    <row r="358" spans="1:7" x14ac:dyDescent="0.25">
      <c r="A358" s="17">
        <f t="shared" si="25"/>
        <v>81</v>
      </c>
      <c r="B358" t="str">
        <f ca="1">TEXT(DATE(YEAR(Invoer!$A$5),1,1)+INT((ROWS(B$2:B358)-1)/3),"jjjjmmdd")</f>
        <v>19400428</v>
      </c>
      <c r="C358" s="35" t="str">
        <f>INDEX(Data,2,2+MOD(ROWS(C$2:C358)-1,3))</f>
        <v>19.45</v>
      </c>
      <c r="D358" s="23">
        <f t="shared" ca="1" si="26"/>
        <v>749</v>
      </c>
      <c r="E358" s="40">
        <f t="shared" ca="1" si="27"/>
        <v>0</v>
      </c>
      <c r="F358" s="23">
        <f t="shared" ca="1" si="28"/>
        <v>28</v>
      </c>
      <c r="G358" s="40">
        <f t="shared" ca="1" si="29"/>
        <v>0</v>
      </c>
    </row>
    <row r="359" spans="1:7" x14ac:dyDescent="0.25">
      <c r="A359" s="17">
        <f t="shared" si="25"/>
        <v>81</v>
      </c>
      <c r="B359" t="str">
        <f ca="1">TEXT(DATE(YEAR(Invoer!$A$5),1,1)+INT((ROWS(B$2:B359)-1)/3),"jjjjmmdd")</f>
        <v>19400429</v>
      </c>
      <c r="C359" s="35" t="str">
        <f>INDEX(Data,2,2+MOD(ROWS(C$2:C359)-1,3))</f>
        <v>07.45</v>
      </c>
      <c r="D359" s="23">
        <f t="shared" ca="1" si="26"/>
        <v>749</v>
      </c>
      <c r="E359" s="40">
        <f t="shared" ca="1" si="27"/>
        <v>0</v>
      </c>
      <c r="F359" s="23">
        <f t="shared" ca="1" si="28"/>
        <v>28</v>
      </c>
      <c r="G359" s="40">
        <f t="shared" ca="1" si="29"/>
        <v>0</v>
      </c>
    </row>
    <row r="360" spans="1:7" x14ac:dyDescent="0.25">
      <c r="A360" s="17">
        <f t="shared" si="25"/>
        <v>81</v>
      </c>
      <c r="B360" t="str">
        <f ca="1">TEXT(DATE(YEAR(Invoer!$A$5),1,1)+INT((ROWS(B$2:B360)-1)/3),"jjjjmmdd")</f>
        <v>19400429</v>
      </c>
      <c r="C360" s="35" t="str">
        <f>INDEX(Data,2,2+MOD(ROWS(C$2:C360)-1,3))</f>
        <v>13.45</v>
      </c>
      <c r="D360" s="23">
        <f t="shared" ca="1" si="26"/>
        <v>748</v>
      </c>
      <c r="E360" s="40">
        <f t="shared" ca="1" si="27"/>
        <v>0</v>
      </c>
      <c r="F360" s="23">
        <f t="shared" ca="1" si="28"/>
        <v>30</v>
      </c>
      <c r="G360" s="40">
        <f t="shared" ca="1" si="29"/>
        <v>0</v>
      </c>
    </row>
    <row r="361" spans="1:7" x14ac:dyDescent="0.25">
      <c r="A361" s="17">
        <f t="shared" si="25"/>
        <v>81</v>
      </c>
      <c r="B361" t="str">
        <f ca="1">TEXT(DATE(YEAR(Invoer!$A$5),1,1)+INT((ROWS(B$2:B361)-1)/3),"jjjjmmdd")</f>
        <v>19400429</v>
      </c>
      <c r="C361" s="35" t="str">
        <f>INDEX(Data,2,2+MOD(ROWS(C$2:C361)-1,3))</f>
        <v>19.45</v>
      </c>
      <c r="D361" s="23">
        <f t="shared" ca="1" si="26"/>
        <v>748</v>
      </c>
      <c r="E361" s="40">
        <f t="shared" ca="1" si="27"/>
        <v>0</v>
      </c>
      <c r="F361" s="23">
        <f t="shared" ca="1" si="28"/>
        <v>29</v>
      </c>
      <c r="G361" s="40">
        <f t="shared" ca="1" si="29"/>
        <v>0</v>
      </c>
    </row>
    <row r="362" spans="1:7" x14ac:dyDescent="0.25">
      <c r="A362" s="17">
        <f t="shared" si="25"/>
        <v>81</v>
      </c>
      <c r="B362" t="str">
        <f ca="1">TEXT(DATE(YEAR(Invoer!$A$5),1,1)+INT((ROWS(B$2:B362)-1)/3),"jjjjmmdd")</f>
        <v>19400430</v>
      </c>
      <c r="C362" s="35" t="str">
        <f>INDEX(Data,2,2+MOD(ROWS(C$2:C362)-1,3))</f>
        <v>07.45</v>
      </c>
      <c r="D362" s="23">
        <f t="shared" ca="1" si="26"/>
        <v>749</v>
      </c>
      <c r="E362" s="40">
        <f t="shared" ca="1" si="27"/>
        <v>0</v>
      </c>
      <c r="F362" s="23">
        <f t="shared" ca="1" si="28"/>
        <v>28</v>
      </c>
      <c r="G362" s="40">
        <f t="shared" ca="1" si="29"/>
        <v>0</v>
      </c>
    </row>
    <row r="363" spans="1:7" x14ac:dyDescent="0.25">
      <c r="A363" s="17">
        <f t="shared" si="25"/>
        <v>81</v>
      </c>
      <c r="B363" t="str">
        <f ca="1">TEXT(DATE(YEAR(Invoer!$A$5),1,1)+INT((ROWS(B$2:B363)-1)/3),"jjjjmmdd")</f>
        <v>19400430</v>
      </c>
      <c r="C363" s="35" t="str">
        <f>INDEX(Data,2,2+MOD(ROWS(C$2:C363)-1,3))</f>
        <v>13.45</v>
      </c>
      <c r="D363" s="23">
        <f t="shared" ca="1" si="26"/>
        <v>750</v>
      </c>
      <c r="E363" s="40">
        <f t="shared" ca="1" si="27"/>
        <v>0</v>
      </c>
      <c r="F363" s="23">
        <f t="shared" ca="1" si="28"/>
        <v>28</v>
      </c>
      <c r="G363" s="40">
        <f t="shared" ca="1" si="29"/>
        <v>0</v>
      </c>
    </row>
    <row r="364" spans="1:7" x14ac:dyDescent="0.25">
      <c r="A364" s="17">
        <f t="shared" si="25"/>
        <v>81</v>
      </c>
      <c r="B364" t="str">
        <f ca="1">TEXT(DATE(YEAR(Invoer!$A$5),1,1)+INT((ROWS(B$2:B364)-1)/3),"jjjjmmdd")</f>
        <v>19400430</v>
      </c>
      <c r="C364" s="35" t="str">
        <f>INDEX(Data,2,2+MOD(ROWS(C$2:C364)-1,3))</f>
        <v>19.45</v>
      </c>
      <c r="D364" s="23">
        <f t="shared" ca="1" si="26"/>
        <v>750</v>
      </c>
      <c r="E364" s="40">
        <f t="shared" ca="1" si="27"/>
        <v>0</v>
      </c>
      <c r="F364" s="23">
        <f t="shared" ca="1" si="28"/>
        <v>27</v>
      </c>
      <c r="G364" s="40">
        <f t="shared" ca="1" si="29"/>
        <v>0</v>
      </c>
    </row>
    <row r="365" spans="1:7" x14ac:dyDescent="0.25">
      <c r="A365" s="17">
        <f t="shared" si="25"/>
        <v>81</v>
      </c>
      <c r="B365" t="str">
        <f ca="1">TEXT(DATE(YEAR(Invoer!$A$5),1,1)+INT((ROWS(B$2:B365)-1)/3),"jjjjmmdd")</f>
        <v>19400501</v>
      </c>
      <c r="C365" s="35" t="str">
        <f>INDEX(Data,2,2+MOD(ROWS(C$2:C365)-1,3))</f>
        <v>07.45</v>
      </c>
      <c r="D365" s="23">
        <f t="shared" ca="1" si="26"/>
        <v>750</v>
      </c>
      <c r="E365" s="40">
        <f t="shared" ca="1" si="27"/>
        <v>0</v>
      </c>
      <c r="F365" s="23">
        <f t="shared" ca="1" si="28"/>
        <v>27</v>
      </c>
      <c r="G365" s="40">
        <f t="shared" ca="1" si="29"/>
        <v>0</v>
      </c>
    </row>
    <row r="366" spans="1:7" x14ac:dyDescent="0.25">
      <c r="A366" s="17">
        <f t="shared" si="25"/>
        <v>81</v>
      </c>
      <c r="B366" t="str">
        <f ca="1">TEXT(DATE(YEAR(Invoer!$A$5),1,1)+INT((ROWS(B$2:B366)-1)/3),"jjjjmmdd")</f>
        <v>19400501</v>
      </c>
      <c r="C366" s="35" t="str">
        <f>INDEX(Data,2,2+MOD(ROWS(C$2:C366)-1,3))</f>
        <v>13.45</v>
      </c>
      <c r="D366" s="23">
        <f t="shared" ca="1" si="26"/>
        <v>750</v>
      </c>
      <c r="E366" s="40">
        <f t="shared" ca="1" si="27"/>
        <v>0</v>
      </c>
      <c r="F366" s="23">
        <f t="shared" ca="1" si="28"/>
        <v>29</v>
      </c>
      <c r="G366" s="40">
        <f t="shared" ca="1" si="29"/>
        <v>0</v>
      </c>
    </row>
    <row r="367" spans="1:7" x14ac:dyDescent="0.25">
      <c r="A367" s="17">
        <f t="shared" si="25"/>
        <v>81</v>
      </c>
      <c r="B367" t="str">
        <f ca="1">TEXT(DATE(YEAR(Invoer!$A$5),1,1)+INT((ROWS(B$2:B367)-1)/3),"jjjjmmdd")</f>
        <v>19400501</v>
      </c>
      <c r="C367" s="35" t="str">
        <f>INDEX(Data,2,2+MOD(ROWS(C$2:C367)-1,3))</f>
        <v>19.45</v>
      </c>
      <c r="D367" s="23">
        <f t="shared" ca="1" si="26"/>
        <v>750</v>
      </c>
      <c r="E367" s="40">
        <f t="shared" ca="1" si="27"/>
        <v>0</v>
      </c>
      <c r="F367" s="23">
        <f t="shared" ca="1" si="28"/>
        <v>27</v>
      </c>
      <c r="G367" s="40">
        <f t="shared" ca="1" si="29"/>
        <v>0</v>
      </c>
    </row>
    <row r="368" spans="1:7" x14ac:dyDescent="0.25">
      <c r="A368" s="17">
        <f t="shared" si="25"/>
        <v>81</v>
      </c>
      <c r="B368" t="str">
        <f ca="1">TEXT(DATE(YEAR(Invoer!$A$5),1,1)+INT((ROWS(B$2:B368)-1)/3),"jjjjmmdd")</f>
        <v>19400502</v>
      </c>
      <c r="C368" s="35" t="str">
        <f>INDEX(Data,2,2+MOD(ROWS(C$2:C368)-1,3))</f>
        <v>07.45</v>
      </c>
      <c r="D368" s="23">
        <f t="shared" ca="1" si="26"/>
        <v>750</v>
      </c>
      <c r="E368" s="40">
        <f t="shared" ca="1" si="27"/>
        <v>0</v>
      </c>
      <c r="F368" s="23">
        <f t="shared" ca="1" si="28"/>
        <v>27</v>
      </c>
      <c r="G368" s="40">
        <f t="shared" ca="1" si="29"/>
        <v>0</v>
      </c>
    </row>
    <row r="369" spans="1:7" x14ac:dyDescent="0.25">
      <c r="A369" s="17">
        <f t="shared" si="25"/>
        <v>81</v>
      </c>
      <c r="B369" t="str">
        <f ca="1">TEXT(DATE(YEAR(Invoer!$A$5),1,1)+INT((ROWS(B$2:B369)-1)/3),"jjjjmmdd")</f>
        <v>19400502</v>
      </c>
      <c r="C369" s="35" t="str">
        <f>INDEX(Data,2,2+MOD(ROWS(C$2:C369)-1,3))</f>
        <v>13.45</v>
      </c>
      <c r="D369" s="23">
        <f t="shared" ca="1" si="26"/>
        <v>750</v>
      </c>
      <c r="E369" s="40">
        <f t="shared" ca="1" si="27"/>
        <v>0</v>
      </c>
      <c r="F369" s="23">
        <f t="shared" ca="1" si="28"/>
        <v>28</v>
      </c>
      <c r="G369" s="40">
        <f t="shared" ca="1" si="29"/>
        <v>0</v>
      </c>
    </row>
    <row r="370" spans="1:7" x14ac:dyDescent="0.25">
      <c r="A370" s="17">
        <f t="shared" si="25"/>
        <v>81</v>
      </c>
      <c r="B370" t="str">
        <f ca="1">TEXT(DATE(YEAR(Invoer!$A$5),1,1)+INT((ROWS(B$2:B370)-1)/3),"jjjjmmdd")</f>
        <v>19400502</v>
      </c>
      <c r="C370" s="35" t="str">
        <f>INDEX(Data,2,2+MOD(ROWS(C$2:C370)-1,3))</f>
        <v>19.45</v>
      </c>
      <c r="D370" s="23">
        <f t="shared" ca="1" si="26"/>
        <v>749</v>
      </c>
      <c r="E370" s="40">
        <f t="shared" ca="1" si="27"/>
        <v>0</v>
      </c>
      <c r="F370" s="23">
        <f t="shared" ca="1" si="28"/>
        <v>27</v>
      </c>
      <c r="G370" s="40">
        <f t="shared" ca="1" si="29"/>
        <v>0</v>
      </c>
    </row>
    <row r="371" spans="1:7" x14ac:dyDescent="0.25">
      <c r="A371" s="17">
        <f t="shared" si="25"/>
        <v>81</v>
      </c>
      <c r="B371" t="str">
        <f ca="1">TEXT(DATE(YEAR(Invoer!$A$5),1,1)+INT((ROWS(B$2:B371)-1)/3),"jjjjmmdd")</f>
        <v>19400503</v>
      </c>
      <c r="C371" s="35" t="str">
        <f>INDEX(Data,2,2+MOD(ROWS(C$2:C371)-1,3))</f>
        <v>07.45</v>
      </c>
      <c r="D371" s="23">
        <f t="shared" ca="1" si="26"/>
        <v>749</v>
      </c>
      <c r="E371" s="40">
        <f t="shared" ca="1" si="27"/>
        <v>0</v>
      </c>
      <c r="F371" s="23">
        <f t="shared" ca="1" si="28"/>
        <v>26</v>
      </c>
      <c r="G371" s="40">
        <f t="shared" ca="1" si="29"/>
        <v>0</v>
      </c>
    </row>
    <row r="372" spans="1:7" x14ac:dyDescent="0.25">
      <c r="A372" s="17">
        <f t="shared" si="25"/>
        <v>81</v>
      </c>
      <c r="B372" t="str">
        <f ca="1">TEXT(DATE(YEAR(Invoer!$A$5),1,1)+INT((ROWS(B$2:B372)-1)/3),"jjjjmmdd")</f>
        <v>19400503</v>
      </c>
      <c r="C372" s="35" t="str">
        <f>INDEX(Data,2,2+MOD(ROWS(C$2:C372)-1,3))</f>
        <v>13.45</v>
      </c>
      <c r="D372" s="23">
        <f t="shared" ca="1" si="26"/>
        <v>750</v>
      </c>
      <c r="E372" s="40">
        <f t="shared" ca="1" si="27"/>
        <v>0</v>
      </c>
      <c r="F372" s="23">
        <f t="shared" ca="1" si="28"/>
        <v>29</v>
      </c>
      <c r="G372" s="40">
        <f t="shared" ca="1" si="29"/>
        <v>0</v>
      </c>
    </row>
    <row r="373" spans="1:7" x14ac:dyDescent="0.25">
      <c r="A373" s="17">
        <f t="shared" si="25"/>
        <v>81</v>
      </c>
      <c r="B373" t="str">
        <f ca="1">TEXT(DATE(YEAR(Invoer!$A$5),1,1)+INT((ROWS(B$2:B373)-1)/3),"jjjjmmdd")</f>
        <v>19400503</v>
      </c>
      <c r="C373" s="35" t="str">
        <f>INDEX(Data,2,2+MOD(ROWS(C$2:C373)-1,3))</f>
        <v>19.45</v>
      </c>
      <c r="D373" s="23">
        <f t="shared" ca="1" si="26"/>
        <v>750</v>
      </c>
      <c r="E373" s="40">
        <f t="shared" ca="1" si="27"/>
        <v>0</v>
      </c>
      <c r="F373" s="23">
        <f t="shared" ca="1" si="28"/>
        <v>28</v>
      </c>
      <c r="G373" s="40">
        <f t="shared" ca="1" si="29"/>
        <v>0</v>
      </c>
    </row>
    <row r="374" spans="1:7" x14ac:dyDescent="0.25">
      <c r="A374" s="17">
        <f t="shared" si="25"/>
        <v>81</v>
      </c>
      <c r="B374" t="str">
        <f ca="1">TEXT(DATE(YEAR(Invoer!$A$5),1,1)+INT((ROWS(B$2:B374)-1)/3),"jjjjmmdd")</f>
        <v>19400504</v>
      </c>
      <c r="C374" s="35" t="str">
        <f>INDEX(Data,2,2+MOD(ROWS(C$2:C374)-1,3))</f>
        <v>07.45</v>
      </c>
      <c r="D374" s="23">
        <f t="shared" ca="1" si="26"/>
        <v>749</v>
      </c>
      <c r="E374" s="40">
        <f t="shared" ca="1" si="27"/>
        <v>0</v>
      </c>
      <c r="F374" s="23">
        <f t="shared" ca="1" si="28"/>
        <v>27</v>
      </c>
      <c r="G374" s="40">
        <f t="shared" ca="1" si="29"/>
        <v>0</v>
      </c>
    </row>
    <row r="375" spans="1:7" x14ac:dyDescent="0.25">
      <c r="A375" s="17">
        <f t="shared" si="25"/>
        <v>81</v>
      </c>
      <c r="B375" t="str">
        <f ca="1">TEXT(DATE(YEAR(Invoer!$A$5),1,1)+INT((ROWS(B$2:B375)-1)/3),"jjjjmmdd")</f>
        <v>19400504</v>
      </c>
      <c r="C375" s="35" t="str">
        <f>INDEX(Data,2,2+MOD(ROWS(C$2:C375)-1,3))</f>
        <v>13.45</v>
      </c>
      <c r="D375" s="23">
        <f t="shared" ca="1" si="26"/>
        <v>748</v>
      </c>
      <c r="E375" s="40">
        <f t="shared" ca="1" si="27"/>
        <v>0</v>
      </c>
      <c r="F375" s="23">
        <f t="shared" ca="1" si="28"/>
        <v>29</v>
      </c>
      <c r="G375" s="40">
        <f t="shared" ca="1" si="29"/>
        <v>0</v>
      </c>
    </row>
    <row r="376" spans="1:7" x14ac:dyDescent="0.25">
      <c r="A376" s="17">
        <f t="shared" si="25"/>
        <v>81</v>
      </c>
      <c r="B376" t="str">
        <f ca="1">TEXT(DATE(YEAR(Invoer!$A$5),1,1)+INT((ROWS(B$2:B376)-1)/3),"jjjjmmdd")</f>
        <v>19400504</v>
      </c>
      <c r="C376" s="35" t="str">
        <f>INDEX(Data,2,2+MOD(ROWS(C$2:C376)-1,3))</f>
        <v>19.45</v>
      </c>
      <c r="D376" s="23">
        <f t="shared" ca="1" si="26"/>
        <v>749</v>
      </c>
      <c r="E376" s="40">
        <f t="shared" ca="1" si="27"/>
        <v>0</v>
      </c>
      <c r="F376" s="23">
        <f t="shared" ca="1" si="28"/>
        <v>28</v>
      </c>
      <c r="G376" s="40">
        <f t="shared" ca="1" si="29"/>
        <v>0</v>
      </c>
    </row>
    <row r="377" spans="1:7" x14ac:dyDescent="0.25">
      <c r="A377" s="17">
        <f t="shared" si="25"/>
        <v>81</v>
      </c>
      <c r="B377" t="str">
        <f ca="1">TEXT(DATE(YEAR(Invoer!$A$5),1,1)+INT((ROWS(B$2:B377)-1)/3),"jjjjmmdd")</f>
        <v>19400505</v>
      </c>
      <c r="C377" s="35" t="str">
        <f>INDEX(Data,2,2+MOD(ROWS(C$2:C377)-1,3))</f>
        <v>07.45</v>
      </c>
      <c r="D377" s="23">
        <f t="shared" ca="1" si="26"/>
        <v>750</v>
      </c>
      <c r="E377" s="40">
        <f t="shared" ca="1" si="27"/>
        <v>0</v>
      </c>
      <c r="F377" s="23">
        <f t="shared" ca="1" si="28"/>
        <v>27</v>
      </c>
      <c r="G377" s="40">
        <f t="shared" ca="1" si="29"/>
        <v>0</v>
      </c>
    </row>
    <row r="378" spans="1:7" x14ac:dyDescent="0.25">
      <c r="A378" s="17">
        <f t="shared" si="25"/>
        <v>81</v>
      </c>
      <c r="B378" t="str">
        <f ca="1">TEXT(DATE(YEAR(Invoer!$A$5),1,1)+INT((ROWS(B$2:B378)-1)/3),"jjjjmmdd")</f>
        <v>19400505</v>
      </c>
      <c r="C378" s="35" t="str">
        <f>INDEX(Data,2,2+MOD(ROWS(C$2:C378)-1,3))</f>
        <v>13.45</v>
      </c>
      <c r="D378" s="23">
        <f t="shared" ca="1" si="26"/>
        <v>750</v>
      </c>
      <c r="E378" s="40">
        <f t="shared" ca="1" si="27"/>
        <v>0</v>
      </c>
      <c r="F378" s="23">
        <f t="shared" ca="1" si="28"/>
        <v>29</v>
      </c>
      <c r="G378" s="40">
        <f t="shared" ca="1" si="29"/>
        <v>0</v>
      </c>
    </row>
    <row r="379" spans="1:7" x14ac:dyDescent="0.25">
      <c r="A379" s="17">
        <f t="shared" si="25"/>
        <v>81</v>
      </c>
      <c r="B379" t="str">
        <f ca="1">TEXT(DATE(YEAR(Invoer!$A$5),1,1)+INT((ROWS(B$2:B379)-1)/3),"jjjjmmdd")</f>
        <v>19400505</v>
      </c>
      <c r="C379" s="35" t="str">
        <f>INDEX(Data,2,2+MOD(ROWS(C$2:C379)-1,3))</f>
        <v>19.45</v>
      </c>
      <c r="D379" s="23">
        <f t="shared" ca="1" si="26"/>
        <v>750</v>
      </c>
      <c r="E379" s="40">
        <f t="shared" ca="1" si="27"/>
        <v>0</v>
      </c>
      <c r="F379" s="23">
        <f t="shared" ca="1" si="28"/>
        <v>28</v>
      </c>
      <c r="G379" s="40">
        <f t="shared" ca="1" si="29"/>
        <v>0</v>
      </c>
    </row>
    <row r="380" spans="1:7" x14ac:dyDescent="0.25">
      <c r="A380" s="17">
        <f t="shared" si="25"/>
        <v>81</v>
      </c>
      <c r="B380" t="str">
        <f ca="1">TEXT(DATE(YEAR(Invoer!$A$5),1,1)+INT((ROWS(B$2:B380)-1)/3),"jjjjmmdd")</f>
        <v>19400506</v>
      </c>
      <c r="C380" s="35" t="str">
        <f>INDEX(Data,2,2+MOD(ROWS(C$2:C380)-1,3))</f>
        <v>07.45</v>
      </c>
      <c r="D380" s="23">
        <f t="shared" ca="1" si="26"/>
        <v>750</v>
      </c>
      <c r="E380" s="40">
        <f t="shared" ca="1" si="27"/>
        <v>0</v>
      </c>
      <c r="F380" s="23">
        <f t="shared" ca="1" si="28"/>
        <v>28</v>
      </c>
      <c r="G380" s="40">
        <f t="shared" ca="1" si="29"/>
        <v>0</v>
      </c>
    </row>
    <row r="381" spans="1:7" x14ac:dyDescent="0.25">
      <c r="A381" s="17">
        <f t="shared" si="25"/>
        <v>81</v>
      </c>
      <c r="B381" t="str">
        <f ca="1">TEXT(DATE(YEAR(Invoer!$A$5),1,1)+INT((ROWS(B$2:B381)-1)/3),"jjjjmmdd")</f>
        <v>19400506</v>
      </c>
      <c r="C381" s="35" t="str">
        <f>INDEX(Data,2,2+MOD(ROWS(C$2:C381)-1,3))</f>
        <v>13.45</v>
      </c>
      <c r="D381" s="23">
        <f t="shared" ca="1" si="26"/>
        <v>750</v>
      </c>
      <c r="E381" s="40">
        <f t="shared" ca="1" si="27"/>
        <v>0</v>
      </c>
      <c r="F381" s="23">
        <f t="shared" ca="1" si="28"/>
        <v>30</v>
      </c>
      <c r="G381" s="40">
        <f t="shared" ca="1" si="29"/>
        <v>0</v>
      </c>
    </row>
    <row r="382" spans="1:7" x14ac:dyDescent="0.25">
      <c r="A382" s="17">
        <f t="shared" si="25"/>
        <v>81</v>
      </c>
      <c r="B382" t="str">
        <f ca="1">TEXT(DATE(YEAR(Invoer!$A$5),1,1)+INT((ROWS(B$2:B382)-1)/3),"jjjjmmdd")</f>
        <v>19400506</v>
      </c>
      <c r="C382" s="35" t="str">
        <f>INDEX(Data,2,2+MOD(ROWS(C$2:C382)-1,3))</f>
        <v>19.45</v>
      </c>
      <c r="D382" s="23">
        <f t="shared" ca="1" si="26"/>
        <v>749</v>
      </c>
      <c r="E382" s="40">
        <f t="shared" ca="1" si="27"/>
        <v>0</v>
      </c>
      <c r="F382" s="23">
        <f t="shared" ca="1" si="28"/>
        <v>29</v>
      </c>
      <c r="G382" s="40">
        <f t="shared" ca="1" si="29"/>
        <v>0</v>
      </c>
    </row>
    <row r="383" spans="1:7" x14ac:dyDescent="0.25">
      <c r="A383" s="17">
        <f t="shared" si="25"/>
        <v>81</v>
      </c>
      <c r="B383" t="str">
        <f ca="1">TEXT(DATE(YEAR(Invoer!$A$5),1,1)+INT((ROWS(B$2:B383)-1)/3),"jjjjmmdd")</f>
        <v>19400507</v>
      </c>
      <c r="C383" s="35" t="str">
        <f>INDEX(Data,2,2+MOD(ROWS(C$2:C383)-1,3))</f>
        <v>07.45</v>
      </c>
      <c r="D383" s="23">
        <f t="shared" ca="1" si="26"/>
        <v>749</v>
      </c>
      <c r="E383" s="40">
        <f t="shared" ca="1" si="27"/>
        <v>0</v>
      </c>
      <c r="F383" s="23">
        <f t="shared" ca="1" si="28"/>
        <v>27</v>
      </c>
      <c r="G383" s="40">
        <f t="shared" ca="1" si="29"/>
        <v>0</v>
      </c>
    </row>
    <row r="384" spans="1:7" x14ac:dyDescent="0.25">
      <c r="A384" s="17">
        <f t="shared" si="25"/>
        <v>81</v>
      </c>
      <c r="B384" t="str">
        <f ca="1">TEXT(DATE(YEAR(Invoer!$A$5),1,1)+INT((ROWS(B$2:B384)-1)/3),"jjjjmmdd")</f>
        <v>19400507</v>
      </c>
      <c r="C384" s="35" t="str">
        <f>INDEX(Data,2,2+MOD(ROWS(C$2:C384)-1,3))</f>
        <v>13.45</v>
      </c>
      <c r="D384" s="23">
        <f t="shared" ca="1" si="26"/>
        <v>748</v>
      </c>
      <c r="E384" s="40">
        <f t="shared" ca="1" si="27"/>
        <v>0</v>
      </c>
      <c r="F384" s="23">
        <f t="shared" ca="1" si="28"/>
        <v>29</v>
      </c>
      <c r="G384" s="40">
        <f t="shared" ca="1" si="29"/>
        <v>0</v>
      </c>
    </row>
    <row r="385" spans="1:7" x14ac:dyDescent="0.25">
      <c r="A385" s="17">
        <f t="shared" si="25"/>
        <v>81</v>
      </c>
      <c r="B385" t="str">
        <f ca="1">TEXT(DATE(YEAR(Invoer!$A$5),1,1)+INT((ROWS(B$2:B385)-1)/3),"jjjjmmdd")</f>
        <v>19400507</v>
      </c>
      <c r="C385" s="35" t="str">
        <f>INDEX(Data,2,2+MOD(ROWS(C$2:C385)-1,3))</f>
        <v>19.45</v>
      </c>
      <c r="D385" s="23">
        <f t="shared" ca="1" si="26"/>
        <v>749</v>
      </c>
      <c r="E385" s="40">
        <f t="shared" ca="1" si="27"/>
        <v>0</v>
      </c>
      <c r="F385" s="23">
        <f t="shared" ca="1" si="28"/>
        <v>28</v>
      </c>
      <c r="G385" s="40">
        <f t="shared" ca="1" si="29"/>
        <v>0</v>
      </c>
    </row>
    <row r="386" spans="1:7" x14ac:dyDescent="0.25">
      <c r="A386" s="17">
        <f t="shared" ref="A386:A449" si="30">INDEX(Stations,2,1)</f>
        <v>81</v>
      </c>
      <c r="B386" t="str">
        <f ca="1">TEXT(DATE(YEAR(Invoer!$A$5),1,1)+INT((ROWS(B$2:B386)-1)/3),"jjjjmmdd")</f>
        <v>19400508</v>
      </c>
      <c r="C386" s="35" t="str">
        <f>INDEX(Data,2,2+MOD(ROWS(C$2:C386)-1,3))</f>
        <v>07.45</v>
      </c>
      <c r="D386" s="23">
        <f t="shared" ref="D386:D449" ca="1" si="31">IF(OR(ISBLANK(VLOOKUP(DATEVALUE(LEFT($B386,4)&amp;"-"&amp;MID($B386,5,2)&amp;"-"&amp;RIGHT($B386,2)),Data,MATCH(LEFT(VLOOKUP(D$1,Parameters,2,FALSE()),4)&amp;"*",OFFSET(Data,0,0,1),0)+MATCH($C386,OFFSET(Data,1,0,1),0)-2,FALSE())),ISTEXT(VLOOKUP(DATEVALUE(LEFT($B386,4)&amp;"-"&amp;MID($B386,5,2)&amp;"-"&amp;RIGHT($B386,2)),Data,MATCH(LEFT(VLOOKUP(D$1,Parameters,2,FALSE()),4)&amp;"*",OFFSET(Data,0,0,1),0)+MATCH($C386,OFFSET(Data,1,0,1),0)-2,FALSE()))),"—",VLOOKUP(DATEVALUE(LEFT($B386,4)&amp;"-"&amp;MID($B386,5,2)&amp;"-"&amp;RIGHT($B386,2)),Data,MATCH(LEFT(VLOOKUP(D$1,Parameters,2,FALSE()),4)&amp;"*",OFFSET(Data,0,0,1),0)+MATCH($C386,OFFSET(Data,1,0,1),0)-2,FALSE()))</f>
        <v>749</v>
      </c>
      <c r="E386" s="40">
        <f t="shared" ref="E386:E449" ca="1" si="32">IF(OR(ISBLANK(VLOOKUP(DATEVALUE(LEFT($B386,4)&amp;"-"&amp;MID($B386,5,2)&amp;"-"&amp;RIGHT($B386,2)),Data,MATCH(LEFT(VLOOKUP(MID(E$1,2,LEN(E$1)-1),Parameters,2,FALSE()),4)&amp;"*",OFFSET(Data,0,0,1),0)+MATCH($C386,OFFSET(Data,1,0,1),0)-2,FALSE())),ISTEXT(VLOOKUP(DATEVALUE(LEFT($B386,4)&amp;"-"&amp;MID($B386,5,2)&amp;"-"&amp;RIGHT($B386,2)),Data,MATCH(LEFT(VLOOKUP(MID(E$1,2,LEN(E$1)-1),Parameters,2,FALSE()),4)&amp;"*",OFFSET(Data,0,0,1),0)+MATCH($C386,OFFSET(Data,1,0,1),0)-2,FALSE()))),Lacking,IF(ISNA(MATCH(DATEVALUE(LEFT($B386,4)&amp;"-"&amp;MID($B386,5,2)&amp;"-"&amp;RIGHT($B386,2)),OFFSET(Catalogus,0,0,,1),0)),Ok,VLOOKUP(DATEVALUE(LEFT($B386,4)&amp;"-"&amp;MID($B386,5,2)&amp;"-"&amp;RIGHT($B386,2)),Catalogus,MATCH(LEFT(VLOOKUP(MID(E$1,2,LEN(E$1)-1),Parameters,2,FALSE()),4)&amp;"*",OFFSET(Catalogus,0,0,1),0)+MATCH($C386,OFFSET(Catalogus,1,0,1),0)-2,FALSE())))</f>
        <v>0</v>
      </c>
      <c r="F386" s="23">
        <f t="shared" ref="F386:F449" ca="1" si="33">IF(OR(ISBLANK(VLOOKUP(DATEVALUE(LEFT($B386,4)&amp;"-"&amp;MID($B386,5,2)&amp;"-"&amp;RIGHT($B386,2)),Data,MATCH(LEFT(VLOOKUP(F$1,Parameters,2,FALSE()),4)&amp;"*",OFFSET(Data,0,0,1),0)+MATCH($C386,OFFSET(Data,1,0,1),0)-2,FALSE())),ISTEXT(VLOOKUP(DATEVALUE(LEFT($B386,4)&amp;"-"&amp;MID($B386,5,2)&amp;"-"&amp;RIGHT($B386,2)),Data,MATCH(LEFT(VLOOKUP(F$1,Parameters,2,FALSE()),4)&amp;"*",OFFSET(Data,0,0,1),0)+MATCH($C386,OFFSET(Data,1,0,1),0)-2,FALSE()))),"—",VLOOKUP(DATEVALUE(LEFT($B386,4)&amp;"-"&amp;MID($B386,5,2)&amp;"-"&amp;RIGHT($B386,2)),Data,MATCH(LEFT(VLOOKUP(F$1,Parameters,2,FALSE()),4)&amp;"*",OFFSET(Data,0,0,1),0)+MATCH($C386,OFFSET(Data,1,0,1),0)-2,FALSE()))</f>
        <v>27</v>
      </c>
      <c r="G386" s="40">
        <f t="shared" ref="G386:G449" ca="1" si="34">IF(OR(ISBLANK(VLOOKUP(DATEVALUE(LEFT($B386,4)&amp;"-"&amp;MID($B386,5,2)&amp;"-"&amp;RIGHT($B386,2)),Data,MATCH(LEFT(VLOOKUP(MID(G$1,2,LEN(G$1)-1),Parameters,2,FALSE()),4)&amp;"*",OFFSET(Data,0,0,1),0)+MATCH($C386,OFFSET(Data,1,0,1),0)-2,FALSE())),ISTEXT(VLOOKUP(DATEVALUE(LEFT($B386,4)&amp;"-"&amp;MID($B386,5,2)&amp;"-"&amp;RIGHT($B386,2)),Data,MATCH(LEFT(VLOOKUP(MID(G$1,2,LEN(G$1)-1),Parameters,2,FALSE()),4)&amp;"*",OFFSET(Data,0,0,1),0)+MATCH($C386,OFFSET(Data,1,0,1),0)-2,FALSE()))),Lacking,IF(ISNA(MATCH(DATEVALUE(LEFT($B386,4)&amp;"-"&amp;MID($B386,5,2)&amp;"-"&amp;RIGHT($B386,2)),OFFSET(Catalogus,0,0,,1),0)),Ok,VLOOKUP(DATEVALUE(LEFT($B386,4)&amp;"-"&amp;MID($B386,5,2)&amp;"-"&amp;RIGHT($B386,2)),Catalogus,MATCH(LEFT(VLOOKUP(MID(G$1,2,LEN(G$1)-1),Parameters,2,FALSE()),4)&amp;"*",OFFSET(Catalogus,0,0,1),0)+MATCH($C386,OFFSET(Catalogus,1,0,1),0)-2,FALSE())))</f>
        <v>0</v>
      </c>
    </row>
    <row r="387" spans="1:7" x14ac:dyDescent="0.25">
      <c r="A387" s="17">
        <f t="shared" si="30"/>
        <v>81</v>
      </c>
      <c r="B387" t="str">
        <f ca="1">TEXT(DATE(YEAR(Invoer!$A$5),1,1)+INT((ROWS(B$2:B387)-1)/3),"jjjjmmdd")</f>
        <v>19400508</v>
      </c>
      <c r="C387" s="35" t="str">
        <f>INDEX(Data,2,2+MOD(ROWS(C$2:C387)-1,3))</f>
        <v>13.45</v>
      </c>
      <c r="D387" s="23">
        <f t="shared" ca="1" si="31"/>
        <v>748</v>
      </c>
      <c r="E387" s="40">
        <f t="shared" ca="1" si="32"/>
        <v>0</v>
      </c>
      <c r="F387" s="23">
        <f t="shared" ca="1" si="33"/>
        <v>25</v>
      </c>
      <c r="G387" s="40">
        <f t="shared" ca="1" si="34"/>
        <v>0</v>
      </c>
    </row>
    <row r="388" spans="1:7" x14ac:dyDescent="0.25">
      <c r="A388" s="17">
        <f t="shared" si="30"/>
        <v>81</v>
      </c>
      <c r="B388" t="str">
        <f ca="1">TEXT(DATE(YEAR(Invoer!$A$5),1,1)+INT((ROWS(B$2:B388)-1)/3),"jjjjmmdd")</f>
        <v>19400508</v>
      </c>
      <c r="C388" s="35" t="str">
        <f>INDEX(Data,2,2+MOD(ROWS(C$2:C388)-1,3))</f>
        <v>19.45</v>
      </c>
      <c r="D388" s="23">
        <f t="shared" ca="1" si="31"/>
        <v>748</v>
      </c>
      <c r="E388" s="40">
        <f t="shared" ca="1" si="32"/>
        <v>0</v>
      </c>
      <c r="F388" s="23">
        <f t="shared" ca="1" si="33"/>
        <v>25</v>
      </c>
      <c r="G388" s="40">
        <f t="shared" ca="1" si="34"/>
        <v>0</v>
      </c>
    </row>
    <row r="389" spans="1:7" x14ac:dyDescent="0.25">
      <c r="A389" s="17">
        <f t="shared" si="30"/>
        <v>81</v>
      </c>
      <c r="B389" t="str">
        <f ca="1">TEXT(DATE(YEAR(Invoer!$A$5),1,1)+INT((ROWS(B$2:B389)-1)/3),"jjjjmmdd")</f>
        <v>19400509</v>
      </c>
      <c r="C389" s="35" t="str">
        <f>INDEX(Data,2,2+MOD(ROWS(C$2:C389)-1,3))</f>
        <v>07.45</v>
      </c>
      <c r="D389" s="23">
        <f t="shared" ca="1" si="31"/>
        <v>749</v>
      </c>
      <c r="E389" s="40">
        <f t="shared" ca="1" si="32"/>
        <v>0</v>
      </c>
      <c r="F389" s="23">
        <f t="shared" ca="1" si="33"/>
        <v>25</v>
      </c>
      <c r="G389" s="40">
        <f t="shared" ca="1" si="34"/>
        <v>0</v>
      </c>
    </row>
    <row r="390" spans="1:7" x14ac:dyDescent="0.25">
      <c r="A390" s="17">
        <f t="shared" si="30"/>
        <v>81</v>
      </c>
      <c r="B390" t="str">
        <f ca="1">TEXT(DATE(YEAR(Invoer!$A$5),1,1)+INT((ROWS(B$2:B390)-1)/3),"jjjjmmdd")</f>
        <v>19400509</v>
      </c>
      <c r="C390" s="35" t="str">
        <f>INDEX(Data,2,2+MOD(ROWS(C$2:C390)-1,3))</f>
        <v>13.45</v>
      </c>
      <c r="D390" s="23">
        <f t="shared" ca="1" si="31"/>
        <v>748</v>
      </c>
      <c r="E390" s="40">
        <f t="shared" ca="1" si="32"/>
        <v>0</v>
      </c>
      <c r="F390" s="23">
        <f t="shared" ca="1" si="33"/>
        <v>27</v>
      </c>
      <c r="G390" s="40">
        <f t="shared" ca="1" si="34"/>
        <v>0</v>
      </c>
    </row>
    <row r="391" spans="1:7" x14ac:dyDescent="0.25">
      <c r="A391" s="17">
        <f t="shared" si="30"/>
        <v>81</v>
      </c>
      <c r="B391" t="str">
        <f ca="1">TEXT(DATE(YEAR(Invoer!$A$5),1,1)+INT((ROWS(B$2:B391)-1)/3),"jjjjmmdd")</f>
        <v>19400509</v>
      </c>
      <c r="C391" s="35" t="str">
        <f>INDEX(Data,2,2+MOD(ROWS(C$2:C391)-1,3))</f>
        <v>19.45</v>
      </c>
      <c r="D391" s="23">
        <f t="shared" ca="1" si="31"/>
        <v>748</v>
      </c>
      <c r="E391" s="40">
        <f t="shared" ca="1" si="32"/>
        <v>0</v>
      </c>
      <c r="F391" s="23">
        <f t="shared" ca="1" si="33"/>
        <v>27</v>
      </c>
      <c r="G391" s="40">
        <f t="shared" ca="1" si="34"/>
        <v>0</v>
      </c>
    </row>
    <row r="392" spans="1:7" x14ac:dyDescent="0.25">
      <c r="A392" s="17">
        <f t="shared" si="30"/>
        <v>81</v>
      </c>
      <c r="B392" t="str">
        <f ca="1">TEXT(DATE(YEAR(Invoer!$A$5),1,1)+INT((ROWS(B$2:B392)-1)/3),"jjjjmmdd")</f>
        <v>19400510</v>
      </c>
      <c r="C392" s="35" t="str">
        <f>INDEX(Data,2,2+MOD(ROWS(C$2:C392)-1,3))</f>
        <v>07.45</v>
      </c>
      <c r="D392" s="23">
        <f t="shared" ca="1" si="31"/>
        <v>748</v>
      </c>
      <c r="E392" s="40">
        <f t="shared" ca="1" si="32"/>
        <v>0</v>
      </c>
      <c r="F392" s="23">
        <f t="shared" ca="1" si="33"/>
        <v>26</v>
      </c>
      <c r="G392" s="40">
        <f t="shared" ca="1" si="34"/>
        <v>0</v>
      </c>
    </row>
    <row r="393" spans="1:7" x14ac:dyDescent="0.25">
      <c r="A393" s="17">
        <f t="shared" si="30"/>
        <v>81</v>
      </c>
      <c r="B393" t="str">
        <f ca="1">TEXT(DATE(YEAR(Invoer!$A$5),1,1)+INT((ROWS(B$2:B393)-1)/3),"jjjjmmdd")</f>
        <v>19400510</v>
      </c>
      <c r="C393" s="35" t="str">
        <f>INDEX(Data,2,2+MOD(ROWS(C$2:C393)-1,3))</f>
        <v>13.45</v>
      </c>
      <c r="D393" s="23">
        <f t="shared" ca="1" si="31"/>
        <v>748</v>
      </c>
      <c r="E393" s="40">
        <f t="shared" ca="1" si="32"/>
        <v>0</v>
      </c>
      <c r="F393" s="23">
        <f t="shared" ca="1" si="33"/>
        <v>28</v>
      </c>
      <c r="G393" s="40">
        <f t="shared" ca="1" si="34"/>
        <v>0</v>
      </c>
    </row>
    <row r="394" spans="1:7" x14ac:dyDescent="0.25">
      <c r="A394" s="17">
        <f t="shared" si="30"/>
        <v>81</v>
      </c>
      <c r="B394" t="str">
        <f ca="1">TEXT(DATE(YEAR(Invoer!$A$5),1,1)+INT((ROWS(B$2:B394)-1)/3),"jjjjmmdd")</f>
        <v>19400510</v>
      </c>
      <c r="C394" s="35" t="str">
        <f>INDEX(Data,2,2+MOD(ROWS(C$2:C394)-1,3))</f>
        <v>19.45</v>
      </c>
      <c r="D394" s="23">
        <f t="shared" ca="1" si="31"/>
        <v>748</v>
      </c>
      <c r="E394" s="40">
        <f t="shared" ca="1" si="32"/>
        <v>0</v>
      </c>
      <c r="F394" s="23">
        <f t="shared" ca="1" si="33"/>
        <v>27</v>
      </c>
      <c r="G394" s="40">
        <f t="shared" ca="1" si="34"/>
        <v>0</v>
      </c>
    </row>
    <row r="395" spans="1:7" x14ac:dyDescent="0.25">
      <c r="A395" s="17">
        <f t="shared" si="30"/>
        <v>81</v>
      </c>
      <c r="B395" t="str">
        <f ca="1">TEXT(DATE(YEAR(Invoer!$A$5),1,1)+INT((ROWS(B$2:B395)-1)/3),"jjjjmmdd")</f>
        <v>19400511</v>
      </c>
      <c r="C395" s="35" t="str">
        <f>INDEX(Data,2,2+MOD(ROWS(C$2:C395)-1,3))</f>
        <v>07.45</v>
      </c>
      <c r="D395" s="23">
        <f t="shared" ca="1" si="31"/>
        <v>748</v>
      </c>
      <c r="E395" s="40">
        <f t="shared" ca="1" si="32"/>
        <v>0</v>
      </c>
      <c r="F395" s="23">
        <f t="shared" ca="1" si="33"/>
        <v>27</v>
      </c>
      <c r="G395" s="40">
        <f t="shared" ca="1" si="34"/>
        <v>0</v>
      </c>
    </row>
    <row r="396" spans="1:7" x14ac:dyDescent="0.25">
      <c r="A396" s="17">
        <f t="shared" si="30"/>
        <v>81</v>
      </c>
      <c r="B396" t="str">
        <f ca="1">TEXT(DATE(YEAR(Invoer!$A$5),1,1)+INT((ROWS(B$2:B396)-1)/3),"jjjjmmdd")</f>
        <v>19400511</v>
      </c>
      <c r="C396" s="35" t="str">
        <f>INDEX(Data,2,2+MOD(ROWS(C$2:C396)-1,3))</f>
        <v>13.45</v>
      </c>
      <c r="D396" s="23">
        <f t="shared" ca="1" si="31"/>
        <v>747</v>
      </c>
      <c r="E396" s="40">
        <f t="shared" ca="1" si="32"/>
        <v>0</v>
      </c>
      <c r="F396" s="23">
        <f t="shared" ca="1" si="33"/>
        <v>29</v>
      </c>
      <c r="G396" s="40">
        <f t="shared" ca="1" si="34"/>
        <v>0</v>
      </c>
    </row>
    <row r="397" spans="1:7" x14ac:dyDescent="0.25">
      <c r="A397" s="17">
        <f t="shared" si="30"/>
        <v>81</v>
      </c>
      <c r="B397" t="str">
        <f ca="1">TEXT(DATE(YEAR(Invoer!$A$5),1,1)+INT((ROWS(B$2:B397)-1)/3),"jjjjmmdd")</f>
        <v>19400511</v>
      </c>
      <c r="C397" s="35" t="str">
        <f>INDEX(Data,2,2+MOD(ROWS(C$2:C397)-1,3))</f>
        <v>19.45</v>
      </c>
      <c r="D397" s="23">
        <f t="shared" ca="1" si="31"/>
        <v>748</v>
      </c>
      <c r="E397" s="40">
        <f t="shared" ca="1" si="32"/>
        <v>0</v>
      </c>
      <c r="F397" s="23">
        <f t="shared" ca="1" si="33"/>
        <v>28</v>
      </c>
      <c r="G397" s="40">
        <f t="shared" ca="1" si="34"/>
        <v>0</v>
      </c>
    </row>
    <row r="398" spans="1:7" x14ac:dyDescent="0.25">
      <c r="A398" s="17">
        <f t="shared" si="30"/>
        <v>81</v>
      </c>
      <c r="B398" t="str">
        <f ca="1">TEXT(DATE(YEAR(Invoer!$A$5),1,1)+INT((ROWS(B$2:B398)-1)/3),"jjjjmmdd")</f>
        <v>19400512</v>
      </c>
      <c r="C398" s="35" t="str">
        <f>INDEX(Data,2,2+MOD(ROWS(C$2:C398)-1,3))</f>
        <v>07.45</v>
      </c>
      <c r="D398" s="23">
        <f t="shared" ca="1" si="31"/>
        <v>748</v>
      </c>
      <c r="E398" s="40">
        <f t="shared" ca="1" si="32"/>
        <v>0</v>
      </c>
      <c r="F398" s="23">
        <f t="shared" ca="1" si="33"/>
        <v>27</v>
      </c>
      <c r="G398" s="40">
        <f t="shared" ca="1" si="34"/>
        <v>0</v>
      </c>
    </row>
    <row r="399" spans="1:7" x14ac:dyDescent="0.25">
      <c r="A399" s="17">
        <f t="shared" si="30"/>
        <v>81</v>
      </c>
      <c r="B399" t="str">
        <f ca="1">TEXT(DATE(YEAR(Invoer!$A$5),1,1)+INT((ROWS(B$2:B399)-1)/3),"jjjjmmdd")</f>
        <v>19400512</v>
      </c>
      <c r="C399" s="35" t="str">
        <f>INDEX(Data,2,2+MOD(ROWS(C$2:C399)-1,3))</f>
        <v>13.45</v>
      </c>
      <c r="D399" s="23">
        <f t="shared" ca="1" si="31"/>
        <v>748</v>
      </c>
      <c r="E399" s="40">
        <f t="shared" ca="1" si="32"/>
        <v>0</v>
      </c>
      <c r="F399" s="23">
        <f t="shared" ca="1" si="33"/>
        <v>29</v>
      </c>
      <c r="G399" s="40">
        <f t="shared" ca="1" si="34"/>
        <v>0</v>
      </c>
    </row>
    <row r="400" spans="1:7" x14ac:dyDescent="0.25">
      <c r="A400" s="17">
        <f t="shared" si="30"/>
        <v>81</v>
      </c>
      <c r="B400" t="str">
        <f ca="1">TEXT(DATE(YEAR(Invoer!$A$5),1,1)+INT((ROWS(B$2:B400)-1)/3),"jjjjmmdd")</f>
        <v>19400512</v>
      </c>
      <c r="C400" s="35" t="str">
        <f>INDEX(Data,2,2+MOD(ROWS(C$2:C400)-1,3))</f>
        <v>19.45</v>
      </c>
      <c r="D400" s="23">
        <f t="shared" ca="1" si="31"/>
        <v>748</v>
      </c>
      <c r="E400" s="40">
        <f t="shared" ca="1" si="32"/>
        <v>0</v>
      </c>
      <c r="F400" s="23">
        <f t="shared" ca="1" si="33"/>
        <v>28</v>
      </c>
      <c r="G400" s="40">
        <f t="shared" ca="1" si="34"/>
        <v>0</v>
      </c>
    </row>
    <row r="401" spans="1:7" x14ac:dyDescent="0.25">
      <c r="A401" s="17">
        <f t="shared" si="30"/>
        <v>81</v>
      </c>
      <c r="B401" t="str">
        <f ca="1">TEXT(DATE(YEAR(Invoer!$A$5),1,1)+INT((ROWS(B$2:B401)-1)/3),"jjjjmmdd")</f>
        <v>19400513</v>
      </c>
      <c r="C401" s="35" t="str">
        <f>INDEX(Data,2,2+MOD(ROWS(C$2:C401)-1,3))</f>
        <v>07.45</v>
      </c>
      <c r="D401" s="23">
        <f t="shared" ca="1" si="31"/>
        <v>748</v>
      </c>
      <c r="E401" s="40">
        <f t="shared" ca="1" si="32"/>
        <v>0</v>
      </c>
      <c r="F401" s="23">
        <f t="shared" ca="1" si="33"/>
        <v>28</v>
      </c>
      <c r="G401" s="40">
        <f t="shared" ca="1" si="34"/>
        <v>0</v>
      </c>
    </row>
    <row r="402" spans="1:7" x14ac:dyDescent="0.25">
      <c r="A402" s="17">
        <f t="shared" si="30"/>
        <v>81</v>
      </c>
      <c r="B402" t="str">
        <f ca="1">TEXT(DATE(YEAR(Invoer!$A$5),1,1)+INT((ROWS(B$2:B402)-1)/3),"jjjjmmdd")</f>
        <v>19400513</v>
      </c>
      <c r="C402" s="35" t="str">
        <f>INDEX(Data,2,2+MOD(ROWS(C$2:C402)-1,3))</f>
        <v>13.45</v>
      </c>
      <c r="D402" s="23">
        <f t="shared" ca="1" si="31"/>
        <v>749</v>
      </c>
      <c r="E402" s="40">
        <f t="shared" ca="1" si="32"/>
        <v>0</v>
      </c>
      <c r="F402" s="23">
        <f t="shared" ca="1" si="33"/>
        <v>30</v>
      </c>
      <c r="G402" s="40">
        <f t="shared" ca="1" si="34"/>
        <v>0</v>
      </c>
    </row>
    <row r="403" spans="1:7" x14ac:dyDescent="0.25">
      <c r="A403" s="17">
        <f t="shared" si="30"/>
        <v>81</v>
      </c>
      <c r="B403" t="str">
        <f ca="1">TEXT(DATE(YEAR(Invoer!$A$5),1,1)+INT((ROWS(B$2:B403)-1)/3),"jjjjmmdd")</f>
        <v>19400513</v>
      </c>
      <c r="C403" s="35" t="str">
        <f>INDEX(Data,2,2+MOD(ROWS(C$2:C403)-1,3))</f>
        <v>19.45</v>
      </c>
      <c r="D403" s="23">
        <f t="shared" ca="1" si="31"/>
        <v>749</v>
      </c>
      <c r="E403" s="40">
        <f t="shared" ca="1" si="32"/>
        <v>0</v>
      </c>
      <c r="F403" s="23">
        <f t="shared" ca="1" si="33"/>
        <v>28</v>
      </c>
      <c r="G403" s="40">
        <f t="shared" ca="1" si="34"/>
        <v>0</v>
      </c>
    </row>
    <row r="404" spans="1:7" x14ac:dyDescent="0.25">
      <c r="A404" s="17">
        <f t="shared" si="30"/>
        <v>81</v>
      </c>
      <c r="B404" t="str">
        <f ca="1">TEXT(DATE(YEAR(Invoer!$A$5),1,1)+INT((ROWS(B$2:B404)-1)/3),"jjjjmmdd")</f>
        <v>19400514</v>
      </c>
      <c r="C404" s="35" t="str">
        <f>INDEX(Data,2,2+MOD(ROWS(C$2:C404)-1,3))</f>
        <v>07.45</v>
      </c>
      <c r="D404" s="23">
        <f t="shared" ca="1" si="31"/>
        <v>749</v>
      </c>
      <c r="E404" s="40">
        <f t="shared" ca="1" si="32"/>
        <v>0</v>
      </c>
      <c r="F404" s="23">
        <f t="shared" ca="1" si="33"/>
        <v>28</v>
      </c>
      <c r="G404" s="40">
        <f t="shared" ca="1" si="34"/>
        <v>0</v>
      </c>
    </row>
    <row r="405" spans="1:7" x14ac:dyDescent="0.25">
      <c r="A405" s="17">
        <f t="shared" si="30"/>
        <v>81</v>
      </c>
      <c r="B405" t="str">
        <f ca="1">TEXT(DATE(YEAR(Invoer!$A$5),1,1)+INT((ROWS(B$2:B405)-1)/3),"jjjjmmdd")</f>
        <v>19400514</v>
      </c>
      <c r="C405" s="35" t="str">
        <f>INDEX(Data,2,2+MOD(ROWS(C$2:C405)-1,3))</f>
        <v>13.45</v>
      </c>
      <c r="D405" s="23">
        <f t="shared" ca="1" si="31"/>
        <v>748</v>
      </c>
      <c r="E405" s="40">
        <f t="shared" ca="1" si="32"/>
        <v>0</v>
      </c>
      <c r="F405" s="23">
        <f t="shared" ca="1" si="33"/>
        <v>29</v>
      </c>
      <c r="G405" s="40">
        <f t="shared" ca="1" si="34"/>
        <v>0</v>
      </c>
    </row>
    <row r="406" spans="1:7" x14ac:dyDescent="0.25">
      <c r="A406" s="17">
        <f t="shared" si="30"/>
        <v>81</v>
      </c>
      <c r="B406" t="str">
        <f ca="1">TEXT(DATE(YEAR(Invoer!$A$5),1,1)+INT((ROWS(B$2:B406)-1)/3),"jjjjmmdd")</f>
        <v>19400514</v>
      </c>
      <c r="C406" s="35" t="str">
        <f>INDEX(Data,2,2+MOD(ROWS(C$2:C406)-1,3))</f>
        <v>19.45</v>
      </c>
      <c r="D406" s="23">
        <f t="shared" ca="1" si="31"/>
        <v>748</v>
      </c>
      <c r="E406" s="40">
        <f t="shared" ca="1" si="32"/>
        <v>0</v>
      </c>
      <c r="F406" s="23">
        <f t="shared" ca="1" si="33"/>
        <v>28</v>
      </c>
      <c r="G406" s="40">
        <f t="shared" ca="1" si="34"/>
        <v>0</v>
      </c>
    </row>
    <row r="407" spans="1:7" x14ac:dyDescent="0.25">
      <c r="A407" s="17">
        <f t="shared" si="30"/>
        <v>81</v>
      </c>
      <c r="B407" t="str">
        <f ca="1">TEXT(DATE(YEAR(Invoer!$A$5),1,1)+INT((ROWS(B$2:B407)-1)/3),"jjjjmmdd")</f>
        <v>19400515</v>
      </c>
      <c r="C407" s="35" t="str">
        <f>INDEX(Data,2,2+MOD(ROWS(C$2:C407)-1,3))</f>
        <v>07.45</v>
      </c>
      <c r="D407" s="23">
        <f t="shared" ca="1" si="31"/>
        <v>748</v>
      </c>
      <c r="E407" s="40">
        <f t="shared" ca="1" si="32"/>
        <v>0</v>
      </c>
      <c r="F407" s="23">
        <f t="shared" ca="1" si="33"/>
        <v>28</v>
      </c>
      <c r="G407" s="40">
        <f t="shared" ca="1" si="34"/>
        <v>0</v>
      </c>
    </row>
    <row r="408" spans="1:7" x14ac:dyDescent="0.25">
      <c r="A408" s="17">
        <f t="shared" si="30"/>
        <v>81</v>
      </c>
      <c r="B408" t="str">
        <f ca="1">TEXT(DATE(YEAR(Invoer!$A$5),1,1)+INT((ROWS(B$2:B408)-1)/3),"jjjjmmdd")</f>
        <v>19400515</v>
      </c>
      <c r="C408" s="35" t="str">
        <f>INDEX(Data,2,2+MOD(ROWS(C$2:C408)-1,3))</f>
        <v>13.45</v>
      </c>
      <c r="D408" s="23">
        <f t="shared" ca="1" si="31"/>
        <v>749</v>
      </c>
      <c r="E408" s="40">
        <f t="shared" ca="1" si="32"/>
        <v>0</v>
      </c>
      <c r="F408" s="23">
        <f t="shared" ca="1" si="33"/>
        <v>30</v>
      </c>
      <c r="G408" s="40">
        <f t="shared" ca="1" si="34"/>
        <v>0</v>
      </c>
    </row>
    <row r="409" spans="1:7" x14ac:dyDescent="0.25">
      <c r="A409" s="17">
        <f t="shared" si="30"/>
        <v>81</v>
      </c>
      <c r="B409" t="str">
        <f ca="1">TEXT(DATE(YEAR(Invoer!$A$5),1,1)+INT((ROWS(B$2:B409)-1)/3),"jjjjmmdd")</f>
        <v>19400515</v>
      </c>
      <c r="C409" s="35" t="str">
        <f>INDEX(Data,2,2+MOD(ROWS(C$2:C409)-1,3))</f>
        <v>19.45</v>
      </c>
      <c r="D409" s="23">
        <f t="shared" ca="1" si="31"/>
        <v>750</v>
      </c>
      <c r="E409" s="40">
        <f t="shared" ca="1" si="32"/>
        <v>0</v>
      </c>
      <c r="F409" s="23">
        <f t="shared" ca="1" si="33"/>
        <v>28</v>
      </c>
      <c r="G409" s="40">
        <f t="shared" ca="1" si="34"/>
        <v>0</v>
      </c>
    </row>
    <row r="410" spans="1:7" x14ac:dyDescent="0.25">
      <c r="A410" s="17">
        <f t="shared" si="30"/>
        <v>81</v>
      </c>
      <c r="B410" t="str">
        <f ca="1">TEXT(DATE(YEAR(Invoer!$A$5),1,1)+INT((ROWS(B$2:B410)-1)/3),"jjjjmmdd")</f>
        <v>19400516</v>
      </c>
      <c r="C410" s="35" t="str">
        <f>INDEX(Data,2,2+MOD(ROWS(C$2:C410)-1,3))</f>
        <v>07.45</v>
      </c>
      <c r="D410" s="23">
        <f t="shared" ca="1" si="31"/>
        <v>749</v>
      </c>
      <c r="E410" s="40">
        <f t="shared" ca="1" si="32"/>
        <v>0</v>
      </c>
      <c r="F410" s="23">
        <f t="shared" ca="1" si="33"/>
        <v>27</v>
      </c>
      <c r="G410" s="40">
        <f t="shared" ca="1" si="34"/>
        <v>0</v>
      </c>
    </row>
    <row r="411" spans="1:7" x14ac:dyDescent="0.25">
      <c r="A411" s="17">
        <f t="shared" si="30"/>
        <v>81</v>
      </c>
      <c r="B411" t="str">
        <f ca="1">TEXT(DATE(YEAR(Invoer!$A$5),1,1)+INT((ROWS(B$2:B411)-1)/3),"jjjjmmdd")</f>
        <v>19400516</v>
      </c>
      <c r="C411" s="35" t="str">
        <f>INDEX(Data,2,2+MOD(ROWS(C$2:C411)-1,3))</f>
        <v>13.45</v>
      </c>
      <c r="D411" s="23">
        <f t="shared" ca="1" si="31"/>
        <v>748</v>
      </c>
      <c r="E411" s="40">
        <f t="shared" ca="1" si="32"/>
        <v>0</v>
      </c>
      <c r="F411" s="23">
        <f t="shared" ca="1" si="33"/>
        <v>29</v>
      </c>
      <c r="G411" s="40">
        <f t="shared" ca="1" si="34"/>
        <v>0</v>
      </c>
    </row>
    <row r="412" spans="1:7" x14ac:dyDescent="0.25">
      <c r="A412" s="17">
        <f t="shared" si="30"/>
        <v>81</v>
      </c>
      <c r="B412" t="str">
        <f ca="1">TEXT(DATE(YEAR(Invoer!$A$5),1,1)+INT((ROWS(B$2:B412)-1)/3),"jjjjmmdd")</f>
        <v>19400516</v>
      </c>
      <c r="C412" s="35" t="str">
        <f>INDEX(Data,2,2+MOD(ROWS(C$2:C412)-1,3))</f>
        <v>19.45</v>
      </c>
      <c r="D412" s="23">
        <f t="shared" ca="1" si="31"/>
        <v>748</v>
      </c>
      <c r="E412" s="40">
        <f t="shared" ca="1" si="32"/>
        <v>0</v>
      </c>
      <c r="F412" s="23">
        <f t="shared" ca="1" si="33"/>
        <v>28</v>
      </c>
      <c r="G412" s="40">
        <f t="shared" ca="1" si="34"/>
        <v>0</v>
      </c>
    </row>
    <row r="413" spans="1:7" x14ac:dyDescent="0.25">
      <c r="A413" s="17">
        <f t="shared" si="30"/>
        <v>81</v>
      </c>
      <c r="B413" t="str">
        <f ca="1">TEXT(DATE(YEAR(Invoer!$A$5),1,1)+INT((ROWS(B$2:B413)-1)/3),"jjjjmmdd")</f>
        <v>19400517</v>
      </c>
      <c r="C413" s="35" t="str">
        <f>INDEX(Data,2,2+MOD(ROWS(C$2:C413)-1,3))</f>
        <v>07.45</v>
      </c>
      <c r="D413" s="23">
        <f t="shared" ca="1" si="31"/>
        <v>748</v>
      </c>
      <c r="E413" s="40">
        <f t="shared" ca="1" si="32"/>
        <v>0</v>
      </c>
      <c r="F413" s="23">
        <f t="shared" ca="1" si="33"/>
        <v>27</v>
      </c>
      <c r="G413" s="40">
        <f t="shared" ca="1" si="34"/>
        <v>0</v>
      </c>
    </row>
    <row r="414" spans="1:7" x14ac:dyDescent="0.25">
      <c r="A414" s="17">
        <f t="shared" si="30"/>
        <v>81</v>
      </c>
      <c r="B414" t="str">
        <f ca="1">TEXT(DATE(YEAR(Invoer!$A$5),1,1)+INT((ROWS(B$2:B414)-1)/3),"jjjjmmdd")</f>
        <v>19400517</v>
      </c>
      <c r="C414" s="35" t="str">
        <f>INDEX(Data,2,2+MOD(ROWS(C$2:C414)-1,3))</f>
        <v>13.45</v>
      </c>
      <c r="D414" s="23">
        <f t="shared" ca="1" si="31"/>
        <v>746</v>
      </c>
      <c r="E414" s="40">
        <f t="shared" ca="1" si="32"/>
        <v>0</v>
      </c>
      <c r="F414" s="23">
        <f t="shared" ca="1" si="33"/>
        <v>28</v>
      </c>
      <c r="G414" s="40">
        <f t="shared" ca="1" si="34"/>
        <v>0</v>
      </c>
    </row>
    <row r="415" spans="1:7" x14ac:dyDescent="0.25">
      <c r="A415" s="17">
        <f t="shared" si="30"/>
        <v>81</v>
      </c>
      <c r="B415" t="str">
        <f ca="1">TEXT(DATE(YEAR(Invoer!$A$5),1,1)+INT((ROWS(B$2:B415)-1)/3),"jjjjmmdd")</f>
        <v>19400517</v>
      </c>
      <c r="C415" s="35" t="str">
        <f>INDEX(Data,2,2+MOD(ROWS(C$2:C415)-1,3))</f>
        <v>19.45</v>
      </c>
      <c r="D415" s="23">
        <f t="shared" ca="1" si="31"/>
        <v>746</v>
      </c>
      <c r="E415" s="40">
        <f t="shared" ca="1" si="32"/>
        <v>0</v>
      </c>
      <c r="F415" s="23">
        <f t="shared" ca="1" si="33"/>
        <v>27</v>
      </c>
      <c r="G415" s="40">
        <f t="shared" ca="1" si="34"/>
        <v>0</v>
      </c>
    </row>
    <row r="416" spans="1:7" x14ac:dyDescent="0.25">
      <c r="A416" s="17">
        <f t="shared" si="30"/>
        <v>81</v>
      </c>
      <c r="B416" t="str">
        <f ca="1">TEXT(DATE(YEAR(Invoer!$A$5),1,1)+INT((ROWS(B$2:B416)-1)/3),"jjjjmmdd")</f>
        <v>19400518</v>
      </c>
      <c r="C416" s="35" t="str">
        <f>INDEX(Data,2,2+MOD(ROWS(C$2:C416)-1,3))</f>
        <v>07.45</v>
      </c>
      <c r="D416" s="23">
        <f t="shared" ca="1" si="31"/>
        <v>747</v>
      </c>
      <c r="E416" s="40">
        <f t="shared" ca="1" si="32"/>
        <v>0</v>
      </c>
      <c r="F416" s="23">
        <f t="shared" ca="1" si="33"/>
        <v>27</v>
      </c>
      <c r="G416" s="40">
        <f t="shared" ca="1" si="34"/>
        <v>0</v>
      </c>
    </row>
    <row r="417" spans="1:7" x14ac:dyDescent="0.25">
      <c r="A417" s="17">
        <f t="shared" si="30"/>
        <v>81</v>
      </c>
      <c r="B417" t="str">
        <f ca="1">TEXT(DATE(YEAR(Invoer!$A$5),1,1)+INT((ROWS(B$2:B417)-1)/3),"jjjjmmdd")</f>
        <v>19400518</v>
      </c>
      <c r="C417" s="35" t="str">
        <f>INDEX(Data,2,2+MOD(ROWS(C$2:C417)-1,3))</f>
        <v>13.45</v>
      </c>
      <c r="D417" s="23">
        <f t="shared" ca="1" si="31"/>
        <v>746</v>
      </c>
      <c r="E417" s="40">
        <f t="shared" ca="1" si="32"/>
        <v>0</v>
      </c>
      <c r="F417" s="23">
        <f t="shared" ca="1" si="33"/>
        <v>29</v>
      </c>
      <c r="G417" s="40">
        <f t="shared" ca="1" si="34"/>
        <v>0</v>
      </c>
    </row>
    <row r="418" spans="1:7" x14ac:dyDescent="0.25">
      <c r="A418" s="17">
        <f t="shared" si="30"/>
        <v>81</v>
      </c>
      <c r="B418" t="str">
        <f ca="1">TEXT(DATE(YEAR(Invoer!$A$5),1,1)+INT((ROWS(B$2:B418)-1)/3),"jjjjmmdd")</f>
        <v>19400518</v>
      </c>
      <c r="C418" s="35" t="str">
        <f>INDEX(Data,2,2+MOD(ROWS(C$2:C418)-1,3))</f>
        <v>19.45</v>
      </c>
      <c r="D418" s="23">
        <f t="shared" ca="1" si="31"/>
        <v>746</v>
      </c>
      <c r="E418" s="40">
        <f t="shared" ca="1" si="32"/>
        <v>0</v>
      </c>
      <c r="F418" s="23">
        <f t="shared" ca="1" si="33"/>
        <v>28</v>
      </c>
      <c r="G418" s="40">
        <f t="shared" ca="1" si="34"/>
        <v>0</v>
      </c>
    </row>
    <row r="419" spans="1:7" x14ac:dyDescent="0.25">
      <c r="A419" s="17">
        <f t="shared" si="30"/>
        <v>81</v>
      </c>
      <c r="B419" t="str">
        <f ca="1">TEXT(DATE(YEAR(Invoer!$A$5),1,1)+INT((ROWS(B$2:B419)-1)/3),"jjjjmmdd")</f>
        <v>19400519</v>
      </c>
      <c r="C419" s="35" t="str">
        <f>INDEX(Data,2,2+MOD(ROWS(C$2:C419)-1,3))</f>
        <v>07.45</v>
      </c>
      <c r="D419" s="23">
        <f t="shared" ca="1" si="31"/>
        <v>746</v>
      </c>
      <c r="E419" s="40">
        <f t="shared" ca="1" si="32"/>
        <v>0</v>
      </c>
      <c r="F419" s="23">
        <f t="shared" ca="1" si="33"/>
        <v>27</v>
      </c>
      <c r="G419" s="40">
        <f t="shared" ca="1" si="34"/>
        <v>0</v>
      </c>
    </row>
    <row r="420" spans="1:7" x14ac:dyDescent="0.25">
      <c r="A420" s="17">
        <f t="shared" si="30"/>
        <v>81</v>
      </c>
      <c r="B420" t="str">
        <f ca="1">TEXT(DATE(YEAR(Invoer!$A$5),1,1)+INT((ROWS(B$2:B420)-1)/3),"jjjjmmdd")</f>
        <v>19400519</v>
      </c>
      <c r="C420" s="35" t="str">
        <f>INDEX(Data,2,2+MOD(ROWS(C$2:C420)-1,3))</f>
        <v>13.45</v>
      </c>
      <c r="D420" s="23">
        <f t="shared" ca="1" si="31"/>
        <v>746</v>
      </c>
      <c r="E420" s="40">
        <f t="shared" ca="1" si="32"/>
        <v>0</v>
      </c>
      <c r="F420" s="23">
        <f t="shared" ca="1" si="33"/>
        <v>30</v>
      </c>
      <c r="G420" s="40">
        <f t="shared" ca="1" si="34"/>
        <v>0</v>
      </c>
    </row>
    <row r="421" spans="1:7" x14ac:dyDescent="0.25">
      <c r="A421" s="17">
        <f t="shared" si="30"/>
        <v>81</v>
      </c>
      <c r="B421" t="str">
        <f ca="1">TEXT(DATE(YEAR(Invoer!$A$5),1,1)+INT((ROWS(B$2:B421)-1)/3),"jjjjmmdd")</f>
        <v>19400519</v>
      </c>
      <c r="C421" s="35" t="str">
        <f>INDEX(Data,2,2+MOD(ROWS(C$2:C421)-1,3))</f>
        <v>19.45</v>
      </c>
      <c r="D421" s="23">
        <f t="shared" ca="1" si="31"/>
        <v>745</v>
      </c>
      <c r="E421" s="40">
        <f t="shared" ca="1" si="32"/>
        <v>0</v>
      </c>
      <c r="F421" s="23">
        <f t="shared" ca="1" si="33"/>
        <v>29</v>
      </c>
      <c r="G421" s="40">
        <f t="shared" ca="1" si="34"/>
        <v>0</v>
      </c>
    </row>
    <row r="422" spans="1:7" x14ac:dyDescent="0.25">
      <c r="A422" s="17">
        <f t="shared" si="30"/>
        <v>81</v>
      </c>
      <c r="B422" t="str">
        <f ca="1">TEXT(DATE(YEAR(Invoer!$A$5),1,1)+INT((ROWS(B$2:B422)-1)/3),"jjjjmmdd")</f>
        <v>19400520</v>
      </c>
      <c r="C422" s="35" t="str">
        <f>INDEX(Data,2,2+MOD(ROWS(C$2:C422)-1,3))</f>
        <v>07.45</v>
      </c>
      <c r="D422" s="23">
        <f t="shared" ca="1" si="31"/>
        <v>747</v>
      </c>
      <c r="E422" s="40">
        <f t="shared" ca="1" si="32"/>
        <v>0</v>
      </c>
      <c r="F422" s="23">
        <f t="shared" ca="1" si="33"/>
        <v>28</v>
      </c>
      <c r="G422" s="40">
        <f t="shared" ca="1" si="34"/>
        <v>0</v>
      </c>
    </row>
    <row r="423" spans="1:7" x14ac:dyDescent="0.25">
      <c r="A423" s="17">
        <f t="shared" si="30"/>
        <v>81</v>
      </c>
      <c r="B423" t="str">
        <f ca="1">TEXT(DATE(YEAR(Invoer!$A$5),1,1)+INT((ROWS(B$2:B423)-1)/3),"jjjjmmdd")</f>
        <v>19400520</v>
      </c>
      <c r="C423" s="35" t="str">
        <f>INDEX(Data,2,2+MOD(ROWS(C$2:C423)-1,3))</f>
        <v>13.45</v>
      </c>
      <c r="D423" s="23">
        <f t="shared" ca="1" si="31"/>
        <v>747</v>
      </c>
      <c r="E423" s="40">
        <f t="shared" ca="1" si="32"/>
        <v>0</v>
      </c>
      <c r="F423" s="23">
        <f t="shared" ca="1" si="33"/>
        <v>31</v>
      </c>
      <c r="G423" s="40">
        <f t="shared" ca="1" si="34"/>
        <v>0</v>
      </c>
    </row>
    <row r="424" spans="1:7" x14ac:dyDescent="0.25">
      <c r="A424" s="17">
        <f t="shared" si="30"/>
        <v>81</v>
      </c>
      <c r="B424" t="str">
        <f ca="1">TEXT(DATE(YEAR(Invoer!$A$5),1,1)+INT((ROWS(B$2:B424)-1)/3),"jjjjmmdd")</f>
        <v>19400520</v>
      </c>
      <c r="C424" s="35" t="str">
        <f>INDEX(Data,2,2+MOD(ROWS(C$2:C424)-1,3))</f>
        <v>19.45</v>
      </c>
      <c r="D424" s="23">
        <f t="shared" ca="1" si="31"/>
        <v>748</v>
      </c>
      <c r="E424" s="40">
        <f t="shared" ca="1" si="32"/>
        <v>0</v>
      </c>
      <c r="F424" s="23">
        <f t="shared" ca="1" si="33"/>
        <v>29</v>
      </c>
      <c r="G424" s="40">
        <f t="shared" ca="1" si="34"/>
        <v>0</v>
      </c>
    </row>
    <row r="425" spans="1:7" x14ac:dyDescent="0.25">
      <c r="A425" s="17">
        <f t="shared" si="30"/>
        <v>81</v>
      </c>
      <c r="B425" t="str">
        <f ca="1">TEXT(DATE(YEAR(Invoer!$A$5),1,1)+INT((ROWS(B$2:B425)-1)/3),"jjjjmmdd")</f>
        <v>19400521</v>
      </c>
      <c r="C425" s="35" t="str">
        <f>INDEX(Data,2,2+MOD(ROWS(C$2:C425)-1,3))</f>
        <v>07.45</v>
      </c>
      <c r="D425" s="23">
        <f t="shared" ca="1" si="31"/>
        <v>748</v>
      </c>
      <c r="E425" s="40">
        <f t="shared" ca="1" si="32"/>
        <v>0</v>
      </c>
      <c r="F425" s="23">
        <f t="shared" ca="1" si="33"/>
        <v>28</v>
      </c>
      <c r="G425" s="40">
        <f t="shared" ca="1" si="34"/>
        <v>0</v>
      </c>
    </row>
    <row r="426" spans="1:7" x14ac:dyDescent="0.25">
      <c r="A426" s="17">
        <f t="shared" si="30"/>
        <v>81</v>
      </c>
      <c r="B426" t="str">
        <f ca="1">TEXT(DATE(YEAR(Invoer!$A$5),1,1)+INT((ROWS(B$2:B426)-1)/3),"jjjjmmdd")</f>
        <v>19400521</v>
      </c>
      <c r="C426" s="35" t="str">
        <f>INDEX(Data,2,2+MOD(ROWS(C$2:C426)-1,3))</f>
        <v>13.45</v>
      </c>
      <c r="D426" s="23">
        <f t="shared" ca="1" si="31"/>
        <v>748</v>
      </c>
      <c r="E426" s="40">
        <f t="shared" ca="1" si="32"/>
        <v>0</v>
      </c>
      <c r="F426" s="23">
        <f t="shared" ca="1" si="33"/>
        <v>27</v>
      </c>
      <c r="G426" s="40">
        <f t="shared" ca="1" si="34"/>
        <v>0</v>
      </c>
    </row>
    <row r="427" spans="1:7" x14ac:dyDescent="0.25">
      <c r="A427" s="17">
        <f t="shared" si="30"/>
        <v>81</v>
      </c>
      <c r="B427" t="str">
        <f ca="1">TEXT(DATE(YEAR(Invoer!$A$5),1,1)+INT((ROWS(B$2:B427)-1)/3),"jjjjmmdd")</f>
        <v>19400521</v>
      </c>
      <c r="C427" s="35" t="str">
        <f>INDEX(Data,2,2+MOD(ROWS(C$2:C427)-1,3))</f>
        <v>19.45</v>
      </c>
      <c r="D427" s="23">
        <f t="shared" ca="1" si="31"/>
        <v>749</v>
      </c>
      <c r="E427" s="40">
        <f t="shared" ca="1" si="32"/>
        <v>0</v>
      </c>
      <c r="F427" s="23">
        <f t="shared" ca="1" si="33"/>
        <v>27</v>
      </c>
      <c r="G427" s="40">
        <f t="shared" ca="1" si="34"/>
        <v>0</v>
      </c>
    </row>
    <row r="428" spans="1:7" x14ac:dyDescent="0.25">
      <c r="A428" s="17">
        <f t="shared" si="30"/>
        <v>81</v>
      </c>
      <c r="B428" t="str">
        <f ca="1">TEXT(DATE(YEAR(Invoer!$A$5),1,1)+INT((ROWS(B$2:B428)-1)/3),"jjjjmmdd")</f>
        <v>19400522</v>
      </c>
      <c r="C428" s="35" t="str">
        <f>INDEX(Data,2,2+MOD(ROWS(C$2:C428)-1,3))</f>
        <v>07.45</v>
      </c>
      <c r="D428" s="23">
        <f t="shared" ca="1" si="31"/>
        <v>749</v>
      </c>
      <c r="E428" s="40">
        <f t="shared" ca="1" si="32"/>
        <v>0</v>
      </c>
      <c r="F428" s="23">
        <f t="shared" ca="1" si="33"/>
        <v>25</v>
      </c>
      <c r="G428" s="40">
        <f t="shared" ca="1" si="34"/>
        <v>0</v>
      </c>
    </row>
    <row r="429" spans="1:7" x14ac:dyDescent="0.25">
      <c r="A429" s="17">
        <f t="shared" si="30"/>
        <v>81</v>
      </c>
      <c r="B429" t="str">
        <f ca="1">TEXT(DATE(YEAR(Invoer!$A$5),1,1)+INT((ROWS(B$2:B429)-1)/3),"jjjjmmdd")</f>
        <v>19400522</v>
      </c>
      <c r="C429" s="35" t="str">
        <f>INDEX(Data,2,2+MOD(ROWS(C$2:C429)-1,3))</f>
        <v>13.45</v>
      </c>
      <c r="D429" s="23">
        <f t="shared" ca="1" si="31"/>
        <v>748</v>
      </c>
      <c r="E429" s="40">
        <f t="shared" ca="1" si="32"/>
        <v>0</v>
      </c>
      <c r="F429" s="23">
        <f t="shared" ca="1" si="33"/>
        <v>26</v>
      </c>
      <c r="G429" s="40">
        <f t="shared" ca="1" si="34"/>
        <v>0</v>
      </c>
    </row>
    <row r="430" spans="1:7" x14ac:dyDescent="0.25">
      <c r="A430" s="17">
        <f t="shared" si="30"/>
        <v>81</v>
      </c>
      <c r="B430" t="str">
        <f ca="1">TEXT(DATE(YEAR(Invoer!$A$5),1,1)+INT((ROWS(B$2:B430)-1)/3),"jjjjmmdd")</f>
        <v>19400522</v>
      </c>
      <c r="C430" s="35" t="str">
        <f>INDEX(Data,2,2+MOD(ROWS(C$2:C430)-1,3))</f>
        <v>19.45</v>
      </c>
      <c r="D430" s="23">
        <f t="shared" ca="1" si="31"/>
        <v>748</v>
      </c>
      <c r="E430" s="40">
        <f t="shared" ca="1" si="32"/>
        <v>0</v>
      </c>
      <c r="F430" s="23">
        <f t="shared" ca="1" si="33"/>
        <v>26</v>
      </c>
      <c r="G430" s="40">
        <f t="shared" ca="1" si="34"/>
        <v>0</v>
      </c>
    </row>
    <row r="431" spans="1:7" x14ac:dyDescent="0.25">
      <c r="A431" s="17">
        <f t="shared" si="30"/>
        <v>81</v>
      </c>
      <c r="B431" t="str">
        <f ca="1">TEXT(DATE(YEAR(Invoer!$A$5),1,1)+INT((ROWS(B$2:B431)-1)/3),"jjjjmmdd")</f>
        <v>19400523</v>
      </c>
      <c r="C431" s="35" t="str">
        <f>INDEX(Data,2,2+MOD(ROWS(C$2:C431)-1,3))</f>
        <v>07.45</v>
      </c>
      <c r="D431" s="23">
        <f t="shared" ca="1" si="31"/>
        <v>747</v>
      </c>
      <c r="E431" s="40">
        <f t="shared" ca="1" si="32"/>
        <v>0</v>
      </c>
      <c r="F431" s="23">
        <f t="shared" ca="1" si="33"/>
        <v>26</v>
      </c>
      <c r="G431" s="40">
        <f t="shared" ca="1" si="34"/>
        <v>0</v>
      </c>
    </row>
    <row r="432" spans="1:7" x14ac:dyDescent="0.25">
      <c r="A432" s="17">
        <f t="shared" si="30"/>
        <v>81</v>
      </c>
      <c r="B432" t="str">
        <f ca="1">TEXT(DATE(YEAR(Invoer!$A$5),1,1)+INT((ROWS(B$2:B432)-1)/3),"jjjjmmdd")</f>
        <v>19400523</v>
      </c>
      <c r="C432" s="35" t="str">
        <f>INDEX(Data,2,2+MOD(ROWS(C$2:C432)-1,3))</f>
        <v>13.45</v>
      </c>
      <c r="D432" s="23">
        <f t="shared" ca="1" si="31"/>
        <v>747</v>
      </c>
      <c r="E432" s="40">
        <f t="shared" ca="1" si="32"/>
        <v>0</v>
      </c>
      <c r="F432" s="23">
        <f t="shared" ca="1" si="33"/>
        <v>30</v>
      </c>
      <c r="G432" s="40">
        <f t="shared" ca="1" si="34"/>
        <v>0</v>
      </c>
    </row>
    <row r="433" spans="1:7" x14ac:dyDescent="0.25">
      <c r="A433" s="17">
        <f t="shared" si="30"/>
        <v>81</v>
      </c>
      <c r="B433" t="str">
        <f ca="1">TEXT(DATE(YEAR(Invoer!$A$5),1,1)+INT((ROWS(B$2:B433)-1)/3),"jjjjmmdd")</f>
        <v>19400523</v>
      </c>
      <c r="C433" s="35" t="str">
        <f>INDEX(Data,2,2+MOD(ROWS(C$2:C433)-1,3))</f>
        <v>19.45</v>
      </c>
      <c r="D433" s="23">
        <f t="shared" ca="1" si="31"/>
        <v>747</v>
      </c>
      <c r="E433" s="40">
        <f t="shared" ca="1" si="32"/>
        <v>0</v>
      </c>
      <c r="F433" s="23">
        <f t="shared" ca="1" si="33"/>
        <v>28</v>
      </c>
      <c r="G433" s="40">
        <f t="shared" ca="1" si="34"/>
        <v>0</v>
      </c>
    </row>
    <row r="434" spans="1:7" x14ac:dyDescent="0.25">
      <c r="A434" s="17">
        <f t="shared" si="30"/>
        <v>81</v>
      </c>
      <c r="B434" t="str">
        <f ca="1">TEXT(DATE(YEAR(Invoer!$A$5),1,1)+INT((ROWS(B$2:B434)-1)/3),"jjjjmmdd")</f>
        <v>19400524</v>
      </c>
      <c r="C434" s="35" t="str">
        <f>INDEX(Data,2,2+MOD(ROWS(C$2:C434)-1,3))</f>
        <v>07.45</v>
      </c>
      <c r="D434" s="23">
        <f t="shared" ca="1" si="31"/>
        <v>747</v>
      </c>
      <c r="E434" s="40">
        <f t="shared" ca="1" si="32"/>
        <v>0</v>
      </c>
      <c r="F434" s="23">
        <f t="shared" ca="1" si="33"/>
        <v>27</v>
      </c>
      <c r="G434" s="40">
        <f t="shared" ca="1" si="34"/>
        <v>0</v>
      </c>
    </row>
    <row r="435" spans="1:7" x14ac:dyDescent="0.25">
      <c r="A435" s="17">
        <f t="shared" si="30"/>
        <v>81</v>
      </c>
      <c r="B435" t="str">
        <f ca="1">TEXT(DATE(YEAR(Invoer!$A$5),1,1)+INT((ROWS(B$2:B435)-1)/3),"jjjjmmdd")</f>
        <v>19400524</v>
      </c>
      <c r="C435" s="35" t="str">
        <f>INDEX(Data,2,2+MOD(ROWS(C$2:C435)-1,3))</f>
        <v>13.45</v>
      </c>
      <c r="D435" s="23">
        <f t="shared" ca="1" si="31"/>
        <v>747</v>
      </c>
      <c r="E435" s="40">
        <f t="shared" ca="1" si="32"/>
        <v>0</v>
      </c>
      <c r="F435" s="23">
        <f t="shared" ca="1" si="33"/>
        <v>30</v>
      </c>
      <c r="G435" s="40">
        <f t="shared" ca="1" si="34"/>
        <v>0</v>
      </c>
    </row>
    <row r="436" spans="1:7" x14ac:dyDescent="0.25">
      <c r="A436" s="17">
        <f t="shared" si="30"/>
        <v>81</v>
      </c>
      <c r="B436" t="str">
        <f ca="1">TEXT(DATE(YEAR(Invoer!$A$5),1,1)+INT((ROWS(B$2:B436)-1)/3),"jjjjmmdd")</f>
        <v>19400524</v>
      </c>
      <c r="C436" s="35" t="str">
        <f>INDEX(Data,2,2+MOD(ROWS(C$2:C436)-1,3))</f>
        <v>19.45</v>
      </c>
      <c r="D436" s="23">
        <f t="shared" ca="1" si="31"/>
        <v>747</v>
      </c>
      <c r="E436" s="40">
        <f t="shared" ca="1" si="32"/>
        <v>0</v>
      </c>
      <c r="F436" s="23">
        <f t="shared" ca="1" si="33"/>
        <v>29</v>
      </c>
      <c r="G436" s="40">
        <f t="shared" ca="1" si="34"/>
        <v>0</v>
      </c>
    </row>
    <row r="437" spans="1:7" x14ac:dyDescent="0.25">
      <c r="A437" s="17">
        <f t="shared" si="30"/>
        <v>81</v>
      </c>
      <c r="B437" t="str">
        <f ca="1">TEXT(DATE(YEAR(Invoer!$A$5),1,1)+INT((ROWS(B$2:B437)-1)/3),"jjjjmmdd")</f>
        <v>19400525</v>
      </c>
      <c r="C437" s="35" t="str">
        <f>INDEX(Data,2,2+MOD(ROWS(C$2:C437)-1,3))</f>
        <v>07.45</v>
      </c>
      <c r="D437" s="23">
        <f t="shared" ca="1" si="31"/>
        <v>748</v>
      </c>
      <c r="E437" s="40">
        <f t="shared" ca="1" si="32"/>
        <v>0</v>
      </c>
      <c r="F437" s="23">
        <f t="shared" ca="1" si="33"/>
        <v>28</v>
      </c>
      <c r="G437" s="40">
        <f t="shared" ca="1" si="34"/>
        <v>0</v>
      </c>
    </row>
    <row r="438" spans="1:7" x14ac:dyDescent="0.25">
      <c r="A438" s="17">
        <f t="shared" si="30"/>
        <v>81</v>
      </c>
      <c r="B438" t="str">
        <f ca="1">TEXT(DATE(YEAR(Invoer!$A$5),1,1)+INT((ROWS(B$2:B438)-1)/3),"jjjjmmdd")</f>
        <v>19400525</v>
      </c>
      <c r="C438" s="35" t="str">
        <f>INDEX(Data,2,2+MOD(ROWS(C$2:C438)-1,3))</f>
        <v>13.45</v>
      </c>
      <c r="D438" s="23">
        <f t="shared" ca="1" si="31"/>
        <v>748</v>
      </c>
      <c r="E438" s="40">
        <f t="shared" ca="1" si="32"/>
        <v>0</v>
      </c>
      <c r="F438" s="23">
        <f t="shared" ca="1" si="33"/>
        <v>29</v>
      </c>
      <c r="G438" s="40">
        <f t="shared" ca="1" si="34"/>
        <v>0</v>
      </c>
    </row>
    <row r="439" spans="1:7" x14ac:dyDescent="0.25">
      <c r="A439" s="17">
        <f t="shared" si="30"/>
        <v>81</v>
      </c>
      <c r="B439" t="str">
        <f ca="1">TEXT(DATE(YEAR(Invoer!$A$5),1,1)+INT((ROWS(B$2:B439)-1)/3),"jjjjmmdd")</f>
        <v>19400525</v>
      </c>
      <c r="C439" s="35" t="str">
        <f>INDEX(Data,2,2+MOD(ROWS(C$2:C439)-1,3))</f>
        <v>19.45</v>
      </c>
      <c r="D439" s="23">
        <f t="shared" ca="1" si="31"/>
        <v>748</v>
      </c>
      <c r="E439" s="40">
        <f t="shared" ca="1" si="32"/>
        <v>0</v>
      </c>
      <c r="F439" s="23">
        <f t="shared" ca="1" si="33"/>
        <v>28</v>
      </c>
      <c r="G439" s="40">
        <f t="shared" ca="1" si="34"/>
        <v>0</v>
      </c>
    </row>
    <row r="440" spans="1:7" x14ac:dyDescent="0.25">
      <c r="A440" s="17">
        <f t="shared" si="30"/>
        <v>81</v>
      </c>
      <c r="B440" t="str">
        <f ca="1">TEXT(DATE(YEAR(Invoer!$A$5),1,1)+INT((ROWS(B$2:B440)-1)/3),"jjjjmmdd")</f>
        <v>19400526</v>
      </c>
      <c r="C440" s="35" t="str">
        <f>INDEX(Data,2,2+MOD(ROWS(C$2:C440)-1,3))</f>
        <v>07.45</v>
      </c>
      <c r="D440" s="23">
        <f t="shared" ca="1" si="31"/>
        <v>749</v>
      </c>
      <c r="E440" s="40">
        <f t="shared" ca="1" si="32"/>
        <v>0</v>
      </c>
      <c r="F440" s="23">
        <f t="shared" ca="1" si="33"/>
        <v>28</v>
      </c>
      <c r="G440" s="40">
        <f t="shared" ca="1" si="34"/>
        <v>0</v>
      </c>
    </row>
    <row r="441" spans="1:7" x14ac:dyDescent="0.25">
      <c r="A441" s="17">
        <f t="shared" si="30"/>
        <v>81</v>
      </c>
      <c r="B441" t="str">
        <f ca="1">TEXT(DATE(YEAR(Invoer!$A$5),1,1)+INT((ROWS(B$2:B441)-1)/3),"jjjjmmdd")</f>
        <v>19400526</v>
      </c>
      <c r="C441" s="35" t="str">
        <f>INDEX(Data,2,2+MOD(ROWS(C$2:C441)-1,3))</f>
        <v>13.45</v>
      </c>
      <c r="D441" s="23">
        <f t="shared" ca="1" si="31"/>
        <v>748</v>
      </c>
      <c r="E441" s="40">
        <f t="shared" ca="1" si="32"/>
        <v>0</v>
      </c>
      <c r="F441" s="23">
        <f t="shared" ca="1" si="33"/>
        <v>29</v>
      </c>
      <c r="G441" s="40">
        <f t="shared" ca="1" si="34"/>
        <v>0</v>
      </c>
    </row>
    <row r="442" spans="1:7" x14ac:dyDescent="0.25">
      <c r="A442" s="17">
        <f t="shared" si="30"/>
        <v>81</v>
      </c>
      <c r="B442" t="str">
        <f ca="1">TEXT(DATE(YEAR(Invoer!$A$5),1,1)+INT((ROWS(B$2:B442)-1)/3),"jjjjmmdd")</f>
        <v>19400526</v>
      </c>
      <c r="C442" s="35" t="str">
        <f>INDEX(Data,2,2+MOD(ROWS(C$2:C442)-1,3))</f>
        <v>19.45</v>
      </c>
      <c r="D442" s="23">
        <f t="shared" ca="1" si="31"/>
        <v>749</v>
      </c>
      <c r="E442" s="40">
        <f t="shared" ca="1" si="32"/>
        <v>0</v>
      </c>
      <c r="F442" s="23">
        <f t="shared" ca="1" si="33"/>
        <v>28</v>
      </c>
      <c r="G442" s="40">
        <f t="shared" ca="1" si="34"/>
        <v>0</v>
      </c>
    </row>
    <row r="443" spans="1:7" x14ac:dyDescent="0.25">
      <c r="A443" s="17">
        <f t="shared" si="30"/>
        <v>81</v>
      </c>
      <c r="B443" t="str">
        <f ca="1">TEXT(DATE(YEAR(Invoer!$A$5),1,1)+INT((ROWS(B$2:B443)-1)/3),"jjjjmmdd")</f>
        <v>19400527</v>
      </c>
      <c r="C443" s="35" t="str">
        <f>INDEX(Data,2,2+MOD(ROWS(C$2:C443)-1,3))</f>
        <v>07.45</v>
      </c>
      <c r="D443" s="23">
        <f t="shared" ca="1" si="31"/>
        <v>749</v>
      </c>
      <c r="E443" s="40">
        <f t="shared" ca="1" si="32"/>
        <v>0</v>
      </c>
      <c r="F443" s="23">
        <f t="shared" ca="1" si="33"/>
        <v>28</v>
      </c>
      <c r="G443" s="40">
        <f t="shared" ca="1" si="34"/>
        <v>0</v>
      </c>
    </row>
    <row r="444" spans="1:7" x14ac:dyDescent="0.25">
      <c r="A444" s="17">
        <f t="shared" si="30"/>
        <v>81</v>
      </c>
      <c r="B444" t="str">
        <f ca="1">TEXT(DATE(YEAR(Invoer!$A$5),1,1)+INT((ROWS(B$2:B444)-1)/3),"jjjjmmdd")</f>
        <v>19400527</v>
      </c>
      <c r="C444" s="35" t="str">
        <f>INDEX(Data,2,2+MOD(ROWS(C$2:C444)-1,3))</f>
        <v>13.45</v>
      </c>
      <c r="D444" s="23">
        <f t="shared" ca="1" si="31"/>
        <v>749</v>
      </c>
      <c r="E444" s="40">
        <f t="shared" ca="1" si="32"/>
        <v>0</v>
      </c>
      <c r="F444" s="23">
        <f t="shared" ca="1" si="33"/>
        <v>29</v>
      </c>
      <c r="G444" s="40">
        <f t="shared" ca="1" si="34"/>
        <v>0</v>
      </c>
    </row>
    <row r="445" spans="1:7" x14ac:dyDescent="0.25">
      <c r="A445" s="17">
        <f t="shared" si="30"/>
        <v>81</v>
      </c>
      <c r="B445" t="str">
        <f ca="1">TEXT(DATE(YEAR(Invoer!$A$5),1,1)+INT((ROWS(B$2:B445)-1)/3),"jjjjmmdd")</f>
        <v>19400527</v>
      </c>
      <c r="C445" s="35" t="str">
        <f>INDEX(Data,2,2+MOD(ROWS(C$2:C445)-1,3))</f>
        <v>19.45</v>
      </c>
      <c r="D445" s="23">
        <f t="shared" ca="1" si="31"/>
        <v>749</v>
      </c>
      <c r="E445" s="40">
        <f t="shared" ca="1" si="32"/>
        <v>0</v>
      </c>
      <c r="F445" s="23">
        <f t="shared" ca="1" si="33"/>
        <v>28</v>
      </c>
      <c r="G445" s="40">
        <f t="shared" ca="1" si="34"/>
        <v>0</v>
      </c>
    </row>
    <row r="446" spans="1:7" x14ac:dyDescent="0.25">
      <c r="A446" s="17">
        <f t="shared" si="30"/>
        <v>81</v>
      </c>
      <c r="B446" t="str">
        <f ca="1">TEXT(DATE(YEAR(Invoer!$A$5),1,1)+INT((ROWS(B$2:B446)-1)/3),"jjjjmmdd")</f>
        <v>19400528</v>
      </c>
      <c r="C446" s="35" t="str">
        <f>INDEX(Data,2,2+MOD(ROWS(C$2:C446)-1,3))</f>
        <v>07.45</v>
      </c>
      <c r="D446" s="23">
        <f t="shared" ca="1" si="31"/>
        <v>749</v>
      </c>
      <c r="E446" s="40">
        <f t="shared" ca="1" si="32"/>
        <v>0</v>
      </c>
      <c r="F446" s="23">
        <f t="shared" ca="1" si="33"/>
        <v>27</v>
      </c>
      <c r="G446" s="40">
        <f t="shared" ca="1" si="34"/>
        <v>0</v>
      </c>
    </row>
    <row r="447" spans="1:7" x14ac:dyDescent="0.25">
      <c r="A447" s="17">
        <f t="shared" si="30"/>
        <v>81</v>
      </c>
      <c r="B447" t="str">
        <f ca="1">TEXT(DATE(YEAR(Invoer!$A$5),1,1)+INT((ROWS(B$2:B447)-1)/3),"jjjjmmdd")</f>
        <v>19400528</v>
      </c>
      <c r="C447" s="35" t="str">
        <f>INDEX(Data,2,2+MOD(ROWS(C$2:C447)-1,3))</f>
        <v>13.45</v>
      </c>
      <c r="D447" s="23">
        <f t="shared" ca="1" si="31"/>
        <v>749</v>
      </c>
      <c r="E447" s="40">
        <f t="shared" ca="1" si="32"/>
        <v>0</v>
      </c>
      <c r="F447" s="23">
        <f t="shared" ca="1" si="33"/>
        <v>29</v>
      </c>
      <c r="G447" s="40">
        <f t="shared" ca="1" si="34"/>
        <v>0</v>
      </c>
    </row>
    <row r="448" spans="1:7" x14ac:dyDescent="0.25">
      <c r="A448" s="17">
        <f t="shared" si="30"/>
        <v>81</v>
      </c>
      <c r="B448" t="str">
        <f ca="1">TEXT(DATE(YEAR(Invoer!$A$5),1,1)+INT((ROWS(B$2:B448)-1)/3),"jjjjmmdd")</f>
        <v>19400528</v>
      </c>
      <c r="C448" s="35" t="str">
        <f>INDEX(Data,2,2+MOD(ROWS(C$2:C448)-1,3))</f>
        <v>19.45</v>
      </c>
      <c r="D448" s="23">
        <f t="shared" ca="1" si="31"/>
        <v>750</v>
      </c>
      <c r="E448" s="40">
        <f t="shared" ca="1" si="32"/>
        <v>0</v>
      </c>
      <c r="F448" s="23">
        <f t="shared" ca="1" si="33"/>
        <v>29</v>
      </c>
      <c r="G448" s="40">
        <f t="shared" ca="1" si="34"/>
        <v>0</v>
      </c>
    </row>
    <row r="449" spans="1:7" x14ac:dyDescent="0.25">
      <c r="A449" s="17">
        <f t="shared" si="30"/>
        <v>81</v>
      </c>
      <c r="B449" t="str">
        <f ca="1">TEXT(DATE(YEAR(Invoer!$A$5),1,1)+INT((ROWS(B$2:B449)-1)/3),"jjjjmmdd")</f>
        <v>19400529</v>
      </c>
      <c r="C449" s="35" t="str">
        <f>INDEX(Data,2,2+MOD(ROWS(C$2:C449)-1,3))</f>
        <v>07.45</v>
      </c>
      <c r="D449" s="23">
        <f t="shared" ca="1" si="31"/>
        <v>750</v>
      </c>
      <c r="E449" s="40">
        <f t="shared" ca="1" si="32"/>
        <v>0</v>
      </c>
      <c r="F449" s="23">
        <f t="shared" ca="1" si="33"/>
        <v>28</v>
      </c>
      <c r="G449" s="40">
        <f t="shared" ca="1" si="34"/>
        <v>0</v>
      </c>
    </row>
    <row r="450" spans="1:7" x14ac:dyDescent="0.25">
      <c r="A450" s="17">
        <f t="shared" ref="A450:A513" si="35">INDEX(Stations,2,1)</f>
        <v>81</v>
      </c>
      <c r="B450" t="str">
        <f ca="1">TEXT(DATE(YEAR(Invoer!$A$5),1,1)+INT((ROWS(B$2:B450)-1)/3),"jjjjmmdd")</f>
        <v>19400529</v>
      </c>
      <c r="C450" s="35" t="str">
        <f>INDEX(Data,2,2+MOD(ROWS(C$2:C450)-1,3))</f>
        <v>13.45</v>
      </c>
      <c r="D450" s="23">
        <f t="shared" ref="D450:D513" ca="1" si="36">IF(OR(ISBLANK(VLOOKUP(DATEVALUE(LEFT($B450,4)&amp;"-"&amp;MID($B450,5,2)&amp;"-"&amp;RIGHT($B450,2)),Data,MATCH(LEFT(VLOOKUP(D$1,Parameters,2,FALSE()),4)&amp;"*",OFFSET(Data,0,0,1),0)+MATCH($C450,OFFSET(Data,1,0,1),0)-2,FALSE())),ISTEXT(VLOOKUP(DATEVALUE(LEFT($B450,4)&amp;"-"&amp;MID($B450,5,2)&amp;"-"&amp;RIGHT($B450,2)),Data,MATCH(LEFT(VLOOKUP(D$1,Parameters,2,FALSE()),4)&amp;"*",OFFSET(Data,0,0,1),0)+MATCH($C450,OFFSET(Data,1,0,1),0)-2,FALSE()))),"—",VLOOKUP(DATEVALUE(LEFT($B450,4)&amp;"-"&amp;MID($B450,5,2)&amp;"-"&amp;RIGHT($B450,2)),Data,MATCH(LEFT(VLOOKUP(D$1,Parameters,2,FALSE()),4)&amp;"*",OFFSET(Data,0,0,1),0)+MATCH($C450,OFFSET(Data,1,0,1),0)-2,FALSE()))</f>
        <v>750</v>
      </c>
      <c r="E450" s="40">
        <f t="shared" ref="E450:E513" ca="1" si="37">IF(OR(ISBLANK(VLOOKUP(DATEVALUE(LEFT($B450,4)&amp;"-"&amp;MID($B450,5,2)&amp;"-"&amp;RIGHT($B450,2)),Data,MATCH(LEFT(VLOOKUP(MID(E$1,2,LEN(E$1)-1),Parameters,2,FALSE()),4)&amp;"*",OFFSET(Data,0,0,1),0)+MATCH($C450,OFFSET(Data,1,0,1),0)-2,FALSE())),ISTEXT(VLOOKUP(DATEVALUE(LEFT($B450,4)&amp;"-"&amp;MID($B450,5,2)&amp;"-"&amp;RIGHT($B450,2)),Data,MATCH(LEFT(VLOOKUP(MID(E$1,2,LEN(E$1)-1),Parameters,2,FALSE()),4)&amp;"*",OFFSET(Data,0,0,1),0)+MATCH($C450,OFFSET(Data,1,0,1),0)-2,FALSE()))),Lacking,IF(ISNA(MATCH(DATEVALUE(LEFT($B450,4)&amp;"-"&amp;MID($B450,5,2)&amp;"-"&amp;RIGHT($B450,2)),OFFSET(Catalogus,0,0,,1),0)),Ok,VLOOKUP(DATEVALUE(LEFT($B450,4)&amp;"-"&amp;MID($B450,5,2)&amp;"-"&amp;RIGHT($B450,2)),Catalogus,MATCH(LEFT(VLOOKUP(MID(E$1,2,LEN(E$1)-1),Parameters,2,FALSE()),4)&amp;"*",OFFSET(Catalogus,0,0,1),0)+MATCH($C450,OFFSET(Catalogus,1,0,1),0)-2,FALSE())))</f>
        <v>0</v>
      </c>
      <c r="F450" s="23">
        <f t="shared" ref="F450:F513" ca="1" si="38">IF(OR(ISBLANK(VLOOKUP(DATEVALUE(LEFT($B450,4)&amp;"-"&amp;MID($B450,5,2)&amp;"-"&amp;RIGHT($B450,2)),Data,MATCH(LEFT(VLOOKUP(F$1,Parameters,2,FALSE()),4)&amp;"*",OFFSET(Data,0,0,1),0)+MATCH($C450,OFFSET(Data,1,0,1),0)-2,FALSE())),ISTEXT(VLOOKUP(DATEVALUE(LEFT($B450,4)&amp;"-"&amp;MID($B450,5,2)&amp;"-"&amp;RIGHT($B450,2)),Data,MATCH(LEFT(VLOOKUP(F$1,Parameters,2,FALSE()),4)&amp;"*",OFFSET(Data,0,0,1),0)+MATCH($C450,OFFSET(Data,1,0,1),0)-2,FALSE()))),"—",VLOOKUP(DATEVALUE(LEFT($B450,4)&amp;"-"&amp;MID($B450,5,2)&amp;"-"&amp;RIGHT($B450,2)),Data,MATCH(LEFT(VLOOKUP(F$1,Parameters,2,FALSE()),4)&amp;"*",OFFSET(Data,0,0,1),0)+MATCH($C450,OFFSET(Data,1,0,1),0)-2,FALSE()))</f>
        <v>30</v>
      </c>
      <c r="G450" s="40">
        <f t="shared" ref="G450:G513" ca="1" si="39">IF(OR(ISBLANK(VLOOKUP(DATEVALUE(LEFT($B450,4)&amp;"-"&amp;MID($B450,5,2)&amp;"-"&amp;RIGHT($B450,2)),Data,MATCH(LEFT(VLOOKUP(MID(G$1,2,LEN(G$1)-1),Parameters,2,FALSE()),4)&amp;"*",OFFSET(Data,0,0,1),0)+MATCH($C450,OFFSET(Data,1,0,1),0)-2,FALSE())),ISTEXT(VLOOKUP(DATEVALUE(LEFT($B450,4)&amp;"-"&amp;MID($B450,5,2)&amp;"-"&amp;RIGHT($B450,2)),Data,MATCH(LEFT(VLOOKUP(MID(G$1,2,LEN(G$1)-1),Parameters,2,FALSE()),4)&amp;"*",OFFSET(Data,0,0,1),0)+MATCH($C450,OFFSET(Data,1,0,1),0)-2,FALSE()))),Lacking,IF(ISNA(MATCH(DATEVALUE(LEFT($B450,4)&amp;"-"&amp;MID($B450,5,2)&amp;"-"&amp;RIGHT($B450,2)),OFFSET(Catalogus,0,0,,1),0)),Ok,VLOOKUP(DATEVALUE(LEFT($B450,4)&amp;"-"&amp;MID($B450,5,2)&amp;"-"&amp;RIGHT($B450,2)),Catalogus,MATCH(LEFT(VLOOKUP(MID(G$1,2,LEN(G$1)-1),Parameters,2,FALSE()),4)&amp;"*",OFFSET(Catalogus,0,0,1),0)+MATCH($C450,OFFSET(Catalogus,1,0,1),0)-2,FALSE())))</f>
        <v>0</v>
      </c>
    </row>
    <row r="451" spans="1:7" x14ac:dyDescent="0.25">
      <c r="A451" s="17">
        <f t="shared" si="35"/>
        <v>81</v>
      </c>
      <c r="B451" t="str">
        <f ca="1">TEXT(DATE(YEAR(Invoer!$A$5),1,1)+INT((ROWS(B$2:B451)-1)/3),"jjjjmmdd")</f>
        <v>19400529</v>
      </c>
      <c r="C451" s="35" t="str">
        <f>INDEX(Data,2,2+MOD(ROWS(C$2:C451)-1,3))</f>
        <v>19.45</v>
      </c>
      <c r="D451" s="23">
        <f t="shared" ca="1" si="36"/>
        <v>750</v>
      </c>
      <c r="E451" s="40">
        <f t="shared" ca="1" si="37"/>
        <v>0</v>
      </c>
      <c r="F451" s="23">
        <f t="shared" ca="1" si="38"/>
        <v>29</v>
      </c>
      <c r="G451" s="40">
        <f t="shared" ca="1" si="39"/>
        <v>0</v>
      </c>
    </row>
    <row r="452" spans="1:7" x14ac:dyDescent="0.25">
      <c r="A452" s="17">
        <f t="shared" si="35"/>
        <v>81</v>
      </c>
      <c r="B452" t="str">
        <f ca="1">TEXT(DATE(YEAR(Invoer!$A$5),1,1)+INT((ROWS(B$2:B452)-1)/3),"jjjjmmdd")</f>
        <v>19400530</v>
      </c>
      <c r="C452" s="35" t="str">
        <f>INDEX(Data,2,2+MOD(ROWS(C$2:C452)-1,3))</f>
        <v>07.45</v>
      </c>
      <c r="D452" s="23">
        <f t="shared" ca="1" si="36"/>
        <v>750</v>
      </c>
      <c r="E452" s="40">
        <f t="shared" ca="1" si="37"/>
        <v>0</v>
      </c>
      <c r="F452" s="23">
        <f t="shared" ca="1" si="38"/>
        <v>28</v>
      </c>
      <c r="G452" s="40">
        <f t="shared" ca="1" si="39"/>
        <v>0</v>
      </c>
    </row>
    <row r="453" spans="1:7" x14ac:dyDescent="0.25">
      <c r="A453" s="17">
        <f t="shared" si="35"/>
        <v>81</v>
      </c>
      <c r="B453" t="str">
        <f ca="1">TEXT(DATE(YEAR(Invoer!$A$5),1,1)+INT((ROWS(B$2:B453)-1)/3),"jjjjmmdd")</f>
        <v>19400530</v>
      </c>
      <c r="C453" s="35" t="str">
        <f>INDEX(Data,2,2+MOD(ROWS(C$2:C453)-1,3))</f>
        <v>13.45</v>
      </c>
      <c r="D453" s="23">
        <f t="shared" ca="1" si="36"/>
        <v>750</v>
      </c>
      <c r="E453" s="40">
        <f t="shared" ca="1" si="37"/>
        <v>0</v>
      </c>
      <c r="F453" s="23">
        <f t="shared" ca="1" si="38"/>
        <v>30</v>
      </c>
      <c r="G453" s="40">
        <f t="shared" ca="1" si="39"/>
        <v>0</v>
      </c>
    </row>
    <row r="454" spans="1:7" x14ac:dyDescent="0.25">
      <c r="A454" s="17">
        <f t="shared" si="35"/>
        <v>81</v>
      </c>
      <c r="B454" t="str">
        <f ca="1">TEXT(DATE(YEAR(Invoer!$A$5),1,1)+INT((ROWS(B$2:B454)-1)/3),"jjjjmmdd")</f>
        <v>19400530</v>
      </c>
      <c r="C454" s="35" t="str">
        <f>INDEX(Data,2,2+MOD(ROWS(C$2:C454)-1,3))</f>
        <v>19.45</v>
      </c>
      <c r="D454" s="23">
        <f t="shared" ca="1" si="36"/>
        <v>750</v>
      </c>
      <c r="E454" s="40">
        <f t="shared" ca="1" si="37"/>
        <v>0</v>
      </c>
      <c r="F454" s="23">
        <f t="shared" ca="1" si="38"/>
        <v>29</v>
      </c>
      <c r="G454" s="40">
        <f t="shared" ca="1" si="39"/>
        <v>0</v>
      </c>
    </row>
    <row r="455" spans="1:7" x14ac:dyDescent="0.25">
      <c r="A455" s="17">
        <f t="shared" si="35"/>
        <v>81</v>
      </c>
      <c r="B455" t="str">
        <f ca="1">TEXT(DATE(YEAR(Invoer!$A$5),1,1)+INT((ROWS(B$2:B455)-1)/3),"jjjjmmdd")</f>
        <v>19400531</v>
      </c>
      <c r="C455" s="35" t="str">
        <f>INDEX(Data,2,2+MOD(ROWS(C$2:C455)-1,3))</f>
        <v>07.45</v>
      </c>
      <c r="D455" s="23">
        <f t="shared" ca="1" si="36"/>
        <v>751</v>
      </c>
      <c r="E455" s="40">
        <f t="shared" ca="1" si="37"/>
        <v>0</v>
      </c>
      <c r="F455" s="23">
        <f t="shared" ca="1" si="38"/>
        <v>28</v>
      </c>
      <c r="G455" s="40">
        <f t="shared" ca="1" si="39"/>
        <v>0</v>
      </c>
    </row>
    <row r="456" spans="1:7" x14ac:dyDescent="0.25">
      <c r="A456" s="17">
        <f t="shared" si="35"/>
        <v>81</v>
      </c>
      <c r="B456" t="str">
        <f ca="1">TEXT(DATE(YEAR(Invoer!$A$5),1,1)+INT((ROWS(B$2:B456)-1)/3),"jjjjmmdd")</f>
        <v>19400531</v>
      </c>
      <c r="C456" s="35" t="str">
        <f>INDEX(Data,2,2+MOD(ROWS(C$2:C456)-1,3))</f>
        <v>13.45</v>
      </c>
      <c r="D456" s="23">
        <f t="shared" ca="1" si="36"/>
        <v>750</v>
      </c>
      <c r="E456" s="40">
        <f t="shared" ca="1" si="37"/>
        <v>0</v>
      </c>
      <c r="F456" s="23">
        <f t="shared" ca="1" si="38"/>
        <v>30</v>
      </c>
      <c r="G456" s="40">
        <f t="shared" ca="1" si="39"/>
        <v>0</v>
      </c>
    </row>
    <row r="457" spans="1:7" x14ac:dyDescent="0.25">
      <c r="A457" s="17">
        <f t="shared" si="35"/>
        <v>81</v>
      </c>
      <c r="B457" t="str">
        <f ca="1">TEXT(DATE(YEAR(Invoer!$A$5),1,1)+INT((ROWS(B$2:B457)-1)/3),"jjjjmmdd")</f>
        <v>19400531</v>
      </c>
      <c r="C457" s="35" t="str">
        <f>INDEX(Data,2,2+MOD(ROWS(C$2:C457)-1,3))</f>
        <v>19.45</v>
      </c>
      <c r="D457" s="23">
        <f t="shared" ca="1" si="36"/>
        <v>750</v>
      </c>
      <c r="E457" s="40">
        <f t="shared" ca="1" si="37"/>
        <v>0</v>
      </c>
      <c r="F457" s="23">
        <f t="shared" ca="1" si="38"/>
        <v>29</v>
      </c>
      <c r="G457" s="40">
        <f t="shared" ca="1" si="39"/>
        <v>0</v>
      </c>
    </row>
    <row r="458" spans="1:7" x14ac:dyDescent="0.25">
      <c r="A458" s="17">
        <f t="shared" si="35"/>
        <v>81</v>
      </c>
      <c r="B458" t="str">
        <f ca="1">TEXT(DATE(YEAR(Invoer!$A$5),1,1)+INT((ROWS(B$2:B458)-1)/3),"jjjjmmdd")</f>
        <v>19400601</v>
      </c>
      <c r="C458" s="35" t="str">
        <f>INDEX(Data,2,2+MOD(ROWS(C$2:C458)-1,3))</f>
        <v>07.45</v>
      </c>
      <c r="D458" s="23" t="str">
        <f t="shared" ca="1" si="36"/>
        <v>—</v>
      </c>
      <c r="E458" s="40">
        <f t="shared" ca="1" si="37"/>
        <v>7</v>
      </c>
      <c r="F458" s="23" t="str">
        <f t="shared" ca="1" si="38"/>
        <v>—</v>
      </c>
      <c r="G458" s="40">
        <f t="shared" ca="1" si="39"/>
        <v>7</v>
      </c>
    </row>
    <row r="459" spans="1:7" x14ac:dyDescent="0.25">
      <c r="A459" s="17">
        <f t="shared" si="35"/>
        <v>81</v>
      </c>
      <c r="B459" t="str">
        <f ca="1">TEXT(DATE(YEAR(Invoer!$A$5),1,1)+INT((ROWS(B$2:B459)-1)/3),"jjjjmmdd")</f>
        <v>19400601</v>
      </c>
      <c r="C459" s="35" t="str">
        <f>INDEX(Data,2,2+MOD(ROWS(C$2:C459)-1,3))</f>
        <v>13.45</v>
      </c>
      <c r="D459" s="23" t="str">
        <f t="shared" ca="1" si="36"/>
        <v>—</v>
      </c>
      <c r="E459" s="40">
        <f t="shared" ca="1" si="37"/>
        <v>7</v>
      </c>
      <c r="F459" s="23" t="str">
        <f t="shared" ca="1" si="38"/>
        <v>—</v>
      </c>
      <c r="G459" s="40">
        <f t="shared" ca="1" si="39"/>
        <v>7</v>
      </c>
    </row>
    <row r="460" spans="1:7" x14ac:dyDescent="0.25">
      <c r="A460" s="17">
        <f t="shared" si="35"/>
        <v>81</v>
      </c>
      <c r="B460" t="str">
        <f ca="1">TEXT(DATE(YEAR(Invoer!$A$5),1,1)+INT((ROWS(B$2:B460)-1)/3),"jjjjmmdd")</f>
        <v>19400601</v>
      </c>
      <c r="C460" s="35" t="str">
        <f>INDEX(Data,2,2+MOD(ROWS(C$2:C460)-1,3))</f>
        <v>19.45</v>
      </c>
      <c r="D460" s="23" t="str">
        <f t="shared" ca="1" si="36"/>
        <v>—</v>
      </c>
      <c r="E460" s="40">
        <f t="shared" ca="1" si="37"/>
        <v>7</v>
      </c>
      <c r="F460" s="23" t="str">
        <f t="shared" ca="1" si="38"/>
        <v>—</v>
      </c>
      <c r="G460" s="40">
        <f t="shared" ca="1" si="39"/>
        <v>7</v>
      </c>
    </row>
    <row r="461" spans="1:7" x14ac:dyDescent="0.25">
      <c r="A461" s="17">
        <f t="shared" si="35"/>
        <v>81</v>
      </c>
      <c r="B461" t="str">
        <f ca="1">TEXT(DATE(YEAR(Invoer!$A$5),1,1)+INT((ROWS(B$2:B461)-1)/3),"jjjjmmdd")</f>
        <v>19400602</v>
      </c>
      <c r="C461" s="35" t="str">
        <f>INDEX(Data,2,2+MOD(ROWS(C$2:C461)-1,3))</f>
        <v>07.45</v>
      </c>
      <c r="D461" s="23" t="str">
        <f t="shared" ca="1" si="36"/>
        <v>—</v>
      </c>
      <c r="E461" s="40">
        <f t="shared" ca="1" si="37"/>
        <v>7</v>
      </c>
      <c r="F461" s="23" t="str">
        <f t="shared" ca="1" si="38"/>
        <v>—</v>
      </c>
      <c r="G461" s="40">
        <f t="shared" ca="1" si="39"/>
        <v>7</v>
      </c>
    </row>
    <row r="462" spans="1:7" x14ac:dyDescent="0.25">
      <c r="A462" s="17">
        <f t="shared" si="35"/>
        <v>81</v>
      </c>
      <c r="B462" t="str">
        <f ca="1">TEXT(DATE(YEAR(Invoer!$A$5),1,1)+INT((ROWS(B$2:B462)-1)/3),"jjjjmmdd")</f>
        <v>19400602</v>
      </c>
      <c r="C462" s="35" t="str">
        <f>INDEX(Data,2,2+MOD(ROWS(C$2:C462)-1,3))</f>
        <v>13.45</v>
      </c>
      <c r="D462" s="23" t="str">
        <f t="shared" ca="1" si="36"/>
        <v>—</v>
      </c>
      <c r="E462" s="40">
        <f t="shared" ca="1" si="37"/>
        <v>7</v>
      </c>
      <c r="F462" s="23" t="str">
        <f t="shared" ca="1" si="38"/>
        <v>—</v>
      </c>
      <c r="G462" s="40">
        <f t="shared" ca="1" si="39"/>
        <v>7</v>
      </c>
    </row>
    <row r="463" spans="1:7" x14ac:dyDescent="0.25">
      <c r="A463" s="17">
        <f t="shared" si="35"/>
        <v>81</v>
      </c>
      <c r="B463" t="str">
        <f ca="1">TEXT(DATE(YEAR(Invoer!$A$5),1,1)+INT((ROWS(B$2:B463)-1)/3),"jjjjmmdd")</f>
        <v>19400602</v>
      </c>
      <c r="C463" s="35" t="str">
        <f>INDEX(Data,2,2+MOD(ROWS(C$2:C463)-1,3))</f>
        <v>19.45</v>
      </c>
      <c r="D463" s="23" t="str">
        <f t="shared" ca="1" si="36"/>
        <v>—</v>
      </c>
      <c r="E463" s="40">
        <f t="shared" ca="1" si="37"/>
        <v>7</v>
      </c>
      <c r="F463" s="23" t="str">
        <f t="shared" ca="1" si="38"/>
        <v>—</v>
      </c>
      <c r="G463" s="40">
        <f t="shared" ca="1" si="39"/>
        <v>7</v>
      </c>
    </row>
    <row r="464" spans="1:7" x14ac:dyDescent="0.25">
      <c r="A464" s="17">
        <f t="shared" si="35"/>
        <v>81</v>
      </c>
      <c r="B464" t="str">
        <f ca="1">TEXT(DATE(YEAR(Invoer!$A$5),1,1)+INT((ROWS(B$2:B464)-1)/3),"jjjjmmdd")</f>
        <v>19400603</v>
      </c>
      <c r="C464" s="35" t="str">
        <f>INDEX(Data,2,2+MOD(ROWS(C$2:C464)-1,3))</f>
        <v>07.45</v>
      </c>
      <c r="D464" s="23" t="str">
        <f t="shared" ca="1" si="36"/>
        <v>—</v>
      </c>
      <c r="E464" s="40">
        <f t="shared" ca="1" si="37"/>
        <v>7</v>
      </c>
      <c r="F464" s="23" t="str">
        <f t="shared" ca="1" si="38"/>
        <v>—</v>
      </c>
      <c r="G464" s="40">
        <f t="shared" ca="1" si="39"/>
        <v>7</v>
      </c>
    </row>
    <row r="465" spans="1:7" x14ac:dyDescent="0.25">
      <c r="A465" s="17">
        <f t="shared" si="35"/>
        <v>81</v>
      </c>
      <c r="B465" t="str">
        <f ca="1">TEXT(DATE(YEAR(Invoer!$A$5),1,1)+INT((ROWS(B$2:B465)-1)/3),"jjjjmmdd")</f>
        <v>19400603</v>
      </c>
      <c r="C465" s="35" t="str">
        <f>INDEX(Data,2,2+MOD(ROWS(C$2:C465)-1,3))</f>
        <v>13.45</v>
      </c>
      <c r="D465" s="23" t="str">
        <f t="shared" ca="1" si="36"/>
        <v>—</v>
      </c>
      <c r="E465" s="40">
        <f t="shared" ca="1" si="37"/>
        <v>7</v>
      </c>
      <c r="F465" s="23" t="str">
        <f t="shared" ca="1" si="38"/>
        <v>—</v>
      </c>
      <c r="G465" s="40">
        <f t="shared" ca="1" si="39"/>
        <v>7</v>
      </c>
    </row>
    <row r="466" spans="1:7" x14ac:dyDescent="0.25">
      <c r="A466" s="17">
        <f t="shared" si="35"/>
        <v>81</v>
      </c>
      <c r="B466" t="str">
        <f ca="1">TEXT(DATE(YEAR(Invoer!$A$5),1,1)+INT((ROWS(B$2:B466)-1)/3),"jjjjmmdd")</f>
        <v>19400603</v>
      </c>
      <c r="C466" s="35" t="str">
        <f>INDEX(Data,2,2+MOD(ROWS(C$2:C466)-1,3))</f>
        <v>19.45</v>
      </c>
      <c r="D466" s="23" t="str">
        <f t="shared" ca="1" si="36"/>
        <v>—</v>
      </c>
      <c r="E466" s="40">
        <f t="shared" ca="1" si="37"/>
        <v>7</v>
      </c>
      <c r="F466" s="23" t="str">
        <f t="shared" ca="1" si="38"/>
        <v>—</v>
      </c>
      <c r="G466" s="40">
        <f t="shared" ca="1" si="39"/>
        <v>7</v>
      </c>
    </row>
    <row r="467" spans="1:7" x14ac:dyDescent="0.25">
      <c r="A467" s="17">
        <f t="shared" si="35"/>
        <v>81</v>
      </c>
      <c r="B467" t="str">
        <f ca="1">TEXT(DATE(YEAR(Invoer!$A$5),1,1)+INT((ROWS(B$2:B467)-1)/3),"jjjjmmdd")</f>
        <v>19400604</v>
      </c>
      <c r="C467" s="35" t="str">
        <f>INDEX(Data,2,2+MOD(ROWS(C$2:C467)-1,3))</f>
        <v>07.45</v>
      </c>
      <c r="D467" s="23" t="str">
        <f t="shared" ca="1" si="36"/>
        <v>—</v>
      </c>
      <c r="E467" s="40">
        <f t="shared" ca="1" si="37"/>
        <v>7</v>
      </c>
      <c r="F467" s="23" t="str">
        <f t="shared" ca="1" si="38"/>
        <v>—</v>
      </c>
      <c r="G467" s="40">
        <f t="shared" ca="1" si="39"/>
        <v>7</v>
      </c>
    </row>
    <row r="468" spans="1:7" x14ac:dyDescent="0.25">
      <c r="A468" s="17">
        <f t="shared" si="35"/>
        <v>81</v>
      </c>
      <c r="B468" t="str">
        <f ca="1">TEXT(DATE(YEAR(Invoer!$A$5),1,1)+INT((ROWS(B$2:B468)-1)/3),"jjjjmmdd")</f>
        <v>19400604</v>
      </c>
      <c r="C468" s="35" t="str">
        <f>INDEX(Data,2,2+MOD(ROWS(C$2:C468)-1,3))</f>
        <v>13.45</v>
      </c>
      <c r="D468" s="23" t="str">
        <f t="shared" ca="1" si="36"/>
        <v>—</v>
      </c>
      <c r="E468" s="40">
        <f t="shared" ca="1" si="37"/>
        <v>7</v>
      </c>
      <c r="F468" s="23" t="str">
        <f t="shared" ca="1" si="38"/>
        <v>—</v>
      </c>
      <c r="G468" s="40">
        <f t="shared" ca="1" si="39"/>
        <v>7</v>
      </c>
    </row>
    <row r="469" spans="1:7" x14ac:dyDescent="0.25">
      <c r="A469" s="17">
        <f t="shared" si="35"/>
        <v>81</v>
      </c>
      <c r="B469" t="str">
        <f ca="1">TEXT(DATE(YEAR(Invoer!$A$5),1,1)+INT((ROWS(B$2:B469)-1)/3),"jjjjmmdd")</f>
        <v>19400604</v>
      </c>
      <c r="C469" s="35" t="str">
        <f>INDEX(Data,2,2+MOD(ROWS(C$2:C469)-1,3))</f>
        <v>19.45</v>
      </c>
      <c r="D469" s="23" t="str">
        <f t="shared" ca="1" si="36"/>
        <v>—</v>
      </c>
      <c r="E469" s="40">
        <f t="shared" ca="1" si="37"/>
        <v>7</v>
      </c>
      <c r="F469" s="23" t="str">
        <f t="shared" ca="1" si="38"/>
        <v>—</v>
      </c>
      <c r="G469" s="40">
        <f t="shared" ca="1" si="39"/>
        <v>7</v>
      </c>
    </row>
    <row r="470" spans="1:7" x14ac:dyDescent="0.25">
      <c r="A470" s="17">
        <f t="shared" si="35"/>
        <v>81</v>
      </c>
      <c r="B470" t="str">
        <f ca="1">TEXT(DATE(YEAR(Invoer!$A$5),1,1)+INT((ROWS(B$2:B470)-1)/3),"jjjjmmdd")</f>
        <v>19400605</v>
      </c>
      <c r="C470" s="35" t="str">
        <f>INDEX(Data,2,2+MOD(ROWS(C$2:C470)-1,3))</f>
        <v>07.45</v>
      </c>
      <c r="D470" s="23" t="str">
        <f t="shared" ca="1" si="36"/>
        <v>—</v>
      </c>
      <c r="E470" s="40">
        <f t="shared" ca="1" si="37"/>
        <v>7</v>
      </c>
      <c r="F470" s="23" t="str">
        <f t="shared" ca="1" si="38"/>
        <v>—</v>
      </c>
      <c r="G470" s="40">
        <f t="shared" ca="1" si="39"/>
        <v>7</v>
      </c>
    </row>
    <row r="471" spans="1:7" x14ac:dyDescent="0.25">
      <c r="A471" s="17">
        <f t="shared" si="35"/>
        <v>81</v>
      </c>
      <c r="B471" t="str">
        <f ca="1">TEXT(DATE(YEAR(Invoer!$A$5),1,1)+INT((ROWS(B$2:B471)-1)/3),"jjjjmmdd")</f>
        <v>19400605</v>
      </c>
      <c r="C471" s="35" t="str">
        <f>INDEX(Data,2,2+MOD(ROWS(C$2:C471)-1,3))</f>
        <v>13.45</v>
      </c>
      <c r="D471" s="23" t="str">
        <f t="shared" ca="1" si="36"/>
        <v>—</v>
      </c>
      <c r="E471" s="40">
        <f t="shared" ca="1" si="37"/>
        <v>7</v>
      </c>
      <c r="F471" s="23" t="str">
        <f t="shared" ca="1" si="38"/>
        <v>—</v>
      </c>
      <c r="G471" s="40">
        <f t="shared" ca="1" si="39"/>
        <v>7</v>
      </c>
    </row>
    <row r="472" spans="1:7" x14ac:dyDescent="0.25">
      <c r="A472" s="17">
        <f t="shared" si="35"/>
        <v>81</v>
      </c>
      <c r="B472" t="str">
        <f ca="1">TEXT(DATE(YEAR(Invoer!$A$5),1,1)+INT((ROWS(B$2:B472)-1)/3),"jjjjmmdd")</f>
        <v>19400605</v>
      </c>
      <c r="C472" s="35" t="str">
        <f>INDEX(Data,2,2+MOD(ROWS(C$2:C472)-1,3))</f>
        <v>19.45</v>
      </c>
      <c r="D472" s="23" t="str">
        <f t="shared" ca="1" si="36"/>
        <v>—</v>
      </c>
      <c r="E472" s="40">
        <f t="shared" ca="1" si="37"/>
        <v>7</v>
      </c>
      <c r="F472" s="23" t="str">
        <f t="shared" ca="1" si="38"/>
        <v>—</v>
      </c>
      <c r="G472" s="40">
        <f t="shared" ca="1" si="39"/>
        <v>7</v>
      </c>
    </row>
    <row r="473" spans="1:7" x14ac:dyDescent="0.25">
      <c r="A473" s="17">
        <f t="shared" si="35"/>
        <v>81</v>
      </c>
      <c r="B473" t="str">
        <f ca="1">TEXT(DATE(YEAR(Invoer!$A$5),1,1)+INT((ROWS(B$2:B473)-1)/3),"jjjjmmdd")</f>
        <v>19400606</v>
      </c>
      <c r="C473" s="35" t="str">
        <f>INDEX(Data,2,2+MOD(ROWS(C$2:C473)-1,3))</f>
        <v>07.45</v>
      </c>
      <c r="D473" s="23" t="str">
        <f t="shared" ca="1" si="36"/>
        <v>—</v>
      </c>
      <c r="E473" s="40">
        <f t="shared" ca="1" si="37"/>
        <v>7</v>
      </c>
      <c r="F473" s="23" t="str">
        <f t="shared" ca="1" si="38"/>
        <v>—</v>
      </c>
      <c r="G473" s="40">
        <f t="shared" ca="1" si="39"/>
        <v>7</v>
      </c>
    </row>
    <row r="474" spans="1:7" x14ac:dyDescent="0.25">
      <c r="A474" s="17">
        <f t="shared" si="35"/>
        <v>81</v>
      </c>
      <c r="B474" t="str">
        <f ca="1">TEXT(DATE(YEAR(Invoer!$A$5),1,1)+INT((ROWS(B$2:B474)-1)/3),"jjjjmmdd")</f>
        <v>19400606</v>
      </c>
      <c r="C474" s="35" t="str">
        <f>INDEX(Data,2,2+MOD(ROWS(C$2:C474)-1,3))</f>
        <v>13.45</v>
      </c>
      <c r="D474" s="23" t="str">
        <f t="shared" ca="1" si="36"/>
        <v>—</v>
      </c>
      <c r="E474" s="40">
        <f t="shared" ca="1" si="37"/>
        <v>7</v>
      </c>
      <c r="F474" s="23" t="str">
        <f t="shared" ca="1" si="38"/>
        <v>—</v>
      </c>
      <c r="G474" s="40">
        <f t="shared" ca="1" si="39"/>
        <v>7</v>
      </c>
    </row>
    <row r="475" spans="1:7" x14ac:dyDescent="0.25">
      <c r="A475" s="17">
        <f t="shared" si="35"/>
        <v>81</v>
      </c>
      <c r="B475" t="str">
        <f ca="1">TEXT(DATE(YEAR(Invoer!$A$5),1,1)+INT((ROWS(B$2:B475)-1)/3),"jjjjmmdd")</f>
        <v>19400606</v>
      </c>
      <c r="C475" s="35" t="str">
        <f>INDEX(Data,2,2+MOD(ROWS(C$2:C475)-1,3))</f>
        <v>19.45</v>
      </c>
      <c r="D475" s="23" t="str">
        <f t="shared" ca="1" si="36"/>
        <v>—</v>
      </c>
      <c r="E475" s="40">
        <f t="shared" ca="1" si="37"/>
        <v>7</v>
      </c>
      <c r="F475" s="23" t="str">
        <f t="shared" ca="1" si="38"/>
        <v>—</v>
      </c>
      <c r="G475" s="40">
        <f t="shared" ca="1" si="39"/>
        <v>7</v>
      </c>
    </row>
    <row r="476" spans="1:7" x14ac:dyDescent="0.25">
      <c r="A476" s="17">
        <f t="shared" si="35"/>
        <v>81</v>
      </c>
      <c r="B476" t="str">
        <f ca="1">TEXT(DATE(YEAR(Invoer!$A$5),1,1)+INT((ROWS(B$2:B476)-1)/3),"jjjjmmdd")</f>
        <v>19400607</v>
      </c>
      <c r="C476" s="35" t="str">
        <f>INDEX(Data,2,2+MOD(ROWS(C$2:C476)-1,3))</f>
        <v>07.45</v>
      </c>
      <c r="D476" s="23" t="str">
        <f t="shared" ca="1" si="36"/>
        <v>—</v>
      </c>
      <c r="E476" s="40">
        <f t="shared" ca="1" si="37"/>
        <v>7</v>
      </c>
      <c r="F476" s="23" t="str">
        <f t="shared" ca="1" si="38"/>
        <v>—</v>
      </c>
      <c r="G476" s="40">
        <f t="shared" ca="1" si="39"/>
        <v>7</v>
      </c>
    </row>
    <row r="477" spans="1:7" x14ac:dyDescent="0.25">
      <c r="A477" s="17">
        <f t="shared" si="35"/>
        <v>81</v>
      </c>
      <c r="B477" t="str">
        <f ca="1">TEXT(DATE(YEAR(Invoer!$A$5),1,1)+INT((ROWS(B$2:B477)-1)/3),"jjjjmmdd")</f>
        <v>19400607</v>
      </c>
      <c r="C477" s="35" t="str">
        <f>INDEX(Data,2,2+MOD(ROWS(C$2:C477)-1,3))</f>
        <v>13.45</v>
      </c>
      <c r="D477" s="23" t="str">
        <f t="shared" ca="1" si="36"/>
        <v>—</v>
      </c>
      <c r="E477" s="40">
        <f t="shared" ca="1" si="37"/>
        <v>7</v>
      </c>
      <c r="F477" s="23" t="str">
        <f t="shared" ca="1" si="38"/>
        <v>—</v>
      </c>
      <c r="G477" s="40">
        <f t="shared" ca="1" si="39"/>
        <v>7</v>
      </c>
    </row>
    <row r="478" spans="1:7" x14ac:dyDescent="0.25">
      <c r="A478" s="17">
        <f t="shared" si="35"/>
        <v>81</v>
      </c>
      <c r="B478" t="str">
        <f ca="1">TEXT(DATE(YEAR(Invoer!$A$5),1,1)+INT((ROWS(B$2:B478)-1)/3),"jjjjmmdd")</f>
        <v>19400607</v>
      </c>
      <c r="C478" s="35" t="str">
        <f>INDEX(Data,2,2+MOD(ROWS(C$2:C478)-1,3))</f>
        <v>19.45</v>
      </c>
      <c r="D478" s="23" t="str">
        <f t="shared" ca="1" si="36"/>
        <v>—</v>
      </c>
      <c r="E478" s="40">
        <f t="shared" ca="1" si="37"/>
        <v>7</v>
      </c>
      <c r="F478" s="23" t="str">
        <f t="shared" ca="1" si="38"/>
        <v>—</v>
      </c>
      <c r="G478" s="40">
        <f t="shared" ca="1" si="39"/>
        <v>7</v>
      </c>
    </row>
    <row r="479" spans="1:7" x14ac:dyDescent="0.25">
      <c r="A479" s="17">
        <f t="shared" si="35"/>
        <v>81</v>
      </c>
      <c r="B479" t="str">
        <f ca="1">TEXT(DATE(YEAR(Invoer!$A$5),1,1)+INT((ROWS(B$2:B479)-1)/3),"jjjjmmdd")</f>
        <v>19400608</v>
      </c>
      <c r="C479" s="35" t="str">
        <f>INDEX(Data,2,2+MOD(ROWS(C$2:C479)-1,3))</f>
        <v>07.45</v>
      </c>
      <c r="D479" s="23" t="str">
        <f t="shared" ca="1" si="36"/>
        <v>—</v>
      </c>
      <c r="E479" s="40">
        <f t="shared" ca="1" si="37"/>
        <v>7</v>
      </c>
      <c r="F479" s="23" t="str">
        <f t="shared" ca="1" si="38"/>
        <v>—</v>
      </c>
      <c r="G479" s="40">
        <f t="shared" ca="1" si="39"/>
        <v>7</v>
      </c>
    </row>
    <row r="480" spans="1:7" x14ac:dyDescent="0.25">
      <c r="A480" s="17">
        <f t="shared" si="35"/>
        <v>81</v>
      </c>
      <c r="B480" t="str">
        <f ca="1">TEXT(DATE(YEAR(Invoer!$A$5),1,1)+INT((ROWS(B$2:B480)-1)/3),"jjjjmmdd")</f>
        <v>19400608</v>
      </c>
      <c r="C480" s="35" t="str">
        <f>INDEX(Data,2,2+MOD(ROWS(C$2:C480)-1,3))</f>
        <v>13.45</v>
      </c>
      <c r="D480" s="23" t="str">
        <f t="shared" ca="1" si="36"/>
        <v>—</v>
      </c>
      <c r="E480" s="40">
        <f t="shared" ca="1" si="37"/>
        <v>7</v>
      </c>
      <c r="F480" s="23" t="str">
        <f t="shared" ca="1" si="38"/>
        <v>—</v>
      </c>
      <c r="G480" s="40">
        <f t="shared" ca="1" si="39"/>
        <v>7</v>
      </c>
    </row>
    <row r="481" spans="1:7" x14ac:dyDescent="0.25">
      <c r="A481" s="17">
        <f t="shared" si="35"/>
        <v>81</v>
      </c>
      <c r="B481" t="str">
        <f ca="1">TEXT(DATE(YEAR(Invoer!$A$5),1,1)+INT((ROWS(B$2:B481)-1)/3),"jjjjmmdd")</f>
        <v>19400608</v>
      </c>
      <c r="C481" s="35" t="str">
        <f>INDEX(Data,2,2+MOD(ROWS(C$2:C481)-1,3))</f>
        <v>19.45</v>
      </c>
      <c r="D481" s="23" t="str">
        <f t="shared" ca="1" si="36"/>
        <v>—</v>
      </c>
      <c r="E481" s="40">
        <f t="shared" ca="1" si="37"/>
        <v>7</v>
      </c>
      <c r="F481" s="23" t="str">
        <f t="shared" ca="1" si="38"/>
        <v>—</v>
      </c>
      <c r="G481" s="40">
        <f t="shared" ca="1" si="39"/>
        <v>7</v>
      </c>
    </row>
    <row r="482" spans="1:7" x14ac:dyDescent="0.25">
      <c r="A482" s="17">
        <f t="shared" si="35"/>
        <v>81</v>
      </c>
      <c r="B482" t="str">
        <f ca="1">TEXT(DATE(YEAR(Invoer!$A$5),1,1)+INT((ROWS(B$2:B482)-1)/3),"jjjjmmdd")</f>
        <v>19400609</v>
      </c>
      <c r="C482" s="35" t="str">
        <f>INDEX(Data,2,2+MOD(ROWS(C$2:C482)-1,3))</f>
        <v>07.45</v>
      </c>
      <c r="D482" s="23" t="str">
        <f t="shared" ca="1" si="36"/>
        <v>—</v>
      </c>
      <c r="E482" s="40">
        <f t="shared" ca="1" si="37"/>
        <v>7</v>
      </c>
      <c r="F482" s="23" t="str">
        <f t="shared" ca="1" si="38"/>
        <v>—</v>
      </c>
      <c r="G482" s="40">
        <f t="shared" ca="1" si="39"/>
        <v>7</v>
      </c>
    </row>
    <row r="483" spans="1:7" x14ac:dyDescent="0.25">
      <c r="A483" s="17">
        <f t="shared" si="35"/>
        <v>81</v>
      </c>
      <c r="B483" t="str">
        <f ca="1">TEXT(DATE(YEAR(Invoer!$A$5),1,1)+INT((ROWS(B$2:B483)-1)/3),"jjjjmmdd")</f>
        <v>19400609</v>
      </c>
      <c r="C483" s="35" t="str">
        <f>INDEX(Data,2,2+MOD(ROWS(C$2:C483)-1,3))</f>
        <v>13.45</v>
      </c>
      <c r="D483" s="23" t="str">
        <f t="shared" ca="1" si="36"/>
        <v>—</v>
      </c>
      <c r="E483" s="40">
        <f t="shared" ca="1" si="37"/>
        <v>7</v>
      </c>
      <c r="F483" s="23" t="str">
        <f t="shared" ca="1" si="38"/>
        <v>—</v>
      </c>
      <c r="G483" s="40">
        <f t="shared" ca="1" si="39"/>
        <v>7</v>
      </c>
    </row>
    <row r="484" spans="1:7" x14ac:dyDescent="0.25">
      <c r="A484" s="17">
        <f t="shared" si="35"/>
        <v>81</v>
      </c>
      <c r="B484" t="str">
        <f ca="1">TEXT(DATE(YEAR(Invoer!$A$5),1,1)+INT((ROWS(B$2:B484)-1)/3),"jjjjmmdd")</f>
        <v>19400609</v>
      </c>
      <c r="C484" s="35" t="str">
        <f>INDEX(Data,2,2+MOD(ROWS(C$2:C484)-1,3))</f>
        <v>19.45</v>
      </c>
      <c r="D484" s="23" t="str">
        <f t="shared" ca="1" si="36"/>
        <v>—</v>
      </c>
      <c r="E484" s="40">
        <f t="shared" ca="1" si="37"/>
        <v>7</v>
      </c>
      <c r="F484" s="23" t="str">
        <f t="shared" ca="1" si="38"/>
        <v>—</v>
      </c>
      <c r="G484" s="40">
        <f t="shared" ca="1" si="39"/>
        <v>7</v>
      </c>
    </row>
    <row r="485" spans="1:7" x14ac:dyDescent="0.25">
      <c r="A485" s="17">
        <f t="shared" si="35"/>
        <v>81</v>
      </c>
      <c r="B485" t="str">
        <f ca="1">TEXT(DATE(YEAR(Invoer!$A$5),1,1)+INT((ROWS(B$2:B485)-1)/3),"jjjjmmdd")</f>
        <v>19400610</v>
      </c>
      <c r="C485" s="35" t="str">
        <f>INDEX(Data,2,2+MOD(ROWS(C$2:C485)-1,3))</f>
        <v>07.45</v>
      </c>
      <c r="D485" s="23" t="str">
        <f t="shared" ca="1" si="36"/>
        <v>—</v>
      </c>
      <c r="E485" s="40">
        <f t="shared" ca="1" si="37"/>
        <v>7</v>
      </c>
      <c r="F485" s="23" t="str">
        <f t="shared" ca="1" si="38"/>
        <v>—</v>
      </c>
      <c r="G485" s="40">
        <f t="shared" ca="1" si="39"/>
        <v>7</v>
      </c>
    </row>
    <row r="486" spans="1:7" x14ac:dyDescent="0.25">
      <c r="A486" s="17">
        <f t="shared" si="35"/>
        <v>81</v>
      </c>
      <c r="B486" t="str">
        <f ca="1">TEXT(DATE(YEAR(Invoer!$A$5),1,1)+INT((ROWS(B$2:B486)-1)/3),"jjjjmmdd")</f>
        <v>19400610</v>
      </c>
      <c r="C486" s="35" t="str">
        <f>INDEX(Data,2,2+MOD(ROWS(C$2:C486)-1,3))</f>
        <v>13.45</v>
      </c>
      <c r="D486" s="23" t="str">
        <f t="shared" ca="1" si="36"/>
        <v>—</v>
      </c>
      <c r="E486" s="40">
        <f t="shared" ca="1" si="37"/>
        <v>7</v>
      </c>
      <c r="F486" s="23" t="str">
        <f t="shared" ca="1" si="38"/>
        <v>—</v>
      </c>
      <c r="G486" s="40">
        <f t="shared" ca="1" si="39"/>
        <v>7</v>
      </c>
    </row>
    <row r="487" spans="1:7" x14ac:dyDescent="0.25">
      <c r="A487" s="17">
        <f t="shared" si="35"/>
        <v>81</v>
      </c>
      <c r="B487" t="str">
        <f ca="1">TEXT(DATE(YEAR(Invoer!$A$5),1,1)+INT((ROWS(B$2:B487)-1)/3),"jjjjmmdd")</f>
        <v>19400610</v>
      </c>
      <c r="C487" s="35" t="str">
        <f>INDEX(Data,2,2+MOD(ROWS(C$2:C487)-1,3))</f>
        <v>19.45</v>
      </c>
      <c r="D487" s="23" t="str">
        <f t="shared" ca="1" si="36"/>
        <v>—</v>
      </c>
      <c r="E487" s="40">
        <f t="shared" ca="1" si="37"/>
        <v>7</v>
      </c>
      <c r="F487" s="23" t="str">
        <f t="shared" ca="1" si="38"/>
        <v>—</v>
      </c>
      <c r="G487" s="40">
        <f t="shared" ca="1" si="39"/>
        <v>7</v>
      </c>
    </row>
    <row r="488" spans="1:7" x14ac:dyDescent="0.25">
      <c r="A488" s="17">
        <f t="shared" si="35"/>
        <v>81</v>
      </c>
      <c r="B488" t="str">
        <f ca="1">TEXT(DATE(YEAR(Invoer!$A$5),1,1)+INT((ROWS(B$2:B488)-1)/3),"jjjjmmdd")</f>
        <v>19400611</v>
      </c>
      <c r="C488" s="35" t="str">
        <f>INDEX(Data,2,2+MOD(ROWS(C$2:C488)-1,3))</f>
        <v>07.45</v>
      </c>
      <c r="D488" s="23" t="str">
        <f t="shared" ca="1" si="36"/>
        <v>—</v>
      </c>
      <c r="E488" s="40">
        <f t="shared" ca="1" si="37"/>
        <v>7</v>
      </c>
      <c r="F488" s="23" t="str">
        <f t="shared" ca="1" si="38"/>
        <v>—</v>
      </c>
      <c r="G488" s="40">
        <f t="shared" ca="1" si="39"/>
        <v>7</v>
      </c>
    </row>
    <row r="489" spans="1:7" x14ac:dyDescent="0.25">
      <c r="A489" s="17">
        <f t="shared" si="35"/>
        <v>81</v>
      </c>
      <c r="B489" t="str">
        <f ca="1">TEXT(DATE(YEAR(Invoer!$A$5),1,1)+INT((ROWS(B$2:B489)-1)/3),"jjjjmmdd")</f>
        <v>19400611</v>
      </c>
      <c r="C489" s="35" t="str">
        <f>INDEX(Data,2,2+MOD(ROWS(C$2:C489)-1,3))</f>
        <v>13.45</v>
      </c>
      <c r="D489" s="23" t="str">
        <f t="shared" ca="1" si="36"/>
        <v>—</v>
      </c>
      <c r="E489" s="40">
        <f t="shared" ca="1" si="37"/>
        <v>7</v>
      </c>
      <c r="F489" s="23" t="str">
        <f t="shared" ca="1" si="38"/>
        <v>—</v>
      </c>
      <c r="G489" s="40">
        <f t="shared" ca="1" si="39"/>
        <v>7</v>
      </c>
    </row>
    <row r="490" spans="1:7" x14ac:dyDescent="0.25">
      <c r="A490" s="17">
        <f t="shared" si="35"/>
        <v>81</v>
      </c>
      <c r="B490" t="str">
        <f ca="1">TEXT(DATE(YEAR(Invoer!$A$5),1,1)+INT((ROWS(B$2:B490)-1)/3),"jjjjmmdd")</f>
        <v>19400611</v>
      </c>
      <c r="C490" s="35" t="str">
        <f>INDEX(Data,2,2+MOD(ROWS(C$2:C490)-1,3))</f>
        <v>19.45</v>
      </c>
      <c r="D490" s="23" t="str">
        <f t="shared" ca="1" si="36"/>
        <v>—</v>
      </c>
      <c r="E490" s="40">
        <f t="shared" ca="1" si="37"/>
        <v>7</v>
      </c>
      <c r="F490" s="23" t="str">
        <f t="shared" ca="1" si="38"/>
        <v>—</v>
      </c>
      <c r="G490" s="40">
        <f t="shared" ca="1" si="39"/>
        <v>7</v>
      </c>
    </row>
    <row r="491" spans="1:7" x14ac:dyDescent="0.25">
      <c r="A491" s="17">
        <f t="shared" si="35"/>
        <v>81</v>
      </c>
      <c r="B491" t="str">
        <f ca="1">TEXT(DATE(YEAR(Invoer!$A$5),1,1)+INT((ROWS(B$2:B491)-1)/3),"jjjjmmdd")</f>
        <v>19400612</v>
      </c>
      <c r="C491" s="35" t="str">
        <f>INDEX(Data,2,2+MOD(ROWS(C$2:C491)-1,3))</f>
        <v>07.45</v>
      </c>
      <c r="D491" s="23" t="str">
        <f t="shared" ca="1" si="36"/>
        <v>—</v>
      </c>
      <c r="E491" s="40">
        <f t="shared" ca="1" si="37"/>
        <v>7</v>
      </c>
      <c r="F491" s="23" t="str">
        <f t="shared" ca="1" si="38"/>
        <v>—</v>
      </c>
      <c r="G491" s="40">
        <f t="shared" ca="1" si="39"/>
        <v>7</v>
      </c>
    </row>
    <row r="492" spans="1:7" x14ac:dyDescent="0.25">
      <c r="A492" s="17">
        <f t="shared" si="35"/>
        <v>81</v>
      </c>
      <c r="B492" t="str">
        <f ca="1">TEXT(DATE(YEAR(Invoer!$A$5),1,1)+INT((ROWS(B$2:B492)-1)/3),"jjjjmmdd")</f>
        <v>19400612</v>
      </c>
      <c r="C492" s="35" t="str">
        <f>INDEX(Data,2,2+MOD(ROWS(C$2:C492)-1,3))</f>
        <v>13.45</v>
      </c>
      <c r="D492" s="23" t="str">
        <f t="shared" ca="1" si="36"/>
        <v>—</v>
      </c>
      <c r="E492" s="40">
        <f t="shared" ca="1" si="37"/>
        <v>7</v>
      </c>
      <c r="F492" s="23" t="str">
        <f t="shared" ca="1" si="38"/>
        <v>—</v>
      </c>
      <c r="G492" s="40">
        <f t="shared" ca="1" si="39"/>
        <v>7</v>
      </c>
    </row>
    <row r="493" spans="1:7" x14ac:dyDescent="0.25">
      <c r="A493" s="17">
        <f t="shared" si="35"/>
        <v>81</v>
      </c>
      <c r="B493" t="str">
        <f ca="1">TEXT(DATE(YEAR(Invoer!$A$5),1,1)+INT((ROWS(B$2:B493)-1)/3),"jjjjmmdd")</f>
        <v>19400612</v>
      </c>
      <c r="C493" s="35" t="str">
        <f>INDEX(Data,2,2+MOD(ROWS(C$2:C493)-1,3))</f>
        <v>19.45</v>
      </c>
      <c r="D493" s="23" t="str">
        <f t="shared" ca="1" si="36"/>
        <v>—</v>
      </c>
      <c r="E493" s="40">
        <f t="shared" ca="1" si="37"/>
        <v>7</v>
      </c>
      <c r="F493" s="23" t="str">
        <f t="shared" ca="1" si="38"/>
        <v>—</v>
      </c>
      <c r="G493" s="40">
        <f t="shared" ca="1" si="39"/>
        <v>7</v>
      </c>
    </row>
    <row r="494" spans="1:7" x14ac:dyDescent="0.25">
      <c r="A494" s="17">
        <f t="shared" si="35"/>
        <v>81</v>
      </c>
      <c r="B494" t="str">
        <f ca="1">TEXT(DATE(YEAR(Invoer!$A$5),1,1)+INT((ROWS(B$2:B494)-1)/3),"jjjjmmdd")</f>
        <v>19400613</v>
      </c>
      <c r="C494" s="35" t="str">
        <f>INDEX(Data,2,2+MOD(ROWS(C$2:C494)-1,3))</f>
        <v>07.45</v>
      </c>
      <c r="D494" s="23" t="str">
        <f t="shared" ca="1" si="36"/>
        <v>—</v>
      </c>
      <c r="E494" s="40">
        <f t="shared" ca="1" si="37"/>
        <v>7</v>
      </c>
      <c r="F494" s="23" t="str">
        <f t="shared" ca="1" si="38"/>
        <v>—</v>
      </c>
      <c r="G494" s="40">
        <f t="shared" ca="1" si="39"/>
        <v>7</v>
      </c>
    </row>
    <row r="495" spans="1:7" x14ac:dyDescent="0.25">
      <c r="A495" s="17">
        <f t="shared" si="35"/>
        <v>81</v>
      </c>
      <c r="B495" t="str">
        <f ca="1">TEXT(DATE(YEAR(Invoer!$A$5),1,1)+INT((ROWS(B$2:B495)-1)/3),"jjjjmmdd")</f>
        <v>19400613</v>
      </c>
      <c r="C495" s="35" t="str">
        <f>INDEX(Data,2,2+MOD(ROWS(C$2:C495)-1,3))</f>
        <v>13.45</v>
      </c>
      <c r="D495" s="23" t="str">
        <f t="shared" ca="1" si="36"/>
        <v>—</v>
      </c>
      <c r="E495" s="40">
        <f t="shared" ca="1" si="37"/>
        <v>7</v>
      </c>
      <c r="F495" s="23" t="str">
        <f t="shared" ca="1" si="38"/>
        <v>—</v>
      </c>
      <c r="G495" s="40">
        <f t="shared" ca="1" si="39"/>
        <v>7</v>
      </c>
    </row>
    <row r="496" spans="1:7" x14ac:dyDescent="0.25">
      <c r="A496" s="17">
        <f t="shared" si="35"/>
        <v>81</v>
      </c>
      <c r="B496" t="str">
        <f ca="1">TEXT(DATE(YEAR(Invoer!$A$5),1,1)+INT((ROWS(B$2:B496)-1)/3),"jjjjmmdd")</f>
        <v>19400613</v>
      </c>
      <c r="C496" s="35" t="str">
        <f>INDEX(Data,2,2+MOD(ROWS(C$2:C496)-1,3))</f>
        <v>19.45</v>
      </c>
      <c r="D496" s="23" t="str">
        <f t="shared" ca="1" si="36"/>
        <v>—</v>
      </c>
      <c r="E496" s="40">
        <f t="shared" ca="1" si="37"/>
        <v>7</v>
      </c>
      <c r="F496" s="23" t="str">
        <f t="shared" ca="1" si="38"/>
        <v>—</v>
      </c>
      <c r="G496" s="40">
        <f t="shared" ca="1" si="39"/>
        <v>7</v>
      </c>
    </row>
    <row r="497" spans="1:7" x14ac:dyDescent="0.25">
      <c r="A497" s="17">
        <f t="shared" si="35"/>
        <v>81</v>
      </c>
      <c r="B497" t="str">
        <f ca="1">TEXT(DATE(YEAR(Invoer!$A$5),1,1)+INT((ROWS(B$2:B497)-1)/3),"jjjjmmdd")</f>
        <v>19400614</v>
      </c>
      <c r="C497" s="35" t="str">
        <f>INDEX(Data,2,2+MOD(ROWS(C$2:C497)-1,3))</f>
        <v>07.45</v>
      </c>
      <c r="D497" s="23" t="str">
        <f t="shared" ca="1" si="36"/>
        <v>—</v>
      </c>
      <c r="E497" s="40">
        <f t="shared" ca="1" si="37"/>
        <v>7</v>
      </c>
      <c r="F497" s="23" t="str">
        <f t="shared" ca="1" si="38"/>
        <v>—</v>
      </c>
      <c r="G497" s="40">
        <f t="shared" ca="1" si="39"/>
        <v>7</v>
      </c>
    </row>
    <row r="498" spans="1:7" x14ac:dyDescent="0.25">
      <c r="A498" s="17">
        <f t="shared" si="35"/>
        <v>81</v>
      </c>
      <c r="B498" t="str">
        <f ca="1">TEXT(DATE(YEAR(Invoer!$A$5),1,1)+INT((ROWS(B$2:B498)-1)/3),"jjjjmmdd")</f>
        <v>19400614</v>
      </c>
      <c r="C498" s="35" t="str">
        <f>INDEX(Data,2,2+MOD(ROWS(C$2:C498)-1,3))</f>
        <v>13.45</v>
      </c>
      <c r="D498" s="23" t="str">
        <f t="shared" ca="1" si="36"/>
        <v>—</v>
      </c>
      <c r="E498" s="40">
        <f t="shared" ca="1" si="37"/>
        <v>7</v>
      </c>
      <c r="F498" s="23" t="str">
        <f t="shared" ca="1" si="38"/>
        <v>—</v>
      </c>
      <c r="G498" s="40">
        <f t="shared" ca="1" si="39"/>
        <v>7</v>
      </c>
    </row>
    <row r="499" spans="1:7" x14ac:dyDescent="0.25">
      <c r="A499" s="17">
        <f t="shared" si="35"/>
        <v>81</v>
      </c>
      <c r="B499" t="str">
        <f ca="1">TEXT(DATE(YEAR(Invoer!$A$5),1,1)+INT((ROWS(B$2:B499)-1)/3),"jjjjmmdd")</f>
        <v>19400614</v>
      </c>
      <c r="C499" s="35" t="str">
        <f>INDEX(Data,2,2+MOD(ROWS(C$2:C499)-1,3))</f>
        <v>19.45</v>
      </c>
      <c r="D499" s="23" t="str">
        <f t="shared" ca="1" si="36"/>
        <v>—</v>
      </c>
      <c r="E499" s="40">
        <f t="shared" ca="1" si="37"/>
        <v>7</v>
      </c>
      <c r="F499" s="23" t="str">
        <f t="shared" ca="1" si="38"/>
        <v>—</v>
      </c>
      <c r="G499" s="40">
        <f t="shared" ca="1" si="39"/>
        <v>7</v>
      </c>
    </row>
    <row r="500" spans="1:7" x14ac:dyDescent="0.25">
      <c r="A500" s="17">
        <f t="shared" si="35"/>
        <v>81</v>
      </c>
      <c r="B500" t="str">
        <f ca="1">TEXT(DATE(YEAR(Invoer!$A$5),1,1)+INT((ROWS(B$2:B500)-1)/3),"jjjjmmdd")</f>
        <v>19400615</v>
      </c>
      <c r="C500" s="35" t="str">
        <f>INDEX(Data,2,2+MOD(ROWS(C$2:C500)-1,3))</f>
        <v>07.45</v>
      </c>
      <c r="D500" s="23" t="str">
        <f t="shared" ca="1" si="36"/>
        <v>—</v>
      </c>
      <c r="E500" s="40">
        <f t="shared" ca="1" si="37"/>
        <v>7</v>
      </c>
      <c r="F500" s="23" t="str">
        <f t="shared" ca="1" si="38"/>
        <v>—</v>
      </c>
      <c r="G500" s="40">
        <f t="shared" ca="1" si="39"/>
        <v>7</v>
      </c>
    </row>
    <row r="501" spans="1:7" x14ac:dyDescent="0.25">
      <c r="A501" s="17">
        <f t="shared" si="35"/>
        <v>81</v>
      </c>
      <c r="B501" t="str">
        <f ca="1">TEXT(DATE(YEAR(Invoer!$A$5),1,1)+INT((ROWS(B$2:B501)-1)/3),"jjjjmmdd")</f>
        <v>19400615</v>
      </c>
      <c r="C501" s="35" t="str">
        <f>INDEX(Data,2,2+MOD(ROWS(C$2:C501)-1,3))</f>
        <v>13.45</v>
      </c>
      <c r="D501" s="23" t="str">
        <f t="shared" ca="1" si="36"/>
        <v>—</v>
      </c>
      <c r="E501" s="40">
        <f t="shared" ca="1" si="37"/>
        <v>7</v>
      </c>
      <c r="F501" s="23" t="str">
        <f t="shared" ca="1" si="38"/>
        <v>—</v>
      </c>
      <c r="G501" s="40">
        <f t="shared" ca="1" si="39"/>
        <v>7</v>
      </c>
    </row>
    <row r="502" spans="1:7" x14ac:dyDescent="0.25">
      <c r="A502" s="17">
        <f t="shared" si="35"/>
        <v>81</v>
      </c>
      <c r="B502" t="str">
        <f ca="1">TEXT(DATE(YEAR(Invoer!$A$5),1,1)+INT((ROWS(B$2:B502)-1)/3),"jjjjmmdd")</f>
        <v>19400615</v>
      </c>
      <c r="C502" s="35" t="str">
        <f>INDEX(Data,2,2+MOD(ROWS(C$2:C502)-1,3))</f>
        <v>19.45</v>
      </c>
      <c r="D502" s="23" t="str">
        <f t="shared" ca="1" si="36"/>
        <v>—</v>
      </c>
      <c r="E502" s="40">
        <f t="shared" ca="1" si="37"/>
        <v>7</v>
      </c>
      <c r="F502" s="23" t="str">
        <f t="shared" ca="1" si="38"/>
        <v>—</v>
      </c>
      <c r="G502" s="40">
        <f t="shared" ca="1" si="39"/>
        <v>7</v>
      </c>
    </row>
    <row r="503" spans="1:7" x14ac:dyDescent="0.25">
      <c r="A503" s="17">
        <f t="shared" si="35"/>
        <v>81</v>
      </c>
      <c r="B503" t="str">
        <f ca="1">TEXT(DATE(YEAR(Invoer!$A$5),1,1)+INT((ROWS(B$2:B503)-1)/3),"jjjjmmdd")</f>
        <v>19400616</v>
      </c>
      <c r="C503" s="35" t="str">
        <f>INDEX(Data,2,2+MOD(ROWS(C$2:C503)-1,3))</f>
        <v>07.45</v>
      </c>
      <c r="D503" s="23" t="str">
        <f t="shared" ca="1" si="36"/>
        <v>—</v>
      </c>
      <c r="E503" s="40">
        <f t="shared" ca="1" si="37"/>
        <v>7</v>
      </c>
      <c r="F503" s="23" t="str">
        <f t="shared" ca="1" si="38"/>
        <v>—</v>
      </c>
      <c r="G503" s="40">
        <f t="shared" ca="1" si="39"/>
        <v>7</v>
      </c>
    </row>
    <row r="504" spans="1:7" x14ac:dyDescent="0.25">
      <c r="A504" s="17">
        <f t="shared" si="35"/>
        <v>81</v>
      </c>
      <c r="B504" t="str">
        <f ca="1">TEXT(DATE(YEAR(Invoer!$A$5),1,1)+INT((ROWS(B$2:B504)-1)/3),"jjjjmmdd")</f>
        <v>19400616</v>
      </c>
      <c r="C504" s="35" t="str">
        <f>INDEX(Data,2,2+MOD(ROWS(C$2:C504)-1,3))</f>
        <v>13.45</v>
      </c>
      <c r="D504" s="23" t="str">
        <f t="shared" ca="1" si="36"/>
        <v>—</v>
      </c>
      <c r="E504" s="40">
        <f t="shared" ca="1" si="37"/>
        <v>7</v>
      </c>
      <c r="F504" s="23" t="str">
        <f t="shared" ca="1" si="38"/>
        <v>—</v>
      </c>
      <c r="G504" s="40">
        <f t="shared" ca="1" si="39"/>
        <v>7</v>
      </c>
    </row>
    <row r="505" spans="1:7" x14ac:dyDescent="0.25">
      <c r="A505" s="17">
        <f t="shared" si="35"/>
        <v>81</v>
      </c>
      <c r="B505" t="str">
        <f ca="1">TEXT(DATE(YEAR(Invoer!$A$5),1,1)+INT((ROWS(B$2:B505)-1)/3),"jjjjmmdd")</f>
        <v>19400616</v>
      </c>
      <c r="C505" s="35" t="str">
        <f>INDEX(Data,2,2+MOD(ROWS(C$2:C505)-1,3))</f>
        <v>19.45</v>
      </c>
      <c r="D505" s="23" t="str">
        <f t="shared" ca="1" si="36"/>
        <v>—</v>
      </c>
      <c r="E505" s="40">
        <f t="shared" ca="1" si="37"/>
        <v>7</v>
      </c>
      <c r="F505" s="23" t="str">
        <f t="shared" ca="1" si="38"/>
        <v>—</v>
      </c>
      <c r="G505" s="40">
        <f t="shared" ca="1" si="39"/>
        <v>7</v>
      </c>
    </row>
    <row r="506" spans="1:7" x14ac:dyDescent="0.25">
      <c r="A506" s="17">
        <f t="shared" si="35"/>
        <v>81</v>
      </c>
      <c r="B506" t="str">
        <f ca="1">TEXT(DATE(YEAR(Invoer!$A$5),1,1)+INT((ROWS(B$2:B506)-1)/3),"jjjjmmdd")</f>
        <v>19400617</v>
      </c>
      <c r="C506" s="35" t="str">
        <f>INDEX(Data,2,2+MOD(ROWS(C$2:C506)-1,3))</f>
        <v>07.45</v>
      </c>
      <c r="D506" s="23" t="str">
        <f t="shared" ca="1" si="36"/>
        <v>—</v>
      </c>
      <c r="E506" s="40">
        <f t="shared" ca="1" si="37"/>
        <v>7</v>
      </c>
      <c r="F506" s="23" t="str">
        <f t="shared" ca="1" si="38"/>
        <v>—</v>
      </c>
      <c r="G506" s="40">
        <f t="shared" ca="1" si="39"/>
        <v>7</v>
      </c>
    </row>
    <row r="507" spans="1:7" x14ac:dyDescent="0.25">
      <c r="A507" s="17">
        <f t="shared" si="35"/>
        <v>81</v>
      </c>
      <c r="B507" t="str">
        <f ca="1">TEXT(DATE(YEAR(Invoer!$A$5),1,1)+INT((ROWS(B$2:B507)-1)/3),"jjjjmmdd")</f>
        <v>19400617</v>
      </c>
      <c r="C507" s="35" t="str">
        <f>INDEX(Data,2,2+MOD(ROWS(C$2:C507)-1,3))</f>
        <v>13.45</v>
      </c>
      <c r="D507" s="23" t="str">
        <f t="shared" ca="1" si="36"/>
        <v>—</v>
      </c>
      <c r="E507" s="40">
        <f t="shared" ca="1" si="37"/>
        <v>7</v>
      </c>
      <c r="F507" s="23" t="str">
        <f t="shared" ca="1" si="38"/>
        <v>—</v>
      </c>
      <c r="G507" s="40">
        <f t="shared" ca="1" si="39"/>
        <v>7</v>
      </c>
    </row>
    <row r="508" spans="1:7" x14ac:dyDescent="0.25">
      <c r="A508" s="17">
        <f t="shared" si="35"/>
        <v>81</v>
      </c>
      <c r="B508" t="str">
        <f ca="1">TEXT(DATE(YEAR(Invoer!$A$5),1,1)+INT((ROWS(B$2:B508)-1)/3),"jjjjmmdd")</f>
        <v>19400617</v>
      </c>
      <c r="C508" s="35" t="str">
        <f>INDEX(Data,2,2+MOD(ROWS(C$2:C508)-1,3))</f>
        <v>19.45</v>
      </c>
      <c r="D508" s="23" t="str">
        <f t="shared" ca="1" si="36"/>
        <v>—</v>
      </c>
      <c r="E508" s="40">
        <f t="shared" ca="1" si="37"/>
        <v>7</v>
      </c>
      <c r="F508" s="23" t="str">
        <f t="shared" ca="1" si="38"/>
        <v>—</v>
      </c>
      <c r="G508" s="40">
        <f t="shared" ca="1" si="39"/>
        <v>7</v>
      </c>
    </row>
    <row r="509" spans="1:7" x14ac:dyDescent="0.25">
      <c r="A509" s="17">
        <f t="shared" si="35"/>
        <v>81</v>
      </c>
      <c r="B509" t="str">
        <f ca="1">TEXT(DATE(YEAR(Invoer!$A$5),1,1)+INT((ROWS(B$2:B509)-1)/3),"jjjjmmdd")</f>
        <v>19400618</v>
      </c>
      <c r="C509" s="35" t="str">
        <f>INDEX(Data,2,2+MOD(ROWS(C$2:C509)-1,3))</f>
        <v>07.45</v>
      </c>
      <c r="D509" s="23" t="str">
        <f t="shared" ca="1" si="36"/>
        <v>—</v>
      </c>
      <c r="E509" s="40">
        <f t="shared" ca="1" si="37"/>
        <v>7</v>
      </c>
      <c r="F509" s="23" t="str">
        <f t="shared" ca="1" si="38"/>
        <v>—</v>
      </c>
      <c r="G509" s="40">
        <f t="shared" ca="1" si="39"/>
        <v>7</v>
      </c>
    </row>
    <row r="510" spans="1:7" x14ac:dyDescent="0.25">
      <c r="A510" s="17">
        <f t="shared" si="35"/>
        <v>81</v>
      </c>
      <c r="B510" t="str">
        <f ca="1">TEXT(DATE(YEAR(Invoer!$A$5),1,1)+INT((ROWS(B$2:B510)-1)/3),"jjjjmmdd")</f>
        <v>19400618</v>
      </c>
      <c r="C510" s="35" t="str">
        <f>INDEX(Data,2,2+MOD(ROWS(C$2:C510)-1,3))</f>
        <v>13.45</v>
      </c>
      <c r="D510" s="23" t="str">
        <f t="shared" ca="1" si="36"/>
        <v>—</v>
      </c>
      <c r="E510" s="40">
        <f t="shared" ca="1" si="37"/>
        <v>7</v>
      </c>
      <c r="F510" s="23" t="str">
        <f t="shared" ca="1" si="38"/>
        <v>—</v>
      </c>
      <c r="G510" s="40">
        <f t="shared" ca="1" si="39"/>
        <v>7</v>
      </c>
    </row>
    <row r="511" spans="1:7" x14ac:dyDescent="0.25">
      <c r="A511" s="17">
        <f t="shared" si="35"/>
        <v>81</v>
      </c>
      <c r="B511" t="str">
        <f ca="1">TEXT(DATE(YEAR(Invoer!$A$5),1,1)+INT((ROWS(B$2:B511)-1)/3),"jjjjmmdd")</f>
        <v>19400618</v>
      </c>
      <c r="C511" s="35" t="str">
        <f>INDEX(Data,2,2+MOD(ROWS(C$2:C511)-1,3))</f>
        <v>19.45</v>
      </c>
      <c r="D511" s="23" t="str">
        <f t="shared" ca="1" si="36"/>
        <v>—</v>
      </c>
      <c r="E511" s="40">
        <f t="shared" ca="1" si="37"/>
        <v>7</v>
      </c>
      <c r="F511" s="23" t="str">
        <f t="shared" ca="1" si="38"/>
        <v>—</v>
      </c>
      <c r="G511" s="40">
        <f t="shared" ca="1" si="39"/>
        <v>7</v>
      </c>
    </row>
    <row r="512" spans="1:7" x14ac:dyDescent="0.25">
      <c r="A512" s="17">
        <f t="shared" si="35"/>
        <v>81</v>
      </c>
      <c r="B512" t="str">
        <f ca="1">TEXT(DATE(YEAR(Invoer!$A$5),1,1)+INT((ROWS(B$2:B512)-1)/3),"jjjjmmdd")</f>
        <v>19400619</v>
      </c>
      <c r="C512" s="35" t="str">
        <f>INDEX(Data,2,2+MOD(ROWS(C$2:C512)-1,3))</f>
        <v>07.45</v>
      </c>
      <c r="D512" s="23" t="str">
        <f t="shared" ca="1" si="36"/>
        <v>—</v>
      </c>
      <c r="E512" s="40">
        <f t="shared" ca="1" si="37"/>
        <v>7</v>
      </c>
      <c r="F512" s="23" t="str">
        <f t="shared" ca="1" si="38"/>
        <v>—</v>
      </c>
      <c r="G512" s="40">
        <f t="shared" ca="1" si="39"/>
        <v>7</v>
      </c>
    </row>
    <row r="513" spans="1:7" x14ac:dyDescent="0.25">
      <c r="A513" s="17">
        <f t="shared" si="35"/>
        <v>81</v>
      </c>
      <c r="B513" t="str">
        <f ca="1">TEXT(DATE(YEAR(Invoer!$A$5),1,1)+INT((ROWS(B$2:B513)-1)/3),"jjjjmmdd")</f>
        <v>19400619</v>
      </c>
      <c r="C513" s="35" t="str">
        <f>INDEX(Data,2,2+MOD(ROWS(C$2:C513)-1,3))</f>
        <v>13.45</v>
      </c>
      <c r="D513" s="23" t="str">
        <f t="shared" ca="1" si="36"/>
        <v>—</v>
      </c>
      <c r="E513" s="40">
        <f t="shared" ca="1" si="37"/>
        <v>7</v>
      </c>
      <c r="F513" s="23" t="str">
        <f t="shared" ca="1" si="38"/>
        <v>—</v>
      </c>
      <c r="G513" s="40">
        <f t="shared" ca="1" si="39"/>
        <v>7</v>
      </c>
    </row>
    <row r="514" spans="1:7" x14ac:dyDescent="0.25">
      <c r="A514" s="17">
        <f t="shared" ref="A514:A577" si="40">INDEX(Stations,2,1)</f>
        <v>81</v>
      </c>
      <c r="B514" t="str">
        <f ca="1">TEXT(DATE(YEAR(Invoer!$A$5),1,1)+INT((ROWS(B$2:B514)-1)/3),"jjjjmmdd")</f>
        <v>19400619</v>
      </c>
      <c r="C514" s="35" t="str">
        <f>INDEX(Data,2,2+MOD(ROWS(C$2:C514)-1,3))</f>
        <v>19.45</v>
      </c>
      <c r="D514" s="23" t="str">
        <f t="shared" ref="D514:D577" ca="1" si="41">IF(OR(ISBLANK(VLOOKUP(DATEVALUE(LEFT($B514,4)&amp;"-"&amp;MID($B514,5,2)&amp;"-"&amp;RIGHT($B514,2)),Data,MATCH(LEFT(VLOOKUP(D$1,Parameters,2,FALSE()),4)&amp;"*",OFFSET(Data,0,0,1),0)+MATCH($C514,OFFSET(Data,1,0,1),0)-2,FALSE())),ISTEXT(VLOOKUP(DATEVALUE(LEFT($B514,4)&amp;"-"&amp;MID($B514,5,2)&amp;"-"&amp;RIGHT($B514,2)),Data,MATCH(LEFT(VLOOKUP(D$1,Parameters,2,FALSE()),4)&amp;"*",OFFSET(Data,0,0,1),0)+MATCH($C514,OFFSET(Data,1,0,1),0)-2,FALSE()))),"—",VLOOKUP(DATEVALUE(LEFT($B514,4)&amp;"-"&amp;MID($B514,5,2)&amp;"-"&amp;RIGHT($B514,2)),Data,MATCH(LEFT(VLOOKUP(D$1,Parameters,2,FALSE()),4)&amp;"*",OFFSET(Data,0,0,1),0)+MATCH($C514,OFFSET(Data,1,0,1),0)-2,FALSE()))</f>
        <v>—</v>
      </c>
      <c r="E514" s="40">
        <f t="shared" ref="E514:E577" ca="1" si="42">IF(OR(ISBLANK(VLOOKUP(DATEVALUE(LEFT($B514,4)&amp;"-"&amp;MID($B514,5,2)&amp;"-"&amp;RIGHT($B514,2)),Data,MATCH(LEFT(VLOOKUP(MID(E$1,2,LEN(E$1)-1),Parameters,2,FALSE()),4)&amp;"*",OFFSET(Data,0,0,1),0)+MATCH($C514,OFFSET(Data,1,0,1),0)-2,FALSE())),ISTEXT(VLOOKUP(DATEVALUE(LEFT($B514,4)&amp;"-"&amp;MID($B514,5,2)&amp;"-"&amp;RIGHT($B514,2)),Data,MATCH(LEFT(VLOOKUP(MID(E$1,2,LEN(E$1)-1),Parameters,2,FALSE()),4)&amp;"*",OFFSET(Data,0,0,1),0)+MATCH($C514,OFFSET(Data,1,0,1),0)-2,FALSE()))),Lacking,IF(ISNA(MATCH(DATEVALUE(LEFT($B514,4)&amp;"-"&amp;MID($B514,5,2)&amp;"-"&amp;RIGHT($B514,2)),OFFSET(Catalogus,0,0,,1),0)),Ok,VLOOKUP(DATEVALUE(LEFT($B514,4)&amp;"-"&amp;MID($B514,5,2)&amp;"-"&amp;RIGHT($B514,2)),Catalogus,MATCH(LEFT(VLOOKUP(MID(E$1,2,LEN(E$1)-1),Parameters,2,FALSE()),4)&amp;"*",OFFSET(Catalogus,0,0,1),0)+MATCH($C514,OFFSET(Catalogus,1,0,1),0)-2,FALSE())))</f>
        <v>7</v>
      </c>
      <c r="F514" s="23" t="str">
        <f t="shared" ref="F514:F577" ca="1" si="43">IF(OR(ISBLANK(VLOOKUP(DATEVALUE(LEFT($B514,4)&amp;"-"&amp;MID($B514,5,2)&amp;"-"&amp;RIGHT($B514,2)),Data,MATCH(LEFT(VLOOKUP(F$1,Parameters,2,FALSE()),4)&amp;"*",OFFSET(Data,0,0,1),0)+MATCH($C514,OFFSET(Data,1,0,1),0)-2,FALSE())),ISTEXT(VLOOKUP(DATEVALUE(LEFT($B514,4)&amp;"-"&amp;MID($B514,5,2)&amp;"-"&amp;RIGHT($B514,2)),Data,MATCH(LEFT(VLOOKUP(F$1,Parameters,2,FALSE()),4)&amp;"*",OFFSET(Data,0,0,1),0)+MATCH($C514,OFFSET(Data,1,0,1),0)-2,FALSE()))),"—",VLOOKUP(DATEVALUE(LEFT($B514,4)&amp;"-"&amp;MID($B514,5,2)&amp;"-"&amp;RIGHT($B514,2)),Data,MATCH(LEFT(VLOOKUP(F$1,Parameters,2,FALSE()),4)&amp;"*",OFFSET(Data,0,0,1),0)+MATCH($C514,OFFSET(Data,1,0,1),0)-2,FALSE()))</f>
        <v>—</v>
      </c>
      <c r="G514" s="40">
        <f t="shared" ref="G514:G577" ca="1" si="44">IF(OR(ISBLANK(VLOOKUP(DATEVALUE(LEFT($B514,4)&amp;"-"&amp;MID($B514,5,2)&amp;"-"&amp;RIGHT($B514,2)),Data,MATCH(LEFT(VLOOKUP(MID(G$1,2,LEN(G$1)-1),Parameters,2,FALSE()),4)&amp;"*",OFFSET(Data,0,0,1),0)+MATCH($C514,OFFSET(Data,1,0,1),0)-2,FALSE())),ISTEXT(VLOOKUP(DATEVALUE(LEFT($B514,4)&amp;"-"&amp;MID($B514,5,2)&amp;"-"&amp;RIGHT($B514,2)),Data,MATCH(LEFT(VLOOKUP(MID(G$1,2,LEN(G$1)-1),Parameters,2,FALSE()),4)&amp;"*",OFFSET(Data,0,0,1),0)+MATCH($C514,OFFSET(Data,1,0,1),0)-2,FALSE()))),Lacking,IF(ISNA(MATCH(DATEVALUE(LEFT($B514,4)&amp;"-"&amp;MID($B514,5,2)&amp;"-"&amp;RIGHT($B514,2)),OFFSET(Catalogus,0,0,,1),0)),Ok,VLOOKUP(DATEVALUE(LEFT($B514,4)&amp;"-"&amp;MID($B514,5,2)&amp;"-"&amp;RIGHT($B514,2)),Catalogus,MATCH(LEFT(VLOOKUP(MID(G$1,2,LEN(G$1)-1),Parameters,2,FALSE()),4)&amp;"*",OFFSET(Catalogus,0,0,1),0)+MATCH($C514,OFFSET(Catalogus,1,0,1),0)-2,FALSE())))</f>
        <v>7</v>
      </c>
    </row>
    <row r="515" spans="1:7" x14ac:dyDescent="0.25">
      <c r="A515" s="17">
        <f t="shared" si="40"/>
        <v>81</v>
      </c>
      <c r="B515" t="str">
        <f ca="1">TEXT(DATE(YEAR(Invoer!$A$5),1,1)+INT((ROWS(B$2:B515)-1)/3),"jjjjmmdd")</f>
        <v>19400620</v>
      </c>
      <c r="C515" s="35" t="str">
        <f>INDEX(Data,2,2+MOD(ROWS(C$2:C515)-1,3))</f>
        <v>07.45</v>
      </c>
      <c r="D515" s="23" t="str">
        <f t="shared" ca="1" si="41"/>
        <v>—</v>
      </c>
      <c r="E515" s="40">
        <f t="shared" ca="1" si="42"/>
        <v>7</v>
      </c>
      <c r="F515" s="23" t="str">
        <f t="shared" ca="1" si="43"/>
        <v>—</v>
      </c>
      <c r="G515" s="40">
        <f t="shared" ca="1" si="44"/>
        <v>7</v>
      </c>
    </row>
    <row r="516" spans="1:7" x14ac:dyDescent="0.25">
      <c r="A516" s="17">
        <f t="shared" si="40"/>
        <v>81</v>
      </c>
      <c r="B516" t="str">
        <f ca="1">TEXT(DATE(YEAR(Invoer!$A$5),1,1)+INT((ROWS(B$2:B516)-1)/3),"jjjjmmdd")</f>
        <v>19400620</v>
      </c>
      <c r="C516" s="35" t="str">
        <f>INDEX(Data,2,2+MOD(ROWS(C$2:C516)-1,3))</f>
        <v>13.45</v>
      </c>
      <c r="D516" s="23" t="str">
        <f t="shared" ca="1" si="41"/>
        <v>—</v>
      </c>
      <c r="E516" s="40">
        <f t="shared" ca="1" si="42"/>
        <v>7</v>
      </c>
      <c r="F516" s="23" t="str">
        <f t="shared" ca="1" si="43"/>
        <v>—</v>
      </c>
      <c r="G516" s="40">
        <f t="shared" ca="1" si="44"/>
        <v>7</v>
      </c>
    </row>
    <row r="517" spans="1:7" x14ac:dyDescent="0.25">
      <c r="A517" s="17">
        <f t="shared" si="40"/>
        <v>81</v>
      </c>
      <c r="B517" t="str">
        <f ca="1">TEXT(DATE(YEAR(Invoer!$A$5),1,1)+INT((ROWS(B$2:B517)-1)/3),"jjjjmmdd")</f>
        <v>19400620</v>
      </c>
      <c r="C517" s="35" t="str">
        <f>INDEX(Data,2,2+MOD(ROWS(C$2:C517)-1,3))</f>
        <v>19.45</v>
      </c>
      <c r="D517" s="23" t="str">
        <f t="shared" ca="1" si="41"/>
        <v>—</v>
      </c>
      <c r="E517" s="40">
        <f t="shared" ca="1" si="42"/>
        <v>7</v>
      </c>
      <c r="F517" s="23" t="str">
        <f t="shared" ca="1" si="43"/>
        <v>—</v>
      </c>
      <c r="G517" s="40">
        <f t="shared" ca="1" si="44"/>
        <v>7</v>
      </c>
    </row>
    <row r="518" spans="1:7" x14ac:dyDescent="0.25">
      <c r="A518" s="17">
        <f t="shared" si="40"/>
        <v>81</v>
      </c>
      <c r="B518" t="str">
        <f ca="1">TEXT(DATE(YEAR(Invoer!$A$5),1,1)+INT((ROWS(B$2:B518)-1)/3),"jjjjmmdd")</f>
        <v>19400621</v>
      </c>
      <c r="C518" s="35" t="str">
        <f>INDEX(Data,2,2+MOD(ROWS(C$2:C518)-1,3))</f>
        <v>07.45</v>
      </c>
      <c r="D518" s="23" t="str">
        <f t="shared" ca="1" si="41"/>
        <v>—</v>
      </c>
      <c r="E518" s="40">
        <f t="shared" ca="1" si="42"/>
        <v>7</v>
      </c>
      <c r="F518" s="23" t="str">
        <f t="shared" ca="1" si="43"/>
        <v>—</v>
      </c>
      <c r="G518" s="40">
        <f t="shared" ca="1" si="44"/>
        <v>7</v>
      </c>
    </row>
    <row r="519" spans="1:7" x14ac:dyDescent="0.25">
      <c r="A519" s="17">
        <f t="shared" si="40"/>
        <v>81</v>
      </c>
      <c r="B519" t="str">
        <f ca="1">TEXT(DATE(YEAR(Invoer!$A$5),1,1)+INT((ROWS(B$2:B519)-1)/3),"jjjjmmdd")</f>
        <v>19400621</v>
      </c>
      <c r="C519" s="35" t="str">
        <f>INDEX(Data,2,2+MOD(ROWS(C$2:C519)-1,3))</f>
        <v>13.45</v>
      </c>
      <c r="D519" s="23" t="str">
        <f t="shared" ca="1" si="41"/>
        <v>—</v>
      </c>
      <c r="E519" s="40">
        <f t="shared" ca="1" si="42"/>
        <v>7</v>
      </c>
      <c r="F519" s="23" t="str">
        <f t="shared" ca="1" si="43"/>
        <v>—</v>
      </c>
      <c r="G519" s="40">
        <f t="shared" ca="1" si="44"/>
        <v>7</v>
      </c>
    </row>
    <row r="520" spans="1:7" x14ac:dyDescent="0.25">
      <c r="A520" s="17">
        <f t="shared" si="40"/>
        <v>81</v>
      </c>
      <c r="B520" t="str">
        <f ca="1">TEXT(DATE(YEAR(Invoer!$A$5),1,1)+INT((ROWS(B$2:B520)-1)/3),"jjjjmmdd")</f>
        <v>19400621</v>
      </c>
      <c r="C520" s="35" t="str">
        <f>INDEX(Data,2,2+MOD(ROWS(C$2:C520)-1,3))</f>
        <v>19.45</v>
      </c>
      <c r="D520" s="23" t="str">
        <f t="shared" ca="1" si="41"/>
        <v>—</v>
      </c>
      <c r="E520" s="40">
        <f t="shared" ca="1" si="42"/>
        <v>7</v>
      </c>
      <c r="F520" s="23" t="str">
        <f t="shared" ca="1" si="43"/>
        <v>—</v>
      </c>
      <c r="G520" s="40">
        <f t="shared" ca="1" si="44"/>
        <v>7</v>
      </c>
    </row>
    <row r="521" spans="1:7" x14ac:dyDescent="0.25">
      <c r="A521" s="17">
        <f t="shared" si="40"/>
        <v>81</v>
      </c>
      <c r="B521" t="str">
        <f ca="1">TEXT(DATE(YEAR(Invoer!$A$5),1,1)+INT((ROWS(B$2:B521)-1)/3),"jjjjmmdd")</f>
        <v>19400622</v>
      </c>
      <c r="C521" s="35" t="str">
        <f>INDEX(Data,2,2+MOD(ROWS(C$2:C521)-1,3))</f>
        <v>07.45</v>
      </c>
      <c r="D521" s="23" t="str">
        <f t="shared" ca="1" si="41"/>
        <v>—</v>
      </c>
      <c r="E521" s="40">
        <f t="shared" ca="1" si="42"/>
        <v>7</v>
      </c>
      <c r="F521" s="23" t="str">
        <f t="shared" ca="1" si="43"/>
        <v>—</v>
      </c>
      <c r="G521" s="40">
        <f t="shared" ca="1" si="44"/>
        <v>7</v>
      </c>
    </row>
    <row r="522" spans="1:7" x14ac:dyDescent="0.25">
      <c r="A522" s="17">
        <f t="shared" si="40"/>
        <v>81</v>
      </c>
      <c r="B522" t="str">
        <f ca="1">TEXT(DATE(YEAR(Invoer!$A$5),1,1)+INT((ROWS(B$2:B522)-1)/3),"jjjjmmdd")</f>
        <v>19400622</v>
      </c>
      <c r="C522" s="35" t="str">
        <f>INDEX(Data,2,2+MOD(ROWS(C$2:C522)-1,3))</f>
        <v>13.45</v>
      </c>
      <c r="D522" s="23" t="str">
        <f t="shared" ca="1" si="41"/>
        <v>—</v>
      </c>
      <c r="E522" s="40">
        <f t="shared" ca="1" si="42"/>
        <v>7</v>
      </c>
      <c r="F522" s="23" t="str">
        <f t="shared" ca="1" si="43"/>
        <v>—</v>
      </c>
      <c r="G522" s="40">
        <f t="shared" ca="1" si="44"/>
        <v>7</v>
      </c>
    </row>
    <row r="523" spans="1:7" x14ac:dyDescent="0.25">
      <c r="A523" s="17">
        <f t="shared" si="40"/>
        <v>81</v>
      </c>
      <c r="B523" t="str">
        <f ca="1">TEXT(DATE(YEAR(Invoer!$A$5),1,1)+INT((ROWS(B$2:B523)-1)/3),"jjjjmmdd")</f>
        <v>19400622</v>
      </c>
      <c r="C523" s="35" t="str">
        <f>INDEX(Data,2,2+MOD(ROWS(C$2:C523)-1,3))</f>
        <v>19.45</v>
      </c>
      <c r="D523" s="23" t="str">
        <f t="shared" ca="1" si="41"/>
        <v>—</v>
      </c>
      <c r="E523" s="40">
        <f t="shared" ca="1" si="42"/>
        <v>7</v>
      </c>
      <c r="F523" s="23" t="str">
        <f t="shared" ca="1" si="43"/>
        <v>—</v>
      </c>
      <c r="G523" s="40">
        <f t="shared" ca="1" si="44"/>
        <v>7</v>
      </c>
    </row>
    <row r="524" spans="1:7" x14ac:dyDescent="0.25">
      <c r="A524" s="17">
        <f t="shared" si="40"/>
        <v>81</v>
      </c>
      <c r="B524" t="str">
        <f ca="1">TEXT(DATE(YEAR(Invoer!$A$5),1,1)+INT((ROWS(B$2:B524)-1)/3),"jjjjmmdd")</f>
        <v>19400623</v>
      </c>
      <c r="C524" s="35" t="str">
        <f>INDEX(Data,2,2+MOD(ROWS(C$2:C524)-1,3))</f>
        <v>07.45</v>
      </c>
      <c r="D524" s="23" t="str">
        <f t="shared" ca="1" si="41"/>
        <v>—</v>
      </c>
      <c r="E524" s="40">
        <f t="shared" ca="1" si="42"/>
        <v>7</v>
      </c>
      <c r="F524" s="23" t="str">
        <f t="shared" ca="1" si="43"/>
        <v>—</v>
      </c>
      <c r="G524" s="40">
        <f t="shared" ca="1" si="44"/>
        <v>7</v>
      </c>
    </row>
    <row r="525" spans="1:7" x14ac:dyDescent="0.25">
      <c r="A525" s="17">
        <f t="shared" si="40"/>
        <v>81</v>
      </c>
      <c r="B525" t="str">
        <f ca="1">TEXT(DATE(YEAR(Invoer!$A$5),1,1)+INT((ROWS(B$2:B525)-1)/3),"jjjjmmdd")</f>
        <v>19400623</v>
      </c>
      <c r="C525" s="35" t="str">
        <f>INDEX(Data,2,2+MOD(ROWS(C$2:C525)-1,3))</f>
        <v>13.45</v>
      </c>
      <c r="D525" s="23" t="str">
        <f t="shared" ca="1" si="41"/>
        <v>—</v>
      </c>
      <c r="E525" s="40">
        <f t="shared" ca="1" si="42"/>
        <v>7</v>
      </c>
      <c r="F525" s="23" t="str">
        <f t="shared" ca="1" si="43"/>
        <v>—</v>
      </c>
      <c r="G525" s="40">
        <f t="shared" ca="1" si="44"/>
        <v>7</v>
      </c>
    </row>
    <row r="526" spans="1:7" x14ac:dyDescent="0.25">
      <c r="A526" s="17">
        <f t="shared" si="40"/>
        <v>81</v>
      </c>
      <c r="B526" t="str">
        <f ca="1">TEXT(DATE(YEAR(Invoer!$A$5),1,1)+INT((ROWS(B$2:B526)-1)/3),"jjjjmmdd")</f>
        <v>19400623</v>
      </c>
      <c r="C526" s="35" t="str">
        <f>INDEX(Data,2,2+MOD(ROWS(C$2:C526)-1,3))</f>
        <v>19.45</v>
      </c>
      <c r="D526" s="23" t="str">
        <f t="shared" ca="1" si="41"/>
        <v>—</v>
      </c>
      <c r="E526" s="40">
        <f t="shared" ca="1" si="42"/>
        <v>7</v>
      </c>
      <c r="F526" s="23" t="str">
        <f t="shared" ca="1" si="43"/>
        <v>—</v>
      </c>
      <c r="G526" s="40">
        <f t="shared" ca="1" si="44"/>
        <v>7</v>
      </c>
    </row>
    <row r="527" spans="1:7" x14ac:dyDescent="0.25">
      <c r="A527" s="17">
        <f t="shared" si="40"/>
        <v>81</v>
      </c>
      <c r="B527" t="str">
        <f ca="1">TEXT(DATE(YEAR(Invoer!$A$5),1,1)+INT((ROWS(B$2:B527)-1)/3),"jjjjmmdd")</f>
        <v>19400624</v>
      </c>
      <c r="C527" s="35" t="str">
        <f>INDEX(Data,2,2+MOD(ROWS(C$2:C527)-1,3))</f>
        <v>07.45</v>
      </c>
      <c r="D527" s="23" t="str">
        <f t="shared" ca="1" si="41"/>
        <v>—</v>
      </c>
      <c r="E527" s="40">
        <f t="shared" ca="1" si="42"/>
        <v>7</v>
      </c>
      <c r="F527" s="23" t="str">
        <f t="shared" ca="1" si="43"/>
        <v>—</v>
      </c>
      <c r="G527" s="40">
        <f t="shared" ca="1" si="44"/>
        <v>7</v>
      </c>
    </row>
    <row r="528" spans="1:7" x14ac:dyDescent="0.25">
      <c r="A528" s="17">
        <f t="shared" si="40"/>
        <v>81</v>
      </c>
      <c r="B528" t="str">
        <f ca="1">TEXT(DATE(YEAR(Invoer!$A$5),1,1)+INT((ROWS(B$2:B528)-1)/3),"jjjjmmdd")</f>
        <v>19400624</v>
      </c>
      <c r="C528" s="35" t="str">
        <f>INDEX(Data,2,2+MOD(ROWS(C$2:C528)-1,3))</f>
        <v>13.45</v>
      </c>
      <c r="D528" s="23" t="str">
        <f t="shared" ca="1" si="41"/>
        <v>—</v>
      </c>
      <c r="E528" s="40">
        <f t="shared" ca="1" si="42"/>
        <v>7</v>
      </c>
      <c r="F528" s="23" t="str">
        <f t="shared" ca="1" si="43"/>
        <v>—</v>
      </c>
      <c r="G528" s="40">
        <f t="shared" ca="1" si="44"/>
        <v>7</v>
      </c>
    </row>
    <row r="529" spans="1:7" x14ac:dyDescent="0.25">
      <c r="A529" s="17">
        <f t="shared" si="40"/>
        <v>81</v>
      </c>
      <c r="B529" t="str">
        <f ca="1">TEXT(DATE(YEAR(Invoer!$A$5),1,1)+INT((ROWS(B$2:B529)-1)/3),"jjjjmmdd")</f>
        <v>19400624</v>
      </c>
      <c r="C529" s="35" t="str">
        <f>INDEX(Data,2,2+MOD(ROWS(C$2:C529)-1,3))</f>
        <v>19.45</v>
      </c>
      <c r="D529" s="23" t="str">
        <f t="shared" ca="1" si="41"/>
        <v>—</v>
      </c>
      <c r="E529" s="40">
        <f t="shared" ca="1" si="42"/>
        <v>7</v>
      </c>
      <c r="F529" s="23" t="str">
        <f t="shared" ca="1" si="43"/>
        <v>—</v>
      </c>
      <c r="G529" s="40">
        <f t="shared" ca="1" si="44"/>
        <v>7</v>
      </c>
    </row>
    <row r="530" spans="1:7" x14ac:dyDescent="0.25">
      <c r="A530" s="17">
        <f t="shared" si="40"/>
        <v>81</v>
      </c>
      <c r="B530" t="str">
        <f ca="1">TEXT(DATE(YEAR(Invoer!$A$5),1,1)+INT((ROWS(B$2:B530)-1)/3),"jjjjmmdd")</f>
        <v>19400625</v>
      </c>
      <c r="C530" s="35" t="str">
        <f>INDEX(Data,2,2+MOD(ROWS(C$2:C530)-1,3))</f>
        <v>07.45</v>
      </c>
      <c r="D530" s="23" t="str">
        <f t="shared" ca="1" si="41"/>
        <v>—</v>
      </c>
      <c r="E530" s="40">
        <f t="shared" ca="1" si="42"/>
        <v>7</v>
      </c>
      <c r="F530" s="23" t="str">
        <f t="shared" ca="1" si="43"/>
        <v>—</v>
      </c>
      <c r="G530" s="40">
        <f t="shared" ca="1" si="44"/>
        <v>7</v>
      </c>
    </row>
    <row r="531" spans="1:7" x14ac:dyDescent="0.25">
      <c r="A531" s="17">
        <f t="shared" si="40"/>
        <v>81</v>
      </c>
      <c r="B531" t="str">
        <f ca="1">TEXT(DATE(YEAR(Invoer!$A$5),1,1)+INT((ROWS(B$2:B531)-1)/3),"jjjjmmdd")</f>
        <v>19400625</v>
      </c>
      <c r="C531" s="35" t="str">
        <f>INDEX(Data,2,2+MOD(ROWS(C$2:C531)-1,3))</f>
        <v>13.45</v>
      </c>
      <c r="D531" s="23" t="str">
        <f t="shared" ca="1" si="41"/>
        <v>—</v>
      </c>
      <c r="E531" s="40">
        <f t="shared" ca="1" si="42"/>
        <v>7</v>
      </c>
      <c r="F531" s="23" t="str">
        <f t="shared" ca="1" si="43"/>
        <v>—</v>
      </c>
      <c r="G531" s="40">
        <f t="shared" ca="1" si="44"/>
        <v>7</v>
      </c>
    </row>
    <row r="532" spans="1:7" x14ac:dyDescent="0.25">
      <c r="A532" s="17">
        <f t="shared" si="40"/>
        <v>81</v>
      </c>
      <c r="B532" t="str">
        <f ca="1">TEXT(DATE(YEAR(Invoer!$A$5),1,1)+INT((ROWS(B$2:B532)-1)/3),"jjjjmmdd")</f>
        <v>19400625</v>
      </c>
      <c r="C532" s="35" t="str">
        <f>INDEX(Data,2,2+MOD(ROWS(C$2:C532)-1,3))</f>
        <v>19.45</v>
      </c>
      <c r="D532" s="23" t="str">
        <f t="shared" ca="1" si="41"/>
        <v>—</v>
      </c>
      <c r="E532" s="40">
        <f t="shared" ca="1" si="42"/>
        <v>7</v>
      </c>
      <c r="F532" s="23" t="str">
        <f t="shared" ca="1" si="43"/>
        <v>—</v>
      </c>
      <c r="G532" s="40">
        <f t="shared" ca="1" si="44"/>
        <v>7</v>
      </c>
    </row>
    <row r="533" spans="1:7" x14ac:dyDescent="0.25">
      <c r="A533" s="17">
        <f t="shared" si="40"/>
        <v>81</v>
      </c>
      <c r="B533" t="str">
        <f ca="1">TEXT(DATE(YEAR(Invoer!$A$5),1,1)+INT((ROWS(B$2:B533)-1)/3),"jjjjmmdd")</f>
        <v>19400626</v>
      </c>
      <c r="C533" s="35" t="str">
        <f>INDEX(Data,2,2+MOD(ROWS(C$2:C533)-1,3))</f>
        <v>07.45</v>
      </c>
      <c r="D533" s="23" t="str">
        <f t="shared" ca="1" si="41"/>
        <v>—</v>
      </c>
      <c r="E533" s="40">
        <f t="shared" ca="1" si="42"/>
        <v>7</v>
      </c>
      <c r="F533" s="23" t="str">
        <f t="shared" ca="1" si="43"/>
        <v>—</v>
      </c>
      <c r="G533" s="40">
        <f t="shared" ca="1" si="44"/>
        <v>7</v>
      </c>
    </row>
    <row r="534" spans="1:7" x14ac:dyDescent="0.25">
      <c r="A534" s="17">
        <f t="shared" si="40"/>
        <v>81</v>
      </c>
      <c r="B534" t="str">
        <f ca="1">TEXT(DATE(YEAR(Invoer!$A$5),1,1)+INT((ROWS(B$2:B534)-1)/3),"jjjjmmdd")</f>
        <v>19400626</v>
      </c>
      <c r="C534" s="35" t="str">
        <f>INDEX(Data,2,2+MOD(ROWS(C$2:C534)-1,3))</f>
        <v>13.45</v>
      </c>
      <c r="D534" s="23" t="str">
        <f t="shared" ca="1" si="41"/>
        <v>—</v>
      </c>
      <c r="E534" s="40">
        <f t="shared" ca="1" si="42"/>
        <v>7</v>
      </c>
      <c r="F534" s="23" t="str">
        <f t="shared" ca="1" si="43"/>
        <v>—</v>
      </c>
      <c r="G534" s="40">
        <f t="shared" ca="1" si="44"/>
        <v>7</v>
      </c>
    </row>
    <row r="535" spans="1:7" x14ac:dyDescent="0.25">
      <c r="A535" s="17">
        <f t="shared" si="40"/>
        <v>81</v>
      </c>
      <c r="B535" t="str">
        <f ca="1">TEXT(DATE(YEAR(Invoer!$A$5),1,1)+INT((ROWS(B$2:B535)-1)/3),"jjjjmmdd")</f>
        <v>19400626</v>
      </c>
      <c r="C535" s="35" t="str">
        <f>INDEX(Data,2,2+MOD(ROWS(C$2:C535)-1,3))</f>
        <v>19.45</v>
      </c>
      <c r="D535" s="23" t="str">
        <f t="shared" ca="1" si="41"/>
        <v>—</v>
      </c>
      <c r="E535" s="40">
        <f t="shared" ca="1" si="42"/>
        <v>7</v>
      </c>
      <c r="F535" s="23" t="str">
        <f t="shared" ca="1" si="43"/>
        <v>—</v>
      </c>
      <c r="G535" s="40">
        <f t="shared" ca="1" si="44"/>
        <v>7</v>
      </c>
    </row>
    <row r="536" spans="1:7" x14ac:dyDescent="0.25">
      <c r="A536" s="17">
        <f t="shared" si="40"/>
        <v>81</v>
      </c>
      <c r="B536" t="str">
        <f ca="1">TEXT(DATE(YEAR(Invoer!$A$5),1,1)+INT((ROWS(B$2:B536)-1)/3),"jjjjmmdd")</f>
        <v>19400627</v>
      </c>
      <c r="C536" s="35" t="str">
        <f>INDEX(Data,2,2+MOD(ROWS(C$2:C536)-1,3))</f>
        <v>07.45</v>
      </c>
      <c r="D536" s="23" t="str">
        <f t="shared" ca="1" si="41"/>
        <v>—</v>
      </c>
      <c r="E536" s="40">
        <f t="shared" ca="1" si="42"/>
        <v>7</v>
      </c>
      <c r="F536" s="23" t="str">
        <f t="shared" ca="1" si="43"/>
        <v>—</v>
      </c>
      <c r="G536" s="40">
        <f t="shared" ca="1" si="44"/>
        <v>7</v>
      </c>
    </row>
    <row r="537" spans="1:7" x14ac:dyDescent="0.25">
      <c r="A537" s="17">
        <f t="shared" si="40"/>
        <v>81</v>
      </c>
      <c r="B537" t="str">
        <f ca="1">TEXT(DATE(YEAR(Invoer!$A$5),1,1)+INT((ROWS(B$2:B537)-1)/3),"jjjjmmdd")</f>
        <v>19400627</v>
      </c>
      <c r="C537" s="35" t="str">
        <f>INDEX(Data,2,2+MOD(ROWS(C$2:C537)-1,3))</f>
        <v>13.45</v>
      </c>
      <c r="D537" s="23" t="str">
        <f t="shared" ca="1" si="41"/>
        <v>—</v>
      </c>
      <c r="E537" s="40">
        <f t="shared" ca="1" si="42"/>
        <v>7</v>
      </c>
      <c r="F537" s="23" t="str">
        <f t="shared" ca="1" si="43"/>
        <v>—</v>
      </c>
      <c r="G537" s="40">
        <f t="shared" ca="1" si="44"/>
        <v>7</v>
      </c>
    </row>
    <row r="538" spans="1:7" x14ac:dyDescent="0.25">
      <c r="A538" s="17">
        <f t="shared" si="40"/>
        <v>81</v>
      </c>
      <c r="B538" t="str">
        <f ca="1">TEXT(DATE(YEAR(Invoer!$A$5),1,1)+INT((ROWS(B$2:B538)-1)/3),"jjjjmmdd")</f>
        <v>19400627</v>
      </c>
      <c r="C538" s="35" t="str">
        <f>INDEX(Data,2,2+MOD(ROWS(C$2:C538)-1,3))</f>
        <v>19.45</v>
      </c>
      <c r="D538" s="23" t="str">
        <f t="shared" ca="1" si="41"/>
        <v>—</v>
      </c>
      <c r="E538" s="40">
        <f t="shared" ca="1" si="42"/>
        <v>7</v>
      </c>
      <c r="F538" s="23" t="str">
        <f t="shared" ca="1" si="43"/>
        <v>—</v>
      </c>
      <c r="G538" s="40">
        <f t="shared" ca="1" si="44"/>
        <v>7</v>
      </c>
    </row>
    <row r="539" spans="1:7" x14ac:dyDescent="0.25">
      <c r="A539" s="17">
        <f t="shared" si="40"/>
        <v>81</v>
      </c>
      <c r="B539" t="str">
        <f ca="1">TEXT(DATE(YEAR(Invoer!$A$5),1,1)+INT((ROWS(B$2:B539)-1)/3),"jjjjmmdd")</f>
        <v>19400628</v>
      </c>
      <c r="C539" s="35" t="str">
        <f>INDEX(Data,2,2+MOD(ROWS(C$2:C539)-1,3))</f>
        <v>07.45</v>
      </c>
      <c r="D539" s="23" t="str">
        <f t="shared" ca="1" si="41"/>
        <v>—</v>
      </c>
      <c r="E539" s="40">
        <f t="shared" ca="1" si="42"/>
        <v>7</v>
      </c>
      <c r="F539" s="23" t="str">
        <f t="shared" ca="1" si="43"/>
        <v>—</v>
      </c>
      <c r="G539" s="40">
        <f t="shared" ca="1" si="44"/>
        <v>7</v>
      </c>
    </row>
    <row r="540" spans="1:7" x14ac:dyDescent="0.25">
      <c r="A540" s="17">
        <f t="shared" si="40"/>
        <v>81</v>
      </c>
      <c r="B540" t="str">
        <f ca="1">TEXT(DATE(YEAR(Invoer!$A$5),1,1)+INT((ROWS(B$2:B540)-1)/3),"jjjjmmdd")</f>
        <v>19400628</v>
      </c>
      <c r="C540" s="35" t="str">
        <f>INDEX(Data,2,2+MOD(ROWS(C$2:C540)-1,3))</f>
        <v>13.45</v>
      </c>
      <c r="D540" s="23" t="str">
        <f t="shared" ca="1" si="41"/>
        <v>—</v>
      </c>
      <c r="E540" s="40">
        <f t="shared" ca="1" si="42"/>
        <v>7</v>
      </c>
      <c r="F540" s="23" t="str">
        <f t="shared" ca="1" si="43"/>
        <v>—</v>
      </c>
      <c r="G540" s="40">
        <f t="shared" ca="1" si="44"/>
        <v>7</v>
      </c>
    </row>
    <row r="541" spans="1:7" x14ac:dyDescent="0.25">
      <c r="A541" s="17">
        <f t="shared" si="40"/>
        <v>81</v>
      </c>
      <c r="B541" t="str">
        <f ca="1">TEXT(DATE(YEAR(Invoer!$A$5),1,1)+INT((ROWS(B$2:B541)-1)/3),"jjjjmmdd")</f>
        <v>19400628</v>
      </c>
      <c r="C541" s="35" t="str">
        <f>INDEX(Data,2,2+MOD(ROWS(C$2:C541)-1,3))</f>
        <v>19.45</v>
      </c>
      <c r="D541" s="23" t="str">
        <f t="shared" ca="1" si="41"/>
        <v>—</v>
      </c>
      <c r="E541" s="40">
        <f t="shared" ca="1" si="42"/>
        <v>7</v>
      </c>
      <c r="F541" s="23" t="str">
        <f t="shared" ca="1" si="43"/>
        <v>—</v>
      </c>
      <c r="G541" s="40">
        <f t="shared" ca="1" si="44"/>
        <v>7</v>
      </c>
    </row>
    <row r="542" spans="1:7" x14ac:dyDescent="0.25">
      <c r="A542" s="17">
        <f t="shared" si="40"/>
        <v>81</v>
      </c>
      <c r="B542" t="str">
        <f ca="1">TEXT(DATE(YEAR(Invoer!$A$5),1,1)+INT((ROWS(B$2:B542)-1)/3),"jjjjmmdd")</f>
        <v>19400629</v>
      </c>
      <c r="C542" s="35" t="str">
        <f>INDEX(Data,2,2+MOD(ROWS(C$2:C542)-1,3))</f>
        <v>07.45</v>
      </c>
      <c r="D542" s="23" t="str">
        <f t="shared" ca="1" si="41"/>
        <v>—</v>
      </c>
      <c r="E542" s="40">
        <f t="shared" ca="1" si="42"/>
        <v>7</v>
      </c>
      <c r="F542" s="23" t="str">
        <f t="shared" ca="1" si="43"/>
        <v>—</v>
      </c>
      <c r="G542" s="40">
        <f t="shared" ca="1" si="44"/>
        <v>7</v>
      </c>
    </row>
    <row r="543" spans="1:7" x14ac:dyDescent="0.25">
      <c r="A543" s="17">
        <f t="shared" si="40"/>
        <v>81</v>
      </c>
      <c r="B543" t="str">
        <f ca="1">TEXT(DATE(YEAR(Invoer!$A$5),1,1)+INT((ROWS(B$2:B543)-1)/3),"jjjjmmdd")</f>
        <v>19400629</v>
      </c>
      <c r="C543" s="35" t="str">
        <f>INDEX(Data,2,2+MOD(ROWS(C$2:C543)-1,3))</f>
        <v>13.45</v>
      </c>
      <c r="D543" s="23" t="str">
        <f t="shared" ca="1" si="41"/>
        <v>—</v>
      </c>
      <c r="E543" s="40">
        <f t="shared" ca="1" si="42"/>
        <v>7</v>
      </c>
      <c r="F543" s="23" t="str">
        <f t="shared" ca="1" si="43"/>
        <v>—</v>
      </c>
      <c r="G543" s="40">
        <f t="shared" ca="1" si="44"/>
        <v>7</v>
      </c>
    </row>
    <row r="544" spans="1:7" x14ac:dyDescent="0.25">
      <c r="A544" s="17">
        <f t="shared" si="40"/>
        <v>81</v>
      </c>
      <c r="B544" t="str">
        <f ca="1">TEXT(DATE(YEAR(Invoer!$A$5),1,1)+INT((ROWS(B$2:B544)-1)/3),"jjjjmmdd")</f>
        <v>19400629</v>
      </c>
      <c r="C544" s="35" t="str">
        <f>INDEX(Data,2,2+MOD(ROWS(C$2:C544)-1,3))</f>
        <v>19.45</v>
      </c>
      <c r="D544" s="23" t="str">
        <f t="shared" ca="1" si="41"/>
        <v>—</v>
      </c>
      <c r="E544" s="40">
        <f t="shared" ca="1" si="42"/>
        <v>7</v>
      </c>
      <c r="F544" s="23" t="str">
        <f t="shared" ca="1" si="43"/>
        <v>—</v>
      </c>
      <c r="G544" s="40">
        <f t="shared" ca="1" si="44"/>
        <v>7</v>
      </c>
    </row>
    <row r="545" spans="1:7" x14ac:dyDescent="0.25">
      <c r="A545" s="17">
        <f t="shared" si="40"/>
        <v>81</v>
      </c>
      <c r="B545" t="str">
        <f ca="1">TEXT(DATE(YEAR(Invoer!$A$5),1,1)+INT((ROWS(B$2:B545)-1)/3),"jjjjmmdd")</f>
        <v>19400630</v>
      </c>
      <c r="C545" s="35" t="str">
        <f>INDEX(Data,2,2+MOD(ROWS(C$2:C545)-1,3))</f>
        <v>07.45</v>
      </c>
      <c r="D545" s="23" t="str">
        <f t="shared" ca="1" si="41"/>
        <v>—</v>
      </c>
      <c r="E545" s="40">
        <f t="shared" ca="1" si="42"/>
        <v>7</v>
      </c>
      <c r="F545" s="23" t="str">
        <f t="shared" ca="1" si="43"/>
        <v>—</v>
      </c>
      <c r="G545" s="40">
        <f t="shared" ca="1" si="44"/>
        <v>7</v>
      </c>
    </row>
    <row r="546" spans="1:7" x14ac:dyDescent="0.25">
      <c r="A546" s="17">
        <f t="shared" si="40"/>
        <v>81</v>
      </c>
      <c r="B546" t="str">
        <f ca="1">TEXT(DATE(YEAR(Invoer!$A$5),1,1)+INT((ROWS(B$2:B546)-1)/3),"jjjjmmdd")</f>
        <v>19400630</v>
      </c>
      <c r="C546" s="35" t="str">
        <f>INDEX(Data,2,2+MOD(ROWS(C$2:C546)-1,3))</f>
        <v>13.45</v>
      </c>
      <c r="D546" s="23" t="str">
        <f t="shared" ca="1" si="41"/>
        <v>—</v>
      </c>
      <c r="E546" s="40">
        <f t="shared" ca="1" si="42"/>
        <v>7</v>
      </c>
      <c r="F546" s="23" t="str">
        <f t="shared" ca="1" si="43"/>
        <v>—</v>
      </c>
      <c r="G546" s="40">
        <f t="shared" ca="1" si="44"/>
        <v>7</v>
      </c>
    </row>
    <row r="547" spans="1:7" x14ac:dyDescent="0.25">
      <c r="A547" s="17">
        <f t="shared" si="40"/>
        <v>81</v>
      </c>
      <c r="B547" t="str">
        <f ca="1">TEXT(DATE(YEAR(Invoer!$A$5),1,1)+INT((ROWS(B$2:B547)-1)/3),"jjjjmmdd")</f>
        <v>19400630</v>
      </c>
      <c r="C547" s="35" t="str">
        <f>INDEX(Data,2,2+MOD(ROWS(C$2:C547)-1,3))</f>
        <v>19.45</v>
      </c>
      <c r="D547" s="23" t="str">
        <f t="shared" ca="1" si="41"/>
        <v>—</v>
      </c>
      <c r="E547" s="40">
        <f t="shared" ca="1" si="42"/>
        <v>7</v>
      </c>
      <c r="F547" s="23" t="str">
        <f t="shared" ca="1" si="43"/>
        <v>—</v>
      </c>
      <c r="G547" s="40">
        <f t="shared" ca="1" si="44"/>
        <v>7</v>
      </c>
    </row>
    <row r="548" spans="1:7" x14ac:dyDescent="0.25">
      <c r="A548" s="17">
        <f t="shared" si="40"/>
        <v>81</v>
      </c>
      <c r="B548" t="str">
        <f ca="1">TEXT(DATE(YEAR(Invoer!$A$5),1,1)+INT((ROWS(B$2:B548)-1)/3),"jjjjmmdd")</f>
        <v>19400701</v>
      </c>
      <c r="C548" s="35" t="str">
        <f>INDEX(Data,2,2+MOD(ROWS(C$2:C548)-1,3))</f>
        <v>07.45</v>
      </c>
      <c r="D548" s="23">
        <f t="shared" ca="1" si="41"/>
        <v>751</v>
      </c>
      <c r="E548" s="40">
        <f t="shared" ca="1" si="42"/>
        <v>0</v>
      </c>
      <c r="F548" s="23">
        <f t="shared" ca="1" si="43"/>
        <v>27</v>
      </c>
      <c r="G548" s="40">
        <f t="shared" ca="1" si="44"/>
        <v>0</v>
      </c>
    </row>
    <row r="549" spans="1:7" x14ac:dyDescent="0.25">
      <c r="A549" s="17">
        <f t="shared" si="40"/>
        <v>81</v>
      </c>
      <c r="B549" t="str">
        <f ca="1">TEXT(DATE(YEAR(Invoer!$A$5),1,1)+INT((ROWS(B$2:B549)-1)/3),"jjjjmmdd")</f>
        <v>19400701</v>
      </c>
      <c r="C549" s="35" t="str">
        <f>INDEX(Data,2,2+MOD(ROWS(C$2:C549)-1,3))</f>
        <v>13.45</v>
      </c>
      <c r="D549" s="23">
        <f t="shared" ca="1" si="41"/>
        <v>751</v>
      </c>
      <c r="E549" s="40">
        <f t="shared" ca="1" si="42"/>
        <v>0</v>
      </c>
      <c r="F549" s="23">
        <f t="shared" ca="1" si="43"/>
        <v>29</v>
      </c>
      <c r="G549" s="40">
        <f t="shared" ca="1" si="44"/>
        <v>0</v>
      </c>
    </row>
    <row r="550" spans="1:7" x14ac:dyDescent="0.25">
      <c r="A550" s="17">
        <f t="shared" si="40"/>
        <v>81</v>
      </c>
      <c r="B550" t="str">
        <f ca="1">TEXT(DATE(YEAR(Invoer!$A$5),1,1)+INT((ROWS(B$2:B550)-1)/3),"jjjjmmdd")</f>
        <v>19400701</v>
      </c>
      <c r="C550" s="35" t="str">
        <f>INDEX(Data,2,2+MOD(ROWS(C$2:C550)-1,3))</f>
        <v>19.45</v>
      </c>
      <c r="D550" s="23">
        <f t="shared" ca="1" si="41"/>
        <v>751</v>
      </c>
      <c r="E550" s="40">
        <f t="shared" ca="1" si="42"/>
        <v>0</v>
      </c>
      <c r="F550" s="23">
        <f t="shared" ca="1" si="43"/>
        <v>28</v>
      </c>
      <c r="G550" s="40">
        <f t="shared" ca="1" si="44"/>
        <v>0</v>
      </c>
    </row>
    <row r="551" spans="1:7" x14ac:dyDescent="0.25">
      <c r="A551" s="17">
        <f t="shared" si="40"/>
        <v>81</v>
      </c>
      <c r="B551" t="str">
        <f ca="1">TEXT(DATE(YEAR(Invoer!$A$5),1,1)+INT((ROWS(B$2:B551)-1)/3),"jjjjmmdd")</f>
        <v>19400702</v>
      </c>
      <c r="C551" s="35" t="str">
        <f>INDEX(Data,2,2+MOD(ROWS(C$2:C551)-1,3))</f>
        <v>07.45</v>
      </c>
      <c r="D551" s="23">
        <f t="shared" ca="1" si="41"/>
        <v>750</v>
      </c>
      <c r="E551" s="40">
        <f t="shared" ca="1" si="42"/>
        <v>0</v>
      </c>
      <c r="F551" s="23">
        <f t="shared" ca="1" si="43"/>
        <v>27</v>
      </c>
      <c r="G551" s="40">
        <f t="shared" ca="1" si="44"/>
        <v>0</v>
      </c>
    </row>
    <row r="552" spans="1:7" x14ac:dyDescent="0.25">
      <c r="A552" s="17">
        <f t="shared" si="40"/>
        <v>81</v>
      </c>
      <c r="B552" t="str">
        <f ca="1">TEXT(DATE(YEAR(Invoer!$A$5),1,1)+INT((ROWS(B$2:B552)-1)/3),"jjjjmmdd")</f>
        <v>19400702</v>
      </c>
      <c r="C552" s="35" t="str">
        <f>INDEX(Data,2,2+MOD(ROWS(C$2:C552)-1,3))</f>
        <v>13.45</v>
      </c>
      <c r="D552" s="23">
        <f t="shared" ca="1" si="41"/>
        <v>750</v>
      </c>
      <c r="E552" s="40">
        <f t="shared" ca="1" si="42"/>
        <v>0</v>
      </c>
      <c r="F552" s="23">
        <f t="shared" ca="1" si="43"/>
        <v>30</v>
      </c>
      <c r="G552" s="40">
        <f t="shared" ca="1" si="44"/>
        <v>0</v>
      </c>
    </row>
    <row r="553" spans="1:7" x14ac:dyDescent="0.25">
      <c r="A553" s="17">
        <f t="shared" si="40"/>
        <v>81</v>
      </c>
      <c r="B553" t="str">
        <f ca="1">TEXT(DATE(YEAR(Invoer!$A$5),1,1)+INT((ROWS(B$2:B553)-1)/3),"jjjjmmdd")</f>
        <v>19400702</v>
      </c>
      <c r="C553" s="35" t="str">
        <f>INDEX(Data,2,2+MOD(ROWS(C$2:C553)-1,3))</f>
        <v>19.45</v>
      </c>
      <c r="D553" s="23">
        <f t="shared" ca="1" si="41"/>
        <v>750</v>
      </c>
      <c r="E553" s="40">
        <f t="shared" ca="1" si="42"/>
        <v>0</v>
      </c>
      <c r="F553" s="23">
        <f t="shared" ca="1" si="43"/>
        <v>29</v>
      </c>
      <c r="G553" s="40">
        <f t="shared" ca="1" si="44"/>
        <v>0</v>
      </c>
    </row>
    <row r="554" spans="1:7" x14ac:dyDescent="0.25">
      <c r="A554" s="17">
        <f t="shared" si="40"/>
        <v>81</v>
      </c>
      <c r="B554" t="str">
        <f ca="1">TEXT(DATE(YEAR(Invoer!$A$5),1,1)+INT((ROWS(B$2:B554)-1)/3),"jjjjmmdd")</f>
        <v>19400703</v>
      </c>
      <c r="C554" s="35" t="str">
        <f>INDEX(Data,2,2+MOD(ROWS(C$2:C554)-1,3))</f>
        <v>07.45</v>
      </c>
      <c r="D554" s="23">
        <f t="shared" ca="1" si="41"/>
        <v>750</v>
      </c>
      <c r="E554" s="40">
        <f t="shared" ca="1" si="42"/>
        <v>0</v>
      </c>
      <c r="F554" s="23">
        <f t="shared" ca="1" si="43"/>
        <v>27</v>
      </c>
      <c r="G554" s="40">
        <f t="shared" ca="1" si="44"/>
        <v>0</v>
      </c>
    </row>
    <row r="555" spans="1:7" x14ac:dyDescent="0.25">
      <c r="A555" s="17">
        <f t="shared" si="40"/>
        <v>81</v>
      </c>
      <c r="B555" t="str">
        <f ca="1">TEXT(DATE(YEAR(Invoer!$A$5),1,1)+INT((ROWS(B$2:B555)-1)/3),"jjjjmmdd")</f>
        <v>19400703</v>
      </c>
      <c r="C555" s="35" t="str">
        <f>INDEX(Data,2,2+MOD(ROWS(C$2:C555)-1,3))</f>
        <v>13.45</v>
      </c>
      <c r="D555" s="23">
        <f t="shared" ca="1" si="41"/>
        <v>750</v>
      </c>
      <c r="E555" s="40">
        <f t="shared" ca="1" si="42"/>
        <v>0</v>
      </c>
      <c r="F555" s="23">
        <f t="shared" ca="1" si="43"/>
        <v>30</v>
      </c>
      <c r="G555" s="40">
        <f t="shared" ca="1" si="44"/>
        <v>0</v>
      </c>
    </row>
    <row r="556" spans="1:7" x14ac:dyDescent="0.25">
      <c r="A556" s="17">
        <f t="shared" si="40"/>
        <v>81</v>
      </c>
      <c r="B556" t="str">
        <f ca="1">TEXT(DATE(YEAR(Invoer!$A$5),1,1)+INT((ROWS(B$2:B556)-1)/3),"jjjjmmdd")</f>
        <v>19400703</v>
      </c>
      <c r="C556" s="35" t="str">
        <f>INDEX(Data,2,2+MOD(ROWS(C$2:C556)-1,3))</f>
        <v>19.45</v>
      </c>
      <c r="D556" s="23">
        <f t="shared" ca="1" si="41"/>
        <v>750</v>
      </c>
      <c r="E556" s="40">
        <f t="shared" ca="1" si="42"/>
        <v>0</v>
      </c>
      <c r="F556" s="23">
        <f t="shared" ca="1" si="43"/>
        <v>29</v>
      </c>
      <c r="G556" s="40">
        <f t="shared" ca="1" si="44"/>
        <v>0</v>
      </c>
    </row>
    <row r="557" spans="1:7" x14ac:dyDescent="0.25">
      <c r="A557" s="17">
        <f t="shared" si="40"/>
        <v>81</v>
      </c>
      <c r="B557" t="str">
        <f ca="1">TEXT(DATE(YEAR(Invoer!$A$5),1,1)+INT((ROWS(B$2:B557)-1)/3),"jjjjmmdd")</f>
        <v>19400704</v>
      </c>
      <c r="C557" s="35" t="str">
        <f>INDEX(Data,2,2+MOD(ROWS(C$2:C557)-1,3))</f>
        <v>07.45</v>
      </c>
      <c r="D557" s="23">
        <f t="shared" ca="1" si="41"/>
        <v>750</v>
      </c>
      <c r="E557" s="40">
        <f t="shared" ca="1" si="42"/>
        <v>0</v>
      </c>
      <c r="F557" s="23">
        <f t="shared" ca="1" si="43"/>
        <v>28</v>
      </c>
      <c r="G557" s="40">
        <f t="shared" ca="1" si="44"/>
        <v>0</v>
      </c>
    </row>
    <row r="558" spans="1:7" x14ac:dyDescent="0.25">
      <c r="A558" s="17">
        <f t="shared" si="40"/>
        <v>81</v>
      </c>
      <c r="B558" t="str">
        <f ca="1">TEXT(DATE(YEAR(Invoer!$A$5),1,1)+INT((ROWS(B$2:B558)-1)/3),"jjjjmmdd")</f>
        <v>19400704</v>
      </c>
      <c r="C558" s="35" t="str">
        <f>INDEX(Data,2,2+MOD(ROWS(C$2:C558)-1,3))</f>
        <v>13.45</v>
      </c>
      <c r="D558" s="23">
        <f t="shared" ca="1" si="41"/>
        <v>750</v>
      </c>
      <c r="E558" s="40">
        <f t="shared" ca="1" si="42"/>
        <v>0</v>
      </c>
      <c r="F558" s="23">
        <f t="shared" ca="1" si="43"/>
        <v>30</v>
      </c>
      <c r="G558" s="40">
        <f t="shared" ca="1" si="44"/>
        <v>0</v>
      </c>
    </row>
    <row r="559" spans="1:7" x14ac:dyDescent="0.25">
      <c r="A559" s="17">
        <f t="shared" si="40"/>
        <v>81</v>
      </c>
      <c r="B559" t="str">
        <f ca="1">TEXT(DATE(YEAR(Invoer!$A$5),1,1)+INT((ROWS(B$2:B559)-1)/3),"jjjjmmdd")</f>
        <v>19400704</v>
      </c>
      <c r="C559" s="35" t="str">
        <f>INDEX(Data,2,2+MOD(ROWS(C$2:C559)-1,3))</f>
        <v>19.45</v>
      </c>
      <c r="D559" s="23">
        <f t="shared" ca="1" si="41"/>
        <v>750</v>
      </c>
      <c r="E559" s="40">
        <f t="shared" ca="1" si="42"/>
        <v>0</v>
      </c>
      <c r="F559" s="23">
        <f t="shared" ca="1" si="43"/>
        <v>29</v>
      </c>
      <c r="G559" s="40">
        <f t="shared" ca="1" si="44"/>
        <v>0</v>
      </c>
    </row>
    <row r="560" spans="1:7" x14ac:dyDescent="0.25">
      <c r="A560" s="17">
        <f t="shared" si="40"/>
        <v>81</v>
      </c>
      <c r="B560" t="str">
        <f ca="1">TEXT(DATE(YEAR(Invoer!$A$5),1,1)+INT((ROWS(B$2:B560)-1)/3),"jjjjmmdd")</f>
        <v>19400705</v>
      </c>
      <c r="C560" s="35" t="str">
        <f>INDEX(Data,2,2+MOD(ROWS(C$2:C560)-1,3))</f>
        <v>07.45</v>
      </c>
      <c r="D560" s="23">
        <f t="shared" ca="1" si="41"/>
        <v>751</v>
      </c>
      <c r="E560" s="40">
        <f t="shared" ca="1" si="42"/>
        <v>0</v>
      </c>
      <c r="F560" s="23">
        <f t="shared" ca="1" si="43"/>
        <v>28</v>
      </c>
      <c r="G560" s="40">
        <f t="shared" ca="1" si="44"/>
        <v>0</v>
      </c>
    </row>
    <row r="561" spans="1:7" x14ac:dyDescent="0.25">
      <c r="A561" s="17">
        <f t="shared" si="40"/>
        <v>81</v>
      </c>
      <c r="B561" t="str">
        <f ca="1">TEXT(DATE(YEAR(Invoer!$A$5),1,1)+INT((ROWS(B$2:B561)-1)/3),"jjjjmmdd")</f>
        <v>19400705</v>
      </c>
      <c r="C561" s="35" t="str">
        <f>INDEX(Data,2,2+MOD(ROWS(C$2:C561)-1,3))</f>
        <v>13.45</v>
      </c>
      <c r="D561" s="23">
        <f t="shared" ca="1" si="41"/>
        <v>750</v>
      </c>
      <c r="E561" s="40">
        <f t="shared" ca="1" si="42"/>
        <v>0</v>
      </c>
      <c r="F561" s="23">
        <f t="shared" ca="1" si="43"/>
        <v>30</v>
      </c>
      <c r="G561" s="40">
        <f t="shared" ca="1" si="44"/>
        <v>0</v>
      </c>
    </row>
    <row r="562" spans="1:7" x14ac:dyDescent="0.25">
      <c r="A562" s="17">
        <f t="shared" si="40"/>
        <v>81</v>
      </c>
      <c r="B562" t="str">
        <f ca="1">TEXT(DATE(YEAR(Invoer!$A$5),1,1)+INT((ROWS(B$2:B562)-1)/3),"jjjjmmdd")</f>
        <v>19400705</v>
      </c>
      <c r="C562" s="35" t="str">
        <f>INDEX(Data,2,2+MOD(ROWS(C$2:C562)-1,3))</f>
        <v>19.45</v>
      </c>
      <c r="D562" s="23">
        <f t="shared" ca="1" si="41"/>
        <v>751</v>
      </c>
      <c r="E562" s="40">
        <f t="shared" ca="1" si="42"/>
        <v>0</v>
      </c>
      <c r="F562" s="23">
        <f t="shared" ca="1" si="43"/>
        <v>29</v>
      </c>
      <c r="G562" s="40">
        <f t="shared" ca="1" si="44"/>
        <v>0</v>
      </c>
    </row>
    <row r="563" spans="1:7" x14ac:dyDescent="0.25">
      <c r="A563" s="17">
        <f t="shared" si="40"/>
        <v>81</v>
      </c>
      <c r="B563" t="str">
        <f ca="1">TEXT(DATE(YEAR(Invoer!$A$5),1,1)+INT((ROWS(B$2:B563)-1)/3),"jjjjmmdd")</f>
        <v>19400706</v>
      </c>
      <c r="C563" s="35" t="str">
        <f>INDEX(Data,2,2+MOD(ROWS(C$2:C563)-1,3))</f>
        <v>07.45</v>
      </c>
      <c r="D563" s="23">
        <f t="shared" ca="1" si="41"/>
        <v>750</v>
      </c>
      <c r="E563" s="40">
        <f t="shared" ca="1" si="42"/>
        <v>0</v>
      </c>
      <c r="F563" s="23">
        <f t="shared" ca="1" si="43"/>
        <v>27</v>
      </c>
      <c r="G563" s="40">
        <f t="shared" ca="1" si="44"/>
        <v>0</v>
      </c>
    </row>
    <row r="564" spans="1:7" x14ac:dyDescent="0.25">
      <c r="A564" s="17">
        <f t="shared" si="40"/>
        <v>81</v>
      </c>
      <c r="B564" t="str">
        <f ca="1">TEXT(DATE(YEAR(Invoer!$A$5),1,1)+INT((ROWS(B$2:B564)-1)/3),"jjjjmmdd")</f>
        <v>19400706</v>
      </c>
      <c r="C564" s="35" t="str">
        <f>INDEX(Data,2,2+MOD(ROWS(C$2:C564)-1,3))</f>
        <v>13.45</v>
      </c>
      <c r="D564" s="23">
        <f t="shared" ca="1" si="41"/>
        <v>750</v>
      </c>
      <c r="E564" s="40">
        <f t="shared" ca="1" si="42"/>
        <v>0</v>
      </c>
      <c r="F564" s="23">
        <f t="shared" ca="1" si="43"/>
        <v>29</v>
      </c>
      <c r="G564" s="40">
        <f t="shared" ca="1" si="44"/>
        <v>0</v>
      </c>
    </row>
    <row r="565" spans="1:7" x14ac:dyDescent="0.25">
      <c r="A565" s="17">
        <f t="shared" si="40"/>
        <v>81</v>
      </c>
      <c r="B565" t="str">
        <f ca="1">TEXT(DATE(YEAR(Invoer!$A$5),1,1)+INT((ROWS(B$2:B565)-1)/3),"jjjjmmdd")</f>
        <v>19400706</v>
      </c>
      <c r="C565" s="35" t="str">
        <f>INDEX(Data,2,2+MOD(ROWS(C$2:C565)-1,3))</f>
        <v>19.45</v>
      </c>
      <c r="D565" s="23">
        <f t="shared" ca="1" si="41"/>
        <v>750</v>
      </c>
      <c r="E565" s="40">
        <f t="shared" ca="1" si="42"/>
        <v>0</v>
      </c>
      <c r="F565" s="23">
        <f t="shared" ca="1" si="43"/>
        <v>28</v>
      </c>
      <c r="G565" s="40">
        <f t="shared" ca="1" si="44"/>
        <v>0</v>
      </c>
    </row>
    <row r="566" spans="1:7" x14ac:dyDescent="0.25">
      <c r="A566" s="17">
        <f t="shared" si="40"/>
        <v>81</v>
      </c>
      <c r="B566" t="str">
        <f ca="1">TEXT(DATE(YEAR(Invoer!$A$5),1,1)+INT((ROWS(B$2:B566)-1)/3),"jjjjmmdd")</f>
        <v>19400707</v>
      </c>
      <c r="C566" s="35" t="str">
        <f>INDEX(Data,2,2+MOD(ROWS(C$2:C566)-1,3))</f>
        <v>07.45</v>
      </c>
      <c r="D566" s="23">
        <f t="shared" ca="1" si="41"/>
        <v>749</v>
      </c>
      <c r="E566" s="40">
        <f t="shared" ca="1" si="42"/>
        <v>0</v>
      </c>
      <c r="F566" s="23">
        <f t="shared" ca="1" si="43"/>
        <v>27</v>
      </c>
      <c r="G566" s="40">
        <f t="shared" ca="1" si="44"/>
        <v>0</v>
      </c>
    </row>
    <row r="567" spans="1:7" x14ac:dyDescent="0.25">
      <c r="A567" s="17">
        <f t="shared" si="40"/>
        <v>81</v>
      </c>
      <c r="B567" t="str">
        <f ca="1">TEXT(DATE(YEAR(Invoer!$A$5),1,1)+INT((ROWS(B$2:B567)-1)/3),"jjjjmmdd")</f>
        <v>19400707</v>
      </c>
      <c r="C567" s="35" t="str">
        <f>INDEX(Data,2,2+MOD(ROWS(C$2:C567)-1,3))</f>
        <v>13.45</v>
      </c>
      <c r="D567" s="23">
        <f t="shared" ca="1" si="41"/>
        <v>749</v>
      </c>
      <c r="E567" s="40">
        <f t="shared" ca="1" si="42"/>
        <v>0</v>
      </c>
      <c r="F567" s="23">
        <f t="shared" ca="1" si="43"/>
        <v>29</v>
      </c>
      <c r="G567" s="40">
        <f t="shared" ca="1" si="44"/>
        <v>0</v>
      </c>
    </row>
    <row r="568" spans="1:7" x14ac:dyDescent="0.25">
      <c r="A568" s="17">
        <f t="shared" si="40"/>
        <v>81</v>
      </c>
      <c r="B568" t="str">
        <f ca="1">TEXT(DATE(YEAR(Invoer!$A$5),1,1)+INT((ROWS(B$2:B568)-1)/3),"jjjjmmdd")</f>
        <v>19400707</v>
      </c>
      <c r="C568" s="35" t="str">
        <f>INDEX(Data,2,2+MOD(ROWS(C$2:C568)-1,3))</f>
        <v>19.45</v>
      </c>
      <c r="D568" s="23">
        <f t="shared" ca="1" si="41"/>
        <v>750</v>
      </c>
      <c r="E568" s="40">
        <f t="shared" ca="1" si="42"/>
        <v>0</v>
      </c>
      <c r="F568" s="23">
        <f t="shared" ca="1" si="43"/>
        <v>28</v>
      </c>
      <c r="G568" s="40">
        <f t="shared" ca="1" si="44"/>
        <v>0</v>
      </c>
    </row>
    <row r="569" spans="1:7" x14ac:dyDescent="0.25">
      <c r="A569" s="17">
        <f t="shared" si="40"/>
        <v>81</v>
      </c>
      <c r="B569" t="str">
        <f ca="1">TEXT(DATE(YEAR(Invoer!$A$5),1,1)+INT((ROWS(B$2:B569)-1)/3),"jjjjmmdd")</f>
        <v>19400708</v>
      </c>
      <c r="C569" s="35" t="str">
        <f>INDEX(Data,2,2+MOD(ROWS(C$2:C569)-1,3))</f>
        <v>07.45</v>
      </c>
      <c r="D569" s="23">
        <f t="shared" ca="1" si="41"/>
        <v>751</v>
      </c>
      <c r="E569" s="40">
        <f t="shared" ca="1" si="42"/>
        <v>0</v>
      </c>
      <c r="F569" s="23">
        <f t="shared" ca="1" si="43"/>
        <v>27</v>
      </c>
      <c r="G569" s="40">
        <f t="shared" ca="1" si="44"/>
        <v>0</v>
      </c>
    </row>
    <row r="570" spans="1:7" x14ac:dyDescent="0.25">
      <c r="A570" s="17">
        <f t="shared" si="40"/>
        <v>81</v>
      </c>
      <c r="B570" t="str">
        <f ca="1">TEXT(DATE(YEAR(Invoer!$A$5),1,1)+INT((ROWS(B$2:B570)-1)/3),"jjjjmmdd")</f>
        <v>19400708</v>
      </c>
      <c r="C570" s="35" t="str">
        <f>INDEX(Data,2,2+MOD(ROWS(C$2:C570)-1,3))</f>
        <v>13.45</v>
      </c>
      <c r="D570" s="23">
        <f t="shared" ca="1" si="41"/>
        <v>751</v>
      </c>
      <c r="E570" s="40">
        <f t="shared" ca="1" si="42"/>
        <v>0</v>
      </c>
      <c r="F570" s="23">
        <f t="shared" ca="1" si="43"/>
        <v>31</v>
      </c>
      <c r="G570" s="40">
        <f t="shared" ca="1" si="44"/>
        <v>0</v>
      </c>
    </row>
    <row r="571" spans="1:7" x14ac:dyDescent="0.25">
      <c r="A571" s="17">
        <f t="shared" si="40"/>
        <v>81</v>
      </c>
      <c r="B571" t="str">
        <f ca="1">TEXT(DATE(YEAR(Invoer!$A$5),1,1)+INT((ROWS(B$2:B571)-1)/3),"jjjjmmdd")</f>
        <v>19400708</v>
      </c>
      <c r="C571" s="35" t="str">
        <f>INDEX(Data,2,2+MOD(ROWS(C$2:C571)-1,3))</f>
        <v>19.45</v>
      </c>
      <c r="D571" s="23">
        <f t="shared" ca="1" si="41"/>
        <v>752</v>
      </c>
      <c r="E571" s="40">
        <f t="shared" ca="1" si="42"/>
        <v>0</v>
      </c>
      <c r="F571" s="23">
        <f t="shared" ca="1" si="43"/>
        <v>30</v>
      </c>
      <c r="G571" s="40">
        <f t="shared" ca="1" si="44"/>
        <v>0</v>
      </c>
    </row>
    <row r="572" spans="1:7" x14ac:dyDescent="0.25">
      <c r="A572" s="17">
        <f t="shared" si="40"/>
        <v>81</v>
      </c>
      <c r="B572" t="str">
        <f ca="1">TEXT(DATE(YEAR(Invoer!$A$5),1,1)+INT((ROWS(B$2:B572)-1)/3),"jjjjmmdd")</f>
        <v>19400709</v>
      </c>
      <c r="C572" s="35" t="str">
        <f>INDEX(Data,2,2+MOD(ROWS(C$2:C572)-1,3))</f>
        <v>07.45</v>
      </c>
      <c r="D572" s="23">
        <f t="shared" ca="1" si="41"/>
        <v>753</v>
      </c>
      <c r="E572" s="40">
        <f t="shared" ca="1" si="42"/>
        <v>0</v>
      </c>
      <c r="F572" s="23">
        <f t="shared" ca="1" si="43"/>
        <v>27</v>
      </c>
      <c r="G572" s="40">
        <f t="shared" ca="1" si="44"/>
        <v>0</v>
      </c>
    </row>
    <row r="573" spans="1:7" x14ac:dyDescent="0.25">
      <c r="A573" s="17">
        <f t="shared" si="40"/>
        <v>81</v>
      </c>
      <c r="B573" t="str">
        <f ca="1">TEXT(DATE(YEAR(Invoer!$A$5),1,1)+INT((ROWS(B$2:B573)-1)/3),"jjjjmmdd")</f>
        <v>19400709</v>
      </c>
      <c r="C573" s="35" t="str">
        <f>INDEX(Data,2,2+MOD(ROWS(C$2:C573)-1,3))</f>
        <v>13.45</v>
      </c>
      <c r="D573" s="23">
        <f t="shared" ca="1" si="41"/>
        <v>753</v>
      </c>
      <c r="E573" s="40">
        <f t="shared" ca="1" si="42"/>
        <v>0</v>
      </c>
      <c r="F573" s="23">
        <f t="shared" ca="1" si="43"/>
        <v>31</v>
      </c>
      <c r="G573" s="40">
        <f t="shared" ca="1" si="44"/>
        <v>0</v>
      </c>
    </row>
    <row r="574" spans="1:7" x14ac:dyDescent="0.25">
      <c r="A574" s="17">
        <f t="shared" si="40"/>
        <v>81</v>
      </c>
      <c r="B574" t="str">
        <f ca="1">TEXT(DATE(YEAR(Invoer!$A$5),1,1)+INT((ROWS(B$2:B574)-1)/3),"jjjjmmdd")</f>
        <v>19400709</v>
      </c>
      <c r="C574" s="35" t="str">
        <f>INDEX(Data,2,2+MOD(ROWS(C$2:C574)-1,3))</f>
        <v>19.45</v>
      </c>
      <c r="D574" s="23">
        <f t="shared" ca="1" si="41"/>
        <v>753</v>
      </c>
      <c r="E574" s="40">
        <f t="shared" ca="1" si="42"/>
        <v>0</v>
      </c>
      <c r="F574" s="23">
        <f t="shared" ca="1" si="43"/>
        <v>29</v>
      </c>
      <c r="G574" s="40">
        <f t="shared" ca="1" si="44"/>
        <v>0</v>
      </c>
    </row>
    <row r="575" spans="1:7" x14ac:dyDescent="0.25">
      <c r="A575" s="17">
        <f t="shared" si="40"/>
        <v>81</v>
      </c>
      <c r="B575" t="str">
        <f ca="1">TEXT(DATE(YEAR(Invoer!$A$5),1,1)+INT((ROWS(B$2:B575)-1)/3),"jjjjmmdd")</f>
        <v>19400710</v>
      </c>
      <c r="C575" s="35" t="str">
        <f>INDEX(Data,2,2+MOD(ROWS(C$2:C575)-1,3))</f>
        <v>07.45</v>
      </c>
      <c r="D575" s="23">
        <f t="shared" ca="1" si="41"/>
        <v>752</v>
      </c>
      <c r="E575" s="40">
        <f t="shared" ca="1" si="42"/>
        <v>0</v>
      </c>
      <c r="F575" s="23">
        <f t="shared" ca="1" si="43"/>
        <v>28</v>
      </c>
      <c r="G575" s="40">
        <f t="shared" ca="1" si="44"/>
        <v>0</v>
      </c>
    </row>
    <row r="576" spans="1:7" x14ac:dyDescent="0.25">
      <c r="A576" s="17">
        <f t="shared" si="40"/>
        <v>81</v>
      </c>
      <c r="B576" t="str">
        <f ca="1">TEXT(DATE(YEAR(Invoer!$A$5),1,1)+INT((ROWS(B$2:B576)-1)/3),"jjjjmmdd")</f>
        <v>19400710</v>
      </c>
      <c r="C576" s="35" t="str">
        <f>INDEX(Data,2,2+MOD(ROWS(C$2:C576)-1,3))</f>
        <v>13.45</v>
      </c>
      <c r="D576" s="23">
        <f t="shared" ca="1" si="41"/>
        <v>751</v>
      </c>
      <c r="E576" s="40">
        <f t="shared" ca="1" si="42"/>
        <v>0</v>
      </c>
      <c r="F576" s="23">
        <f t="shared" ca="1" si="43"/>
        <v>30</v>
      </c>
      <c r="G576" s="40">
        <f t="shared" ca="1" si="44"/>
        <v>0</v>
      </c>
    </row>
    <row r="577" spans="1:7" x14ac:dyDescent="0.25">
      <c r="A577" s="17">
        <f t="shared" si="40"/>
        <v>81</v>
      </c>
      <c r="B577" t="str">
        <f ca="1">TEXT(DATE(YEAR(Invoer!$A$5),1,1)+INT((ROWS(B$2:B577)-1)/3),"jjjjmmdd")</f>
        <v>19400710</v>
      </c>
      <c r="C577" s="35" t="str">
        <f>INDEX(Data,2,2+MOD(ROWS(C$2:C577)-1,3))</f>
        <v>19.45</v>
      </c>
      <c r="D577" s="23">
        <f t="shared" ca="1" si="41"/>
        <v>751</v>
      </c>
      <c r="E577" s="40">
        <f t="shared" ca="1" si="42"/>
        <v>0</v>
      </c>
      <c r="F577" s="23">
        <f t="shared" ca="1" si="43"/>
        <v>29</v>
      </c>
      <c r="G577" s="40">
        <f t="shared" ca="1" si="44"/>
        <v>0</v>
      </c>
    </row>
    <row r="578" spans="1:7" x14ac:dyDescent="0.25">
      <c r="A578" s="17">
        <f t="shared" ref="A578:A641" si="45">INDEX(Stations,2,1)</f>
        <v>81</v>
      </c>
      <c r="B578" t="str">
        <f ca="1">TEXT(DATE(YEAR(Invoer!$A$5),1,1)+INT((ROWS(B$2:B578)-1)/3),"jjjjmmdd")</f>
        <v>19400711</v>
      </c>
      <c r="C578" s="35" t="str">
        <f>INDEX(Data,2,2+MOD(ROWS(C$2:C578)-1,3))</f>
        <v>07.45</v>
      </c>
      <c r="D578" s="23">
        <f t="shared" ref="D578:D641" ca="1" si="46">IF(OR(ISBLANK(VLOOKUP(DATEVALUE(LEFT($B578,4)&amp;"-"&amp;MID($B578,5,2)&amp;"-"&amp;RIGHT($B578,2)),Data,MATCH(LEFT(VLOOKUP(D$1,Parameters,2,FALSE()),4)&amp;"*",OFFSET(Data,0,0,1),0)+MATCH($C578,OFFSET(Data,1,0,1),0)-2,FALSE())),ISTEXT(VLOOKUP(DATEVALUE(LEFT($B578,4)&amp;"-"&amp;MID($B578,5,2)&amp;"-"&amp;RIGHT($B578,2)),Data,MATCH(LEFT(VLOOKUP(D$1,Parameters,2,FALSE()),4)&amp;"*",OFFSET(Data,0,0,1),0)+MATCH($C578,OFFSET(Data,1,0,1),0)-2,FALSE()))),"—",VLOOKUP(DATEVALUE(LEFT($B578,4)&amp;"-"&amp;MID($B578,5,2)&amp;"-"&amp;RIGHT($B578,2)),Data,MATCH(LEFT(VLOOKUP(D$1,Parameters,2,FALSE()),4)&amp;"*",OFFSET(Data,0,0,1),0)+MATCH($C578,OFFSET(Data,1,0,1),0)-2,FALSE()))</f>
        <v>751</v>
      </c>
      <c r="E578" s="40">
        <f t="shared" ref="E578:E641" ca="1" si="47">IF(OR(ISBLANK(VLOOKUP(DATEVALUE(LEFT($B578,4)&amp;"-"&amp;MID($B578,5,2)&amp;"-"&amp;RIGHT($B578,2)),Data,MATCH(LEFT(VLOOKUP(MID(E$1,2,LEN(E$1)-1),Parameters,2,FALSE()),4)&amp;"*",OFFSET(Data,0,0,1),0)+MATCH($C578,OFFSET(Data,1,0,1),0)-2,FALSE())),ISTEXT(VLOOKUP(DATEVALUE(LEFT($B578,4)&amp;"-"&amp;MID($B578,5,2)&amp;"-"&amp;RIGHT($B578,2)),Data,MATCH(LEFT(VLOOKUP(MID(E$1,2,LEN(E$1)-1),Parameters,2,FALSE()),4)&amp;"*",OFFSET(Data,0,0,1),0)+MATCH($C578,OFFSET(Data,1,0,1),0)-2,FALSE()))),Lacking,IF(ISNA(MATCH(DATEVALUE(LEFT($B578,4)&amp;"-"&amp;MID($B578,5,2)&amp;"-"&amp;RIGHT($B578,2)),OFFSET(Catalogus,0,0,,1),0)),Ok,VLOOKUP(DATEVALUE(LEFT($B578,4)&amp;"-"&amp;MID($B578,5,2)&amp;"-"&amp;RIGHT($B578,2)),Catalogus,MATCH(LEFT(VLOOKUP(MID(E$1,2,LEN(E$1)-1),Parameters,2,FALSE()),4)&amp;"*",OFFSET(Catalogus,0,0,1),0)+MATCH($C578,OFFSET(Catalogus,1,0,1),0)-2,FALSE())))</f>
        <v>0</v>
      </c>
      <c r="F578" s="23">
        <f t="shared" ref="F578:F641" ca="1" si="48">IF(OR(ISBLANK(VLOOKUP(DATEVALUE(LEFT($B578,4)&amp;"-"&amp;MID($B578,5,2)&amp;"-"&amp;RIGHT($B578,2)),Data,MATCH(LEFT(VLOOKUP(F$1,Parameters,2,FALSE()),4)&amp;"*",OFFSET(Data,0,0,1),0)+MATCH($C578,OFFSET(Data,1,0,1),0)-2,FALSE())),ISTEXT(VLOOKUP(DATEVALUE(LEFT($B578,4)&amp;"-"&amp;MID($B578,5,2)&amp;"-"&amp;RIGHT($B578,2)),Data,MATCH(LEFT(VLOOKUP(F$1,Parameters,2,FALSE()),4)&amp;"*",OFFSET(Data,0,0,1),0)+MATCH($C578,OFFSET(Data,1,0,1),0)-2,FALSE()))),"—",VLOOKUP(DATEVALUE(LEFT($B578,4)&amp;"-"&amp;MID($B578,5,2)&amp;"-"&amp;RIGHT($B578,2)),Data,MATCH(LEFT(VLOOKUP(F$1,Parameters,2,FALSE()),4)&amp;"*",OFFSET(Data,0,0,1),0)+MATCH($C578,OFFSET(Data,1,0,1),0)-2,FALSE()))</f>
        <v>27</v>
      </c>
      <c r="G578" s="40">
        <f t="shared" ref="G578:G641" ca="1" si="49">IF(OR(ISBLANK(VLOOKUP(DATEVALUE(LEFT($B578,4)&amp;"-"&amp;MID($B578,5,2)&amp;"-"&amp;RIGHT($B578,2)),Data,MATCH(LEFT(VLOOKUP(MID(G$1,2,LEN(G$1)-1),Parameters,2,FALSE()),4)&amp;"*",OFFSET(Data,0,0,1),0)+MATCH($C578,OFFSET(Data,1,0,1),0)-2,FALSE())),ISTEXT(VLOOKUP(DATEVALUE(LEFT($B578,4)&amp;"-"&amp;MID($B578,5,2)&amp;"-"&amp;RIGHT($B578,2)),Data,MATCH(LEFT(VLOOKUP(MID(G$1,2,LEN(G$1)-1),Parameters,2,FALSE()),4)&amp;"*",OFFSET(Data,0,0,1),0)+MATCH($C578,OFFSET(Data,1,0,1),0)-2,FALSE()))),Lacking,IF(ISNA(MATCH(DATEVALUE(LEFT($B578,4)&amp;"-"&amp;MID($B578,5,2)&amp;"-"&amp;RIGHT($B578,2)),OFFSET(Catalogus,0,0,,1),0)),Ok,VLOOKUP(DATEVALUE(LEFT($B578,4)&amp;"-"&amp;MID($B578,5,2)&amp;"-"&amp;RIGHT($B578,2)),Catalogus,MATCH(LEFT(VLOOKUP(MID(G$1,2,LEN(G$1)-1),Parameters,2,FALSE()),4)&amp;"*",OFFSET(Catalogus,0,0,1),0)+MATCH($C578,OFFSET(Catalogus,1,0,1),0)-2,FALSE())))</f>
        <v>0</v>
      </c>
    </row>
    <row r="579" spans="1:7" x14ac:dyDescent="0.25">
      <c r="A579" s="17">
        <f t="shared" si="45"/>
        <v>81</v>
      </c>
      <c r="B579" t="str">
        <f ca="1">TEXT(DATE(YEAR(Invoer!$A$5),1,1)+INT((ROWS(B$2:B579)-1)/3),"jjjjmmdd")</f>
        <v>19400711</v>
      </c>
      <c r="C579" s="35" t="str">
        <f>INDEX(Data,2,2+MOD(ROWS(C$2:C579)-1,3))</f>
        <v>13.45</v>
      </c>
      <c r="D579" s="23">
        <f t="shared" ca="1" si="46"/>
        <v>750</v>
      </c>
      <c r="E579" s="40">
        <f t="shared" ca="1" si="47"/>
        <v>0</v>
      </c>
      <c r="F579" s="23">
        <f t="shared" ca="1" si="48"/>
        <v>30</v>
      </c>
      <c r="G579" s="40">
        <f t="shared" ca="1" si="49"/>
        <v>0</v>
      </c>
    </row>
    <row r="580" spans="1:7" x14ac:dyDescent="0.25">
      <c r="A580" s="17">
        <f t="shared" si="45"/>
        <v>81</v>
      </c>
      <c r="B580" t="str">
        <f ca="1">TEXT(DATE(YEAR(Invoer!$A$5),1,1)+INT((ROWS(B$2:B580)-1)/3),"jjjjmmdd")</f>
        <v>19400711</v>
      </c>
      <c r="C580" s="35" t="str">
        <f>INDEX(Data,2,2+MOD(ROWS(C$2:C580)-1,3))</f>
        <v>19.45</v>
      </c>
      <c r="D580" s="23">
        <f t="shared" ca="1" si="46"/>
        <v>750</v>
      </c>
      <c r="E580" s="40">
        <f t="shared" ca="1" si="47"/>
        <v>0</v>
      </c>
      <c r="F580" s="23">
        <f t="shared" ca="1" si="48"/>
        <v>29</v>
      </c>
      <c r="G580" s="40">
        <f t="shared" ca="1" si="49"/>
        <v>0</v>
      </c>
    </row>
    <row r="581" spans="1:7" x14ac:dyDescent="0.25">
      <c r="A581" s="17">
        <f t="shared" si="45"/>
        <v>81</v>
      </c>
      <c r="B581" t="str">
        <f ca="1">TEXT(DATE(YEAR(Invoer!$A$5),1,1)+INT((ROWS(B$2:B581)-1)/3),"jjjjmmdd")</f>
        <v>19400712</v>
      </c>
      <c r="C581" s="35" t="str">
        <f>INDEX(Data,2,2+MOD(ROWS(C$2:C581)-1,3))</f>
        <v>07.45</v>
      </c>
      <c r="D581" s="23">
        <f t="shared" ca="1" si="46"/>
        <v>751</v>
      </c>
      <c r="E581" s="40">
        <f t="shared" ca="1" si="47"/>
        <v>0</v>
      </c>
      <c r="F581" s="23">
        <f t="shared" ca="1" si="48"/>
        <v>27</v>
      </c>
      <c r="G581" s="40">
        <f t="shared" ca="1" si="49"/>
        <v>0</v>
      </c>
    </row>
    <row r="582" spans="1:7" x14ac:dyDescent="0.25">
      <c r="A582" s="17">
        <f t="shared" si="45"/>
        <v>81</v>
      </c>
      <c r="B582" t="str">
        <f ca="1">TEXT(DATE(YEAR(Invoer!$A$5),1,1)+INT((ROWS(B$2:B582)-1)/3),"jjjjmmdd")</f>
        <v>19400712</v>
      </c>
      <c r="C582" s="35" t="str">
        <f>INDEX(Data,2,2+MOD(ROWS(C$2:C582)-1,3))</f>
        <v>13.45</v>
      </c>
      <c r="D582" s="23">
        <f t="shared" ca="1" si="46"/>
        <v>751</v>
      </c>
      <c r="E582" s="40">
        <f t="shared" ca="1" si="47"/>
        <v>0</v>
      </c>
      <c r="F582" s="23">
        <f t="shared" ca="1" si="48"/>
        <v>30</v>
      </c>
      <c r="G582" s="40">
        <f t="shared" ca="1" si="49"/>
        <v>0</v>
      </c>
    </row>
    <row r="583" spans="1:7" x14ac:dyDescent="0.25">
      <c r="A583" s="17">
        <f t="shared" si="45"/>
        <v>81</v>
      </c>
      <c r="B583" t="str">
        <f ca="1">TEXT(DATE(YEAR(Invoer!$A$5),1,1)+INT((ROWS(B$2:B583)-1)/3),"jjjjmmdd")</f>
        <v>19400712</v>
      </c>
      <c r="C583" s="35" t="str">
        <f>INDEX(Data,2,2+MOD(ROWS(C$2:C583)-1,3))</f>
        <v>19.45</v>
      </c>
      <c r="D583" s="23">
        <f t="shared" ca="1" si="46"/>
        <v>752</v>
      </c>
      <c r="E583" s="40">
        <f t="shared" ca="1" si="47"/>
        <v>0</v>
      </c>
      <c r="F583" s="23">
        <f t="shared" ca="1" si="48"/>
        <v>29</v>
      </c>
      <c r="G583" s="40">
        <f t="shared" ca="1" si="49"/>
        <v>0</v>
      </c>
    </row>
    <row r="584" spans="1:7" x14ac:dyDescent="0.25">
      <c r="A584" s="17">
        <f t="shared" si="45"/>
        <v>81</v>
      </c>
      <c r="B584" t="str">
        <f ca="1">TEXT(DATE(YEAR(Invoer!$A$5),1,1)+INT((ROWS(B$2:B584)-1)/3),"jjjjmmdd")</f>
        <v>19400713</v>
      </c>
      <c r="C584" s="35" t="str">
        <f>INDEX(Data,2,2+MOD(ROWS(C$2:C584)-1,3))</f>
        <v>07.45</v>
      </c>
      <c r="D584" s="23">
        <f t="shared" ca="1" si="46"/>
        <v>752</v>
      </c>
      <c r="E584" s="40">
        <f t="shared" ca="1" si="47"/>
        <v>0</v>
      </c>
      <c r="F584" s="23">
        <f t="shared" ca="1" si="48"/>
        <v>28</v>
      </c>
      <c r="G584" s="40">
        <f t="shared" ca="1" si="49"/>
        <v>0</v>
      </c>
    </row>
    <row r="585" spans="1:7" x14ac:dyDescent="0.25">
      <c r="A585" s="17">
        <f t="shared" si="45"/>
        <v>81</v>
      </c>
      <c r="B585" t="str">
        <f ca="1">TEXT(DATE(YEAR(Invoer!$A$5),1,1)+INT((ROWS(B$2:B585)-1)/3),"jjjjmmdd")</f>
        <v>19400713</v>
      </c>
      <c r="C585" s="35" t="str">
        <f>INDEX(Data,2,2+MOD(ROWS(C$2:C585)-1,3))</f>
        <v>13.45</v>
      </c>
      <c r="D585" s="23">
        <f t="shared" ca="1" si="46"/>
        <v>752</v>
      </c>
      <c r="E585" s="40">
        <f t="shared" ca="1" si="47"/>
        <v>0</v>
      </c>
      <c r="F585" s="23">
        <f t="shared" ca="1" si="48"/>
        <v>30</v>
      </c>
      <c r="G585" s="40">
        <f t="shared" ca="1" si="49"/>
        <v>0</v>
      </c>
    </row>
    <row r="586" spans="1:7" x14ac:dyDescent="0.25">
      <c r="A586" s="17">
        <f t="shared" si="45"/>
        <v>81</v>
      </c>
      <c r="B586" t="str">
        <f ca="1">TEXT(DATE(YEAR(Invoer!$A$5),1,1)+INT((ROWS(B$2:B586)-1)/3),"jjjjmmdd")</f>
        <v>19400713</v>
      </c>
      <c r="C586" s="35" t="str">
        <f>INDEX(Data,2,2+MOD(ROWS(C$2:C586)-1,3))</f>
        <v>19.45</v>
      </c>
      <c r="D586" s="23">
        <f t="shared" ca="1" si="46"/>
        <v>752</v>
      </c>
      <c r="E586" s="40">
        <f t="shared" ca="1" si="47"/>
        <v>0</v>
      </c>
      <c r="F586" s="23">
        <f t="shared" ca="1" si="48"/>
        <v>29</v>
      </c>
      <c r="G586" s="40">
        <f t="shared" ca="1" si="49"/>
        <v>0</v>
      </c>
    </row>
    <row r="587" spans="1:7" x14ac:dyDescent="0.25">
      <c r="A587" s="17">
        <f t="shared" si="45"/>
        <v>81</v>
      </c>
      <c r="B587" t="str">
        <f ca="1">TEXT(DATE(YEAR(Invoer!$A$5),1,1)+INT((ROWS(B$2:B587)-1)/3),"jjjjmmdd")</f>
        <v>19400714</v>
      </c>
      <c r="C587" s="35" t="str">
        <f>INDEX(Data,2,2+MOD(ROWS(C$2:C587)-1,3))</f>
        <v>07.45</v>
      </c>
      <c r="D587" s="23">
        <f t="shared" ca="1" si="46"/>
        <v>751</v>
      </c>
      <c r="E587" s="40">
        <f t="shared" ca="1" si="47"/>
        <v>0</v>
      </c>
      <c r="F587" s="23">
        <f t="shared" ca="1" si="48"/>
        <v>28</v>
      </c>
      <c r="G587" s="40">
        <f t="shared" ca="1" si="49"/>
        <v>0</v>
      </c>
    </row>
    <row r="588" spans="1:7" x14ac:dyDescent="0.25">
      <c r="A588" s="17">
        <f t="shared" si="45"/>
        <v>81</v>
      </c>
      <c r="B588" t="str">
        <f ca="1">TEXT(DATE(YEAR(Invoer!$A$5),1,1)+INT((ROWS(B$2:B588)-1)/3),"jjjjmmdd")</f>
        <v>19400714</v>
      </c>
      <c r="C588" s="35" t="str">
        <f>INDEX(Data,2,2+MOD(ROWS(C$2:C588)-1,3))</f>
        <v>13.45</v>
      </c>
      <c r="D588" s="23">
        <f t="shared" ca="1" si="46"/>
        <v>750</v>
      </c>
      <c r="E588" s="40">
        <f t="shared" ca="1" si="47"/>
        <v>0</v>
      </c>
      <c r="F588" s="23">
        <f t="shared" ca="1" si="48"/>
        <v>30</v>
      </c>
      <c r="G588" s="40">
        <f t="shared" ca="1" si="49"/>
        <v>0</v>
      </c>
    </row>
    <row r="589" spans="1:7" x14ac:dyDescent="0.25">
      <c r="A589" s="17">
        <f t="shared" si="45"/>
        <v>81</v>
      </c>
      <c r="B589" t="str">
        <f ca="1">TEXT(DATE(YEAR(Invoer!$A$5),1,1)+INT((ROWS(B$2:B589)-1)/3),"jjjjmmdd")</f>
        <v>19400714</v>
      </c>
      <c r="C589" s="35" t="str">
        <f>INDEX(Data,2,2+MOD(ROWS(C$2:C589)-1,3))</f>
        <v>19.45</v>
      </c>
      <c r="D589" s="23">
        <f t="shared" ca="1" si="46"/>
        <v>750</v>
      </c>
      <c r="E589" s="40">
        <f t="shared" ca="1" si="47"/>
        <v>0</v>
      </c>
      <c r="F589" s="23">
        <f t="shared" ca="1" si="48"/>
        <v>29</v>
      </c>
      <c r="G589" s="40">
        <f t="shared" ca="1" si="49"/>
        <v>0</v>
      </c>
    </row>
    <row r="590" spans="1:7" x14ac:dyDescent="0.25">
      <c r="A590" s="17">
        <f t="shared" si="45"/>
        <v>81</v>
      </c>
      <c r="B590" t="str">
        <f ca="1">TEXT(DATE(YEAR(Invoer!$A$5),1,1)+INT((ROWS(B$2:B590)-1)/3),"jjjjmmdd")</f>
        <v>19400715</v>
      </c>
      <c r="C590" s="35" t="str">
        <f>INDEX(Data,2,2+MOD(ROWS(C$2:C590)-1,3))</f>
        <v>07.45</v>
      </c>
      <c r="D590" s="23">
        <f t="shared" ca="1" si="46"/>
        <v>749</v>
      </c>
      <c r="E590" s="40">
        <f t="shared" ca="1" si="47"/>
        <v>0</v>
      </c>
      <c r="F590" s="23">
        <f t="shared" ca="1" si="48"/>
        <v>27</v>
      </c>
      <c r="G590" s="40">
        <f t="shared" ca="1" si="49"/>
        <v>0</v>
      </c>
    </row>
    <row r="591" spans="1:7" x14ac:dyDescent="0.25">
      <c r="A591" s="17">
        <f t="shared" si="45"/>
        <v>81</v>
      </c>
      <c r="B591" t="str">
        <f ca="1">TEXT(DATE(YEAR(Invoer!$A$5),1,1)+INT((ROWS(B$2:B591)-1)/3),"jjjjmmdd")</f>
        <v>19400715</v>
      </c>
      <c r="C591" s="35" t="str">
        <f>INDEX(Data,2,2+MOD(ROWS(C$2:C591)-1,3))</f>
        <v>13.45</v>
      </c>
      <c r="D591" s="23">
        <f t="shared" ca="1" si="46"/>
        <v>750</v>
      </c>
      <c r="E591" s="40">
        <f t="shared" ca="1" si="47"/>
        <v>0</v>
      </c>
      <c r="F591" s="23">
        <f t="shared" ca="1" si="48"/>
        <v>29</v>
      </c>
      <c r="G591" s="40">
        <f t="shared" ca="1" si="49"/>
        <v>0</v>
      </c>
    </row>
    <row r="592" spans="1:7" x14ac:dyDescent="0.25">
      <c r="A592" s="17">
        <f t="shared" si="45"/>
        <v>81</v>
      </c>
      <c r="B592" t="str">
        <f ca="1">TEXT(DATE(YEAR(Invoer!$A$5),1,1)+INT((ROWS(B$2:B592)-1)/3),"jjjjmmdd")</f>
        <v>19400715</v>
      </c>
      <c r="C592" s="35" t="str">
        <f>INDEX(Data,2,2+MOD(ROWS(C$2:C592)-1,3))</f>
        <v>19.45</v>
      </c>
      <c r="D592" s="23">
        <f t="shared" ca="1" si="46"/>
        <v>750</v>
      </c>
      <c r="E592" s="40">
        <f t="shared" ca="1" si="47"/>
        <v>0</v>
      </c>
      <c r="F592" s="23">
        <f t="shared" ca="1" si="48"/>
        <v>28</v>
      </c>
      <c r="G592" s="40">
        <f t="shared" ca="1" si="49"/>
        <v>0</v>
      </c>
    </row>
    <row r="593" spans="1:7" x14ac:dyDescent="0.25">
      <c r="A593" s="17">
        <f t="shared" si="45"/>
        <v>81</v>
      </c>
      <c r="B593" t="str">
        <f ca="1">TEXT(DATE(YEAR(Invoer!$A$5),1,1)+INT((ROWS(B$2:B593)-1)/3),"jjjjmmdd")</f>
        <v>19400716</v>
      </c>
      <c r="C593" s="35" t="str">
        <f>INDEX(Data,2,2+MOD(ROWS(C$2:C593)-1,3))</f>
        <v>07.45</v>
      </c>
      <c r="D593" s="23">
        <f t="shared" ca="1" si="46"/>
        <v>750</v>
      </c>
      <c r="E593" s="40">
        <f t="shared" ca="1" si="47"/>
        <v>0</v>
      </c>
      <c r="F593" s="23">
        <f t="shared" ca="1" si="48"/>
        <v>27</v>
      </c>
      <c r="G593" s="40">
        <f t="shared" ca="1" si="49"/>
        <v>0</v>
      </c>
    </row>
    <row r="594" spans="1:7" x14ac:dyDescent="0.25">
      <c r="A594" s="17">
        <f t="shared" si="45"/>
        <v>81</v>
      </c>
      <c r="B594" t="str">
        <f ca="1">TEXT(DATE(YEAR(Invoer!$A$5),1,1)+INT((ROWS(B$2:B594)-1)/3),"jjjjmmdd")</f>
        <v>19400716</v>
      </c>
      <c r="C594" s="35" t="str">
        <f>INDEX(Data,2,2+MOD(ROWS(C$2:C594)-1,3))</f>
        <v>13.45</v>
      </c>
      <c r="D594" s="23">
        <f t="shared" ca="1" si="46"/>
        <v>750</v>
      </c>
      <c r="E594" s="40">
        <f t="shared" ca="1" si="47"/>
        <v>0</v>
      </c>
      <c r="F594" s="23">
        <f t="shared" ca="1" si="48"/>
        <v>30</v>
      </c>
      <c r="G594" s="40">
        <f t="shared" ca="1" si="49"/>
        <v>0</v>
      </c>
    </row>
    <row r="595" spans="1:7" x14ac:dyDescent="0.25">
      <c r="A595" s="17">
        <f t="shared" si="45"/>
        <v>81</v>
      </c>
      <c r="B595" t="str">
        <f ca="1">TEXT(DATE(YEAR(Invoer!$A$5),1,1)+INT((ROWS(B$2:B595)-1)/3),"jjjjmmdd")</f>
        <v>19400716</v>
      </c>
      <c r="C595" s="35" t="str">
        <f>INDEX(Data,2,2+MOD(ROWS(C$2:C595)-1,3))</f>
        <v>19.45</v>
      </c>
      <c r="D595" s="23">
        <f t="shared" ca="1" si="46"/>
        <v>750</v>
      </c>
      <c r="E595" s="40">
        <f t="shared" ca="1" si="47"/>
        <v>0</v>
      </c>
      <c r="F595" s="23">
        <f t="shared" ca="1" si="48"/>
        <v>29</v>
      </c>
      <c r="G595" s="40">
        <f t="shared" ca="1" si="49"/>
        <v>0</v>
      </c>
    </row>
    <row r="596" spans="1:7" x14ac:dyDescent="0.25">
      <c r="A596" s="17">
        <f t="shared" si="45"/>
        <v>81</v>
      </c>
      <c r="B596" t="str">
        <f ca="1">TEXT(DATE(YEAR(Invoer!$A$5),1,1)+INT((ROWS(B$2:B596)-1)/3),"jjjjmmdd")</f>
        <v>19400717</v>
      </c>
      <c r="C596" s="35" t="str">
        <f>INDEX(Data,2,2+MOD(ROWS(C$2:C596)-1,3))</f>
        <v>07.45</v>
      </c>
      <c r="D596" s="23">
        <f t="shared" ca="1" si="46"/>
        <v>750</v>
      </c>
      <c r="E596" s="40">
        <f t="shared" ca="1" si="47"/>
        <v>0</v>
      </c>
      <c r="F596" s="23">
        <f t="shared" ca="1" si="48"/>
        <v>27</v>
      </c>
      <c r="G596" s="40">
        <f t="shared" ca="1" si="49"/>
        <v>0</v>
      </c>
    </row>
    <row r="597" spans="1:7" x14ac:dyDescent="0.25">
      <c r="A597" s="17">
        <f t="shared" si="45"/>
        <v>81</v>
      </c>
      <c r="B597" t="str">
        <f ca="1">TEXT(DATE(YEAR(Invoer!$A$5),1,1)+INT((ROWS(B$2:B597)-1)/3),"jjjjmmdd")</f>
        <v>19400717</v>
      </c>
      <c r="C597" s="35" t="str">
        <f>INDEX(Data,2,2+MOD(ROWS(C$2:C597)-1,3))</f>
        <v>13.45</v>
      </c>
      <c r="D597" s="23">
        <f t="shared" ca="1" si="46"/>
        <v>750</v>
      </c>
      <c r="E597" s="40">
        <f t="shared" ca="1" si="47"/>
        <v>0</v>
      </c>
      <c r="F597" s="23">
        <f t="shared" ca="1" si="48"/>
        <v>29</v>
      </c>
      <c r="G597" s="40">
        <f t="shared" ca="1" si="49"/>
        <v>0</v>
      </c>
    </row>
    <row r="598" spans="1:7" x14ac:dyDescent="0.25">
      <c r="A598" s="17">
        <f t="shared" si="45"/>
        <v>81</v>
      </c>
      <c r="B598" t="str">
        <f ca="1">TEXT(DATE(YEAR(Invoer!$A$5),1,1)+INT((ROWS(B$2:B598)-1)/3),"jjjjmmdd")</f>
        <v>19400717</v>
      </c>
      <c r="C598" s="35" t="str">
        <f>INDEX(Data,2,2+MOD(ROWS(C$2:C598)-1,3))</f>
        <v>19.45</v>
      </c>
      <c r="D598" s="23">
        <f t="shared" ca="1" si="46"/>
        <v>751</v>
      </c>
      <c r="E598" s="40">
        <f t="shared" ca="1" si="47"/>
        <v>0</v>
      </c>
      <c r="F598" s="23">
        <f t="shared" ca="1" si="48"/>
        <v>28</v>
      </c>
      <c r="G598" s="40">
        <f t="shared" ca="1" si="49"/>
        <v>0</v>
      </c>
    </row>
    <row r="599" spans="1:7" x14ac:dyDescent="0.25">
      <c r="A599" s="17">
        <f t="shared" si="45"/>
        <v>81</v>
      </c>
      <c r="B599" t="str">
        <f ca="1">TEXT(DATE(YEAR(Invoer!$A$5),1,1)+INT((ROWS(B$2:B599)-1)/3),"jjjjmmdd")</f>
        <v>19400718</v>
      </c>
      <c r="C599" s="35" t="str">
        <f>INDEX(Data,2,2+MOD(ROWS(C$2:C599)-1,3))</f>
        <v>07.45</v>
      </c>
      <c r="D599" s="23">
        <f t="shared" ca="1" si="46"/>
        <v>751</v>
      </c>
      <c r="E599" s="40">
        <f t="shared" ca="1" si="47"/>
        <v>0</v>
      </c>
      <c r="F599" s="23">
        <f t="shared" ca="1" si="48"/>
        <v>28</v>
      </c>
      <c r="G599" s="40">
        <f t="shared" ca="1" si="49"/>
        <v>0</v>
      </c>
    </row>
    <row r="600" spans="1:7" x14ac:dyDescent="0.25">
      <c r="A600" s="17">
        <f t="shared" si="45"/>
        <v>81</v>
      </c>
      <c r="B600" t="str">
        <f ca="1">TEXT(DATE(YEAR(Invoer!$A$5),1,1)+INT((ROWS(B$2:B600)-1)/3),"jjjjmmdd")</f>
        <v>19400718</v>
      </c>
      <c r="C600" s="35" t="str">
        <f>INDEX(Data,2,2+MOD(ROWS(C$2:C600)-1,3))</f>
        <v>13.45</v>
      </c>
      <c r="D600" s="23">
        <f t="shared" ca="1" si="46"/>
        <v>750</v>
      </c>
      <c r="E600" s="40">
        <f t="shared" ca="1" si="47"/>
        <v>0</v>
      </c>
      <c r="F600" s="23">
        <f t="shared" ca="1" si="48"/>
        <v>30</v>
      </c>
      <c r="G600" s="40">
        <f t="shared" ca="1" si="49"/>
        <v>0</v>
      </c>
    </row>
    <row r="601" spans="1:7" x14ac:dyDescent="0.25">
      <c r="A601" s="17">
        <f t="shared" si="45"/>
        <v>81</v>
      </c>
      <c r="B601" t="str">
        <f ca="1">TEXT(DATE(YEAR(Invoer!$A$5),1,1)+INT((ROWS(B$2:B601)-1)/3),"jjjjmmdd")</f>
        <v>19400718</v>
      </c>
      <c r="C601" s="35" t="str">
        <f>INDEX(Data,2,2+MOD(ROWS(C$2:C601)-1,3))</f>
        <v>19.45</v>
      </c>
      <c r="D601" s="23">
        <f t="shared" ca="1" si="46"/>
        <v>750</v>
      </c>
      <c r="E601" s="40">
        <f t="shared" ca="1" si="47"/>
        <v>0</v>
      </c>
      <c r="F601" s="23">
        <f t="shared" ca="1" si="48"/>
        <v>29</v>
      </c>
      <c r="G601" s="40">
        <f t="shared" ca="1" si="49"/>
        <v>0</v>
      </c>
    </row>
    <row r="602" spans="1:7" x14ac:dyDescent="0.25">
      <c r="A602" s="17">
        <f t="shared" si="45"/>
        <v>81</v>
      </c>
      <c r="B602" t="str">
        <f ca="1">TEXT(DATE(YEAR(Invoer!$A$5),1,1)+INT((ROWS(B$2:B602)-1)/3),"jjjjmmdd")</f>
        <v>19400719</v>
      </c>
      <c r="C602" s="35" t="str">
        <f>INDEX(Data,2,2+MOD(ROWS(C$2:C602)-1,3))</f>
        <v>07.45</v>
      </c>
      <c r="D602" s="23">
        <f t="shared" ca="1" si="46"/>
        <v>750</v>
      </c>
      <c r="E602" s="40">
        <f t="shared" ca="1" si="47"/>
        <v>0</v>
      </c>
      <c r="F602" s="23">
        <f t="shared" ca="1" si="48"/>
        <v>27</v>
      </c>
      <c r="G602" s="40">
        <f t="shared" ca="1" si="49"/>
        <v>0</v>
      </c>
    </row>
    <row r="603" spans="1:7" x14ac:dyDescent="0.25">
      <c r="A603" s="17">
        <f t="shared" si="45"/>
        <v>81</v>
      </c>
      <c r="B603" t="str">
        <f ca="1">TEXT(DATE(YEAR(Invoer!$A$5),1,1)+INT((ROWS(B$2:B603)-1)/3),"jjjjmmdd")</f>
        <v>19400719</v>
      </c>
      <c r="C603" s="35" t="str">
        <f>INDEX(Data,2,2+MOD(ROWS(C$2:C603)-1,3))</f>
        <v>13.45</v>
      </c>
      <c r="D603" s="23">
        <f t="shared" ca="1" si="46"/>
        <v>750</v>
      </c>
      <c r="E603" s="40">
        <f t="shared" ca="1" si="47"/>
        <v>0</v>
      </c>
      <c r="F603" s="23">
        <f t="shared" ca="1" si="48"/>
        <v>29</v>
      </c>
      <c r="G603" s="40">
        <f t="shared" ca="1" si="49"/>
        <v>0</v>
      </c>
    </row>
    <row r="604" spans="1:7" x14ac:dyDescent="0.25">
      <c r="A604" s="17">
        <f t="shared" si="45"/>
        <v>81</v>
      </c>
      <c r="B604" t="str">
        <f ca="1">TEXT(DATE(YEAR(Invoer!$A$5),1,1)+INT((ROWS(B$2:B604)-1)/3),"jjjjmmdd")</f>
        <v>19400719</v>
      </c>
      <c r="C604" s="35" t="str">
        <f>INDEX(Data,2,2+MOD(ROWS(C$2:C604)-1,3))</f>
        <v>19.45</v>
      </c>
      <c r="D604" s="23">
        <f t="shared" ca="1" si="46"/>
        <v>749</v>
      </c>
      <c r="E604" s="40">
        <f t="shared" ca="1" si="47"/>
        <v>0</v>
      </c>
      <c r="F604" s="23">
        <f t="shared" ca="1" si="48"/>
        <v>28</v>
      </c>
      <c r="G604" s="40">
        <f t="shared" ca="1" si="49"/>
        <v>0</v>
      </c>
    </row>
    <row r="605" spans="1:7" x14ac:dyDescent="0.25">
      <c r="A605" s="17">
        <f t="shared" si="45"/>
        <v>81</v>
      </c>
      <c r="B605" t="str">
        <f ca="1">TEXT(DATE(YEAR(Invoer!$A$5),1,1)+INT((ROWS(B$2:B605)-1)/3),"jjjjmmdd")</f>
        <v>19400720</v>
      </c>
      <c r="C605" s="35" t="str">
        <f>INDEX(Data,2,2+MOD(ROWS(C$2:C605)-1,3))</f>
        <v>07.45</v>
      </c>
      <c r="D605" s="23">
        <f t="shared" ca="1" si="46"/>
        <v>749</v>
      </c>
      <c r="E605" s="40">
        <f t="shared" ca="1" si="47"/>
        <v>0</v>
      </c>
      <c r="F605" s="23">
        <f t="shared" ca="1" si="48"/>
        <v>27</v>
      </c>
      <c r="G605" s="40">
        <f t="shared" ca="1" si="49"/>
        <v>0</v>
      </c>
    </row>
    <row r="606" spans="1:7" x14ac:dyDescent="0.25">
      <c r="A606" s="17">
        <f t="shared" si="45"/>
        <v>81</v>
      </c>
      <c r="B606" t="str">
        <f ca="1">TEXT(DATE(YEAR(Invoer!$A$5),1,1)+INT((ROWS(B$2:B606)-1)/3),"jjjjmmdd")</f>
        <v>19400720</v>
      </c>
      <c r="C606" s="35" t="str">
        <f>INDEX(Data,2,2+MOD(ROWS(C$2:C606)-1,3))</f>
        <v>13.45</v>
      </c>
      <c r="D606" s="23">
        <f t="shared" ca="1" si="46"/>
        <v>749</v>
      </c>
      <c r="E606" s="40">
        <f t="shared" ca="1" si="47"/>
        <v>0</v>
      </c>
      <c r="F606" s="23">
        <f t="shared" ca="1" si="48"/>
        <v>29</v>
      </c>
      <c r="G606" s="40">
        <f t="shared" ca="1" si="49"/>
        <v>0</v>
      </c>
    </row>
    <row r="607" spans="1:7" x14ac:dyDescent="0.25">
      <c r="A607" s="17">
        <f t="shared" si="45"/>
        <v>81</v>
      </c>
      <c r="B607" t="str">
        <f ca="1">TEXT(DATE(YEAR(Invoer!$A$5),1,1)+INT((ROWS(B$2:B607)-1)/3),"jjjjmmdd")</f>
        <v>19400720</v>
      </c>
      <c r="C607" s="35" t="str">
        <f>INDEX(Data,2,2+MOD(ROWS(C$2:C607)-1,3))</f>
        <v>19.45</v>
      </c>
      <c r="D607" s="23">
        <f t="shared" ca="1" si="46"/>
        <v>750</v>
      </c>
      <c r="E607" s="40">
        <f t="shared" ca="1" si="47"/>
        <v>0</v>
      </c>
      <c r="F607" s="23">
        <f t="shared" ca="1" si="48"/>
        <v>28</v>
      </c>
      <c r="G607" s="40">
        <f t="shared" ca="1" si="49"/>
        <v>0</v>
      </c>
    </row>
    <row r="608" spans="1:7" x14ac:dyDescent="0.25">
      <c r="A608" s="17">
        <f t="shared" si="45"/>
        <v>81</v>
      </c>
      <c r="B608" t="str">
        <f ca="1">TEXT(DATE(YEAR(Invoer!$A$5),1,1)+INT((ROWS(B$2:B608)-1)/3),"jjjjmmdd")</f>
        <v>19400721</v>
      </c>
      <c r="C608" s="35" t="str">
        <f>INDEX(Data,2,2+MOD(ROWS(C$2:C608)-1,3))</f>
        <v>07.45</v>
      </c>
      <c r="D608" s="23">
        <f t="shared" ca="1" si="46"/>
        <v>750</v>
      </c>
      <c r="E608" s="40">
        <f t="shared" ca="1" si="47"/>
        <v>0</v>
      </c>
      <c r="F608" s="23">
        <f t="shared" ca="1" si="48"/>
        <v>27</v>
      </c>
      <c r="G608" s="40">
        <f t="shared" ca="1" si="49"/>
        <v>0</v>
      </c>
    </row>
    <row r="609" spans="1:7" x14ac:dyDescent="0.25">
      <c r="A609" s="17">
        <f t="shared" si="45"/>
        <v>81</v>
      </c>
      <c r="B609" t="str">
        <f ca="1">TEXT(DATE(YEAR(Invoer!$A$5),1,1)+INT((ROWS(B$2:B609)-1)/3),"jjjjmmdd")</f>
        <v>19400721</v>
      </c>
      <c r="C609" s="35" t="str">
        <f>INDEX(Data,2,2+MOD(ROWS(C$2:C609)-1,3))</f>
        <v>13.45</v>
      </c>
      <c r="D609" s="23">
        <f t="shared" ca="1" si="46"/>
        <v>750</v>
      </c>
      <c r="E609" s="40">
        <f t="shared" ca="1" si="47"/>
        <v>0</v>
      </c>
      <c r="F609" s="23">
        <f t="shared" ca="1" si="48"/>
        <v>29</v>
      </c>
      <c r="G609" s="40">
        <f t="shared" ca="1" si="49"/>
        <v>0</v>
      </c>
    </row>
    <row r="610" spans="1:7" x14ac:dyDescent="0.25">
      <c r="A610" s="17">
        <f t="shared" si="45"/>
        <v>81</v>
      </c>
      <c r="B610" t="str">
        <f ca="1">TEXT(DATE(YEAR(Invoer!$A$5),1,1)+INT((ROWS(B$2:B610)-1)/3),"jjjjmmdd")</f>
        <v>19400721</v>
      </c>
      <c r="C610" s="35" t="str">
        <f>INDEX(Data,2,2+MOD(ROWS(C$2:C610)-1,3))</f>
        <v>19.45</v>
      </c>
      <c r="D610" s="23">
        <f t="shared" ca="1" si="46"/>
        <v>750</v>
      </c>
      <c r="E610" s="40">
        <f t="shared" ca="1" si="47"/>
        <v>0</v>
      </c>
      <c r="F610" s="23">
        <f t="shared" ca="1" si="48"/>
        <v>28</v>
      </c>
      <c r="G610" s="40">
        <f t="shared" ca="1" si="49"/>
        <v>0</v>
      </c>
    </row>
    <row r="611" spans="1:7" x14ac:dyDescent="0.25">
      <c r="A611" s="17">
        <f t="shared" si="45"/>
        <v>81</v>
      </c>
      <c r="B611" t="str">
        <f ca="1">TEXT(DATE(YEAR(Invoer!$A$5),1,1)+INT((ROWS(B$2:B611)-1)/3),"jjjjmmdd")</f>
        <v>19400722</v>
      </c>
      <c r="C611" s="35" t="str">
        <f>INDEX(Data,2,2+MOD(ROWS(C$2:C611)-1,3))</f>
        <v>07.45</v>
      </c>
      <c r="D611" s="23">
        <f t="shared" ca="1" si="46"/>
        <v>750</v>
      </c>
      <c r="E611" s="40">
        <f t="shared" ca="1" si="47"/>
        <v>0</v>
      </c>
      <c r="F611" s="23">
        <f t="shared" ca="1" si="48"/>
        <v>28</v>
      </c>
      <c r="G611" s="40">
        <f t="shared" ca="1" si="49"/>
        <v>0</v>
      </c>
    </row>
    <row r="612" spans="1:7" x14ac:dyDescent="0.25">
      <c r="A612" s="17">
        <f t="shared" si="45"/>
        <v>81</v>
      </c>
      <c r="B612" t="str">
        <f ca="1">TEXT(DATE(YEAR(Invoer!$A$5),1,1)+INT((ROWS(B$2:B612)-1)/3),"jjjjmmdd")</f>
        <v>19400722</v>
      </c>
      <c r="C612" s="35" t="str">
        <f>INDEX(Data,2,2+MOD(ROWS(C$2:C612)-1,3))</f>
        <v>13.45</v>
      </c>
      <c r="D612" s="23">
        <f t="shared" ca="1" si="46"/>
        <v>750</v>
      </c>
      <c r="E612" s="40">
        <f t="shared" ca="1" si="47"/>
        <v>0</v>
      </c>
      <c r="F612" s="23">
        <f t="shared" ca="1" si="48"/>
        <v>29</v>
      </c>
      <c r="G612" s="40">
        <f t="shared" ca="1" si="49"/>
        <v>0</v>
      </c>
    </row>
    <row r="613" spans="1:7" x14ac:dyDescent="0.25">
      <c r="A613" s="17">
        <f t="shared" si="45"/>
        <v>81</v>
      </c>
      <c r="B613" t="str">
        <f ca="1">TEXT(DATE(YEAR(Invoer!$A$5),1,1)+INT((ROWS(B$2:B613)-1)/3),"jjjjmmdd")</f>
        <v>19400722</v>
      </c>
      <c r="C613" s="35" t="str">
        <f>INDEX(Data,2,2+MOD(ROWS(C$2:C613)-1,3))</f>
        <v>19.45</v>
      </c>
      <c r="D613" s="23">
        <f t="shared" ca="1" si="46"/>
        <v>750</v>
      </c>
      <c r="E613" s="40">
        <f t="shared" ca="1" si="47"/>
        <v>0</v>
      </c>
      <c r="F613" s="23">
        <f t="shared" ca="1" si="48"/>
        <v>28</v>
      </c>
      <c r="G613" s="40">
        <f t="shared" ca="1" si="49"/>
        <v>0</v>
      </c>
    </row>
    <row r="614" spans="1:7" x14ac:dyDescent="0.25">
      <c r="A614" s="17">
        <f t="shared" si="45"/>
        <v>81</v>
      </c>
      <c r="B614" t="str">
        <f ca="1">TEXT(DATE(YEAR(Invoer!$A$5),1,1)+INT((ROWS(B$2:B614)-1)/3),"jjjjmmdd")</f>
        <v>19400723</v>
      </c>
      <c r="C614" s="35" t="str">
        <f>INDEX(Data,2,2+MOD(ROWS(C$2:C614)-1,3))</f>
        <v>07.45</v>
      </c>
      <c r="D614" s="23">
        <f t="shared" ca="1" si="46"/>
        <v>750</v>
      </c>
      <c r="E614" s="40">
        <f t="shared" ca="1" si="47"/>
        <v>0</v>
      </c>
      <c r="F614" s="23">
        <f t="shared" ca="1" si="48"/>
        <v>27</v>
      </c>
      <c r="G614" s="40">
        <f t="shared" ca="1" si="49"/>
        <v>0</v>
      </c>
    </row>
    <row r="615" spans="1:7" x14ac:dyDescent="0.25">
      <c r="A615" s="17">
        <f t="shared" si="45"/>
        <v>81</v>
      </c>
      <c r="B615" t="str">
        <f ca="1">TEXT(DATE(YEAR(Invoer!$A$5),1,1)+INT((ROWS(B$2:B615)-1)/3),"jjjjmmdd")</f>
        <v>19400723</v>
      </c>
      <c r="C615" s="35" t="str">
        <f>INDEX(Data,2,2+MOD(ROWS(C$2:C615)-1,3))</f>
        <v>13.45</v>
      </c>
      <c r="D615" s="23">
        <f t="shared" ca="1" si="46"/>
        <v>750</v>
      </c>
      <c r="E615" s="40">
        <f t="shared" ca="1" si="47"/>
        <v>0</v>
      </c>
      <c r="F615" s="23">
        <f t="shared" ca="1" si="48"/>
        <v>29</v>
      </c>
      <c r="G615" s="40">
        <f t="shared" ca="1" si="49"/>
        <v>0</v>
      </c>
    </row>
    <row r="616" spans="1:7" x14ac:dyDescent="0.25">
      <c r="A616" s="17">
        <f t="shared" si="45"/>
        <v>81</v>
      </c>
      <c r="B616" t="str">
        <f ca="1">TEXT(DATE(YEAR(Invoer!$A$5),1,1)+INT((ROWS(B$2:B616)-1)/3),"jjjjmmdd")</f>
        <v>19400723</v>
      </c>
      <c r="C616" s="35" t="str">
        <f>INDEX(Data,2,2+MOD(ROWS(C$2:C616)-1,3))</f>
        <v>19.45</v>
      </c>
      <c r="D616" s="23">
        <f t="shared" ca="1" si="46"/>
        <v>750</v>
      </c>
      <c r="E616" s="40">
        <f t="shared" ca="1" si="47"/>
        <v>0</v>
      </c>
      <c r="F616" s="23">
        <f t="shared" ca="1" si="48"/>
        <v>28</v>
      </c>
      <c r="G616" s="40">
        <f t="shared" ca="1" si="49"/>
        <v>0</v>
      </c>
    </row>
    <row r="617" spans="1:7" x14ac:dyDescent="0.25">
      <c r="A617" s="17">
        <f t="shared" si="45"/>
        <v>81</v>
      </c>
      <c r="B617" t="str">
        <f ca="1">TEXT(DATE(YEAR(Invoer!$A$5),1,1)+INT((ROWS(B$2:B617)-1)/3),"jjjjmmdd")</f>
        <v>19400724</v>
      </c>
      <c r="C617" s="35" t="str">
        <f>INDEX(Data,2,2+MOD(ROWS(C$2:C617)-1,3))</f>
        <v>07.45</v>
      </c>
      <c r="D617" s="23">
        <f t="shared" ca="1" si="46"/>
        <v>750</v>
      </c>
      <c r="E617" s="40">
        <f t="shared" ca="1" si="47"/>
        <v>0</v>
      </c>
      <c r="F617" s="23">
        <f t="shared" ca="1" si="48"/>
        <v>27</v>
      </c>
      <c r="G617" s="40">
        <f t="shared" ca="1" si="49"/>
        <v>0</v>
      </c>
    </row>
    <row r="618" spans="1:7" x14ac:dyDescent="0.25">
      <c r="A618" s="17">
        <f t="shared" si="45"/>
        <v>81</v>
      </c>
      <c r="B618" t="str">
        <f ca="1">TEXT(DATE(YEAR(Invoer!$A$5),1,1)+INT((ROWS(B$2:B618)-1)/3),"jjjjmmdd")</f>
        <v>19400724</v>
      </c>
      <c r="C618" s="35" t="str">
        <f>INDEX(Data,2,2+MOD(ROWS(C$2:C618)-1,3))</f>
        <v>13.45</v>
      </c>
      <c r="D618" s="23">
        <f t="shared" ca="1" si="46"/>
        <v>750</v>
      </c>
      <c r="E618" s="40">
        <f t="shared" ca="1" si="47"/>
        <v>0</v>
      </c>
      <c r="F618" s="23">
        <f t="shared" ca="1" si="48"/>
        <v>29</v>
      </c>
      <c r="G618" s="40">
        <f t="shared" ca="1" si="49"/>
        <v>0</v>
      </c>
    </row>
    <row r="619" spans="1:7" x14ac:dyDescent="0.25">
      <c r="A619" s="17">
        <f t="shared" si="45"/>
        <v>81</v>
      </c>
      <c r="B619" t="str">
        <f ca="1">TEXT(DATE(YEAR(Invoer!$A$5),1,1)+INT((ROWS(B$2:B619)-1)/3),"jjjjmmdd")</f>
        <v>19400724</v>
      </c>
      <c r="C619" s="35" t="str">
        <f>INDEX(Data,2,2+MOD(ROWS(C$2:C619)-1,3))</f>
        <v>19.45</v>
      </c>
      <c r="D619" s="23">
        <f t="shared" ca="1" si="46"/>
        <v>750</v>
      </c>
      <c r="E619" s="40">
        <f t="shared" ca="1" si="47"/>
        <v>0</v>
      </c>
      <c r="F619" s="23">
        <f t="shared" ca="1" si="48"/>
        <v>28</v>
      </c>
      <c r="G619" s="40">
        <f t="shared" ca="1" si="49"/>
        <v>0</v>
      </c>
    </row>
    <row r="620" spans="1:7" x14ac:dyDescent="0.25">
      <c r="A620" s="17">
        <f t="shared" si="45"/>
        <v>81</v>
      </c>
      <c r="B620" t="str">
        <f ca="1">TEXT(DATE(YEAR(Invoer!$A$5),1,1)+INT((ROWS(B$2:B620)-1)/3),"jjjjmmdd")</f>
        <v>19400725</v>
      </c>
      <c r="C620" s="35" t="str">
        <f>INDEX(Data,2,2+MOD(ROWS(C$2:C620)-1,3))</f>
        <v>07.45</v>
      </c>
      <c r="D620" s="23">
        <f t="shared" ca="1" si="46"/>
        <v>750</v>
      </c>
      <c r="E620" s="40">
        <f t="shared" ca="1" si="47"/>
        <v>0</v>
      </c>
      <c r="F620" s="23">
        <f t="shared" ca="1" si="48"/>
        <v>27</v>
      </c>
      <c r="G620" s="40">
        <f t="shared" ca="1" si="49"/>
        <v>0</v>
      </c>
    </row>
    <row r="621" spans="1:7" x14ac:dyDescent="0.25">
      <c r="A621" s="17">
        <f t="shared" si="45"/>
        <v>81</v>
      </c>
      <c r="B621" t="str">
        <f ca="1">TEXT(DATE(YEAR(Invoer!$A$5),1,1)+INT((ROWS(B$2:B621)-1)/3),"jjjjmmdd")</f>
        <v>19400725</v>
      </c>
      <c r="C621" s="35" t="str">
        <f>INDEX(Data,2,2+MOD(ROWS(C$2:C621)-1,3))</f>
        <v>13.45</v>
      </c>
      <c r="D621" s="23">
        <f t="shared" ca="1" si="46"/>
        <v>750</v>
      </c>
      <c r="E621" s="40">
        <f t="shared" ca="1" si="47"/>
        <v>0</v>
      </c>
      <c r="F621" s="23">
        <f t="shared" ca="1" si="48"/>
        <v>29</v>
      </c>
      <c r="G621" s="40">
        <f t="shared" ca="1" si="49"/>
        <v>0</v>
      </c>
    </row>
    <row r="622" spans="1:7" x14ac:dyDescent="0.25">
      <c r="A622" s="17">
        <f t="shared" si="45"/>
        <v>81</v>
      </c>
      <c r="B622" t="str">
        <f ca="1">TEXT(DATE(YEAR(Invoer!$A$5),1,1)+INT((ROWS(B$2:B622)-1)/3),"jjjjmmdd")</f>
        <v>19400725</v>
      </c>
      <c r="C622" s="35" t="str">
        <f>INDEX(Data,2,2+MOD(ROWS(C$2:C622)-1,3))</f>
        <v>19.45</v>
      </c>
      <c r="D622" s="23">
        <f t="shared" ca="1" si="46"/>
        <v>750</v>
      </c>
      <c r="E622" s="40">
        <f t="shared" ca="1" si="47"/>
        <v>0</v>
      </c>
      <c r="F622" s="23">
        <f t="shared" ca="1" si="48"/>
        <v>28</v>
      </c>
      <c r="G622" s="40">
        <f t="shared" ca="1" si="49"/>
        <v>0</v>
      </c>
    </row>
    <row r="623" spans="1:7" x14ac:dyDescent="0.25">
      <c r="A623" s="17">
        <f t="shared" si="45"/>
        <v>81</v>
      </c>
      <c r="B623" t="str">
        <f ca="1">TEXT(DATE(YEAR(Invoer!$A$5),1,1)+INT((ROWS(B$2:B623)-1)/3),"jjjjmmdd")</f>
        <v>19400726</v>
      </c>
      <c r="C623" s="35" t="str">
        <f>INDEX(Data,2,2+MOD(ROWS(C$2:C623)-1,3))</f>
        <v>07.45</v>
      </c>
      <c r="D623" s="23">
        <f t="shared" ca="1" si="46"/>
        <v>750</v>
      </c>
      <c r="E623" s="40">
        <f t="shared" ca="1" si="47"/>
        <v>0</v>
      </c>
      <c r="F623" s="23">
        <f t="shared" ca="1" si="48"/>
        <v>27</v>
      </c>
      <c r="G623" s="40">
        <f t="shared" ca="1" si="49"/>
        <v>0</v>
      </c>
    </row>
    <row r="624" spans="1:7" x14ac:dyDescent="0.25">
      <c r="A624" s="17">
        <f t="shared" si="45"/>
        <v>81</v>
      </c>
      <c r="B624" t="str">
        <f ca="1">TEXT(DATE(YEAR(Invoer!$A$5),1,1)+INT((ROWS(B$2:B624)-1)/3),"jjjjmmdd")</f>
        <v>19400726</v>
      </c>
      <c r="C624" s="35" t="str">
        <f>INDEX(Data,2,2+MOD(ROWS(C$2:C624)-1,3))</f>
        <v>13.45</v>
      </c>
      <c r="D624" s="23">
        <f t="shared" ca="1" si="46"/>
        <v>750</v>
      </c>
      <c r="E624" s="40">
        <f t="shared" ca="1" si="47"/>
        <v>0</v>
      </c>
      <c r="F624" s="23">
        <f t="shared" ca="1" si="48"/>
        <v>29</v>
      </c>
      <c r="G624" s="40">
        <f t="shared" ca="1" si="49"/>
        <v>0</v>
      </c>
    </row>
    <row r="625" spans="1:7" x14ac:dyDescent="0.25">
      <c r="A625" s="17">
        <f t="shared" si="45"/>
        <v>81</v>
      </c>
      <c r="B625" t="str">
        <f ca="1">TEXT(DATE(YEAR(Invoer!$A$5),1,1)+INT((ROWS(B$2:B625)-1)/3),"jjjjmmdd")</f>
        <v>19400726</v>
      </c>
      <c r="C625" s="35" t="str">
        <f>INDEX(Data,2,2+MOD(ROWS(C$2:C625)-1,3))</f>
        <v>19.45</v>
      </c>
      <c r="D625" s="23">
        <f t="shared" ca="1" si="46"/>
        <v>750</v>
      </c>
      <c r="E625" s="40">
        <f t="shared" ca="1" si="47"/>
        <v>0</v>
      </c>
      <c r="F625" s="23">
        <f t="shared" ca="1" si="48"/>
        <v>28</v>
      </c>
      <c r="G625" s="40">
        <f t="shared" ca="1" si="49"/>
        <v>0</v>
      </c>
    </row>
    <row r="626" spans="1:7" x14ac:dyDescent="0.25">
      <c r="A626" s="17">
        <f t="shared" si="45"/>
        <v>81</v>
      </c>
      <c r="B626" t="str">
        <f ca="1">TEXT(DATE(YEAR(Invoer!$A$5),1,1)+INT((ROWS(B$2:B626)-1)/3),"jjjjmmdd")</f>
        <v>19400727</v>
      </c>
      <c r="C626" s="35" t="str">
        <f>INDEX(Data,2,2+MOD(ROWS(C$2:C626)-1,3))</f>
        <v>07.45</v>
      </c>
      <c r="D626" s="23">
        <f t="shared" ca="1" si="46"/>
        <v>750</v>
      </c>
      <c r="E626" s="40">
        <f t="shared" ca="1" si="47"/>
        <v>0</v>
      </c>
      <c r="F626" s="23">
        <f t="shared" ca="1" si="48"/>
        <v>28</v>
      </c>
      <c r="G626" s="40">
        <f t="shared" ca="1" si="49"/>
        <v>0</v>
      </c>
    </row>
    <row r="627" spans="1:7" x14ac:dyDescent="0.25">
      <c r="A627" s="17">
        <f t="shared" si="45"/>
        <v>81</v>
      </c>
      <c r="B627" t="str">
        <f ca="1">TEXT(DATE(YEAR(Invoer!$A$5),1,1)+INT((ROWS(B$2:B627)-1)/3),"jjjjmmdd")</f>
        <v>19400727</v>
      </c>
      <c r="C627" s="35" t="str">
        <f>INDEX(Data,2,2+MOD(ROWS(C$2:C627)-1,3))</f>
        <v>13.45</v>
      </c>
      <c r="D627" s="23">
        <f t="shared" ca="1" si="46"/>
        <v>750</v>
      </c>
      <c r="E627" s="40">
        <f t="shared" ca="1" si="47"/>
        <v>0</v>
      </c>
      <c r="F627" s="23">
        <f t="shared" ca="1" si="48"/>
        <v>30</v>
      </c>
      <c r="G627" s="40">
        <f t="shared" ca="1" si="49"/>
        <v>0</v>
      </c>
    </row>
    <row r="628" spans="1:7" x14ac:dyDescent="0.25">
      <c r="A628" s="17">
        <f t="shared" si="45"/>
        <v>81</v>
      </c>
      <c r="B628" t="str">
        <f ca="1">TEXT(DATE(YEAR(Invoer!$A$5),1,1)+INT((ROWS(B$2:B628)-1)/3),"jjjjmmdd")</f>
        <v>19400727</v>
      </c>
      <c r="C628" s="35" t="str">
        <f>INDEX(Data,2,2+MOD(ROWS(C$2:C628)-1,3))</f>
        <v>19.45</v>
      </c>
      <c r="D628" s="23">
        <f t="shared" ca="1" si="46"/>
        <v>749</v>
      </c>
      <c r="E628" s="40">
        <f t="shared" ca="1" si="47"/>
        <v>0</v>
      </c>
      <c r="F628" s="23">
        <f t="shared" ca="1" si="48"/>
        <v>29</v>
      </c>
      <c r="G628" s="40">
        <f t="shared" ca="1" si="49"/>
        <v>0</v>
      </c>
    </row>
    <row r="629" spans="1:7" x14ac:dyDescent="0.25">
      <c r="A629" s="17">
        <f t="shared" si="45"/>
        <v>81</v>
      </c>
      <c r="B629" t="str">
        <f ca="1">TEXT(DATE(YEAR(Invoer!$A$5),1,1)+INT((ROWS(B$2:B629)-1)/3),"jjjjmmdd")</f>
        <v>19400728</v>
      </c>
      <c r="C629" s="35" t="str">
        <f>INDEX(Data,2,2+MOD(ROWS(C$2:C629)-1,3))</f>
        <v>07.45</v>
      </c>
      <c r="D629" s="23">
        <f t="shared" ca="1" si="46"/>
        <v>750</v>
      </c>
      <c r="E629" s="40">
        <f t="shared" ca="1" si="47"/>
        <v>0</v>
      </c>
      <c r="F629" s="23">
        <f t="shared" ca="1" si="48"/>
        <v>28</v>
      </c>
      <c r="G629" s="40">
        <f t="shared" ca="1" si="49"/>
        <v>0</v>
      </c>
    </row>
    <row r="630" spans="1:7" x14ac:dyDescent="0.25">
      <c r="A630" s="17">
        <f t="shared" si="45"/>
        <v>81</v>
      </c>
      <c r="B630" t="str">
        <f ca="1">TEXT(DATE(YEAR(Invoer!$A$5),1,1)+INT((ROWS(B$2:B630)-1)/3),"jjjjmmdd")</f>
        <v>19400728</v>
      </c>
      <c r="C630" s="35" t="str">
        <f>INDEX(Data,2,2+MOD(ROWS(C$2:C630)-1,3))</f>
        <v>13.45</v>
      </c>
      <c r="D630" s="23">
        <f t="shared" ca="1" si="46"/>
        <v>750</v>
      </c>
      <c r="E630" s="40">
        <f t="shared" ca="1" si="47"/>
        <v>0</v>
      </c>
      <c r="F630" s="23">
        <f t="shared" ca="1" si="48"/>
        <v>30</v>
      </c>
      <c r="G630" s="40">
        <f t="shared" ca="1" si="49"/>
        <v>0</v>
      </c>
    </row>
    <row r="631" spans="1:7" x14ac:dyDescent="0.25">
      <c r="A631" s="17">
        <f t="shared" si="45"/>
        <v>81</v>
      </c>
      <c r="B631" t="str">
        <f ca="1">TEXT(DATE(YEAR(Invoer!$A$5),1,1)+INT((ROWS(B$2:B631)-1)/3),"jjjjmmdd")</f>
        <v>19400728</v>
      </c>
      <c r="C631" s="35" t="str">
        <f>INDEX(Data,2,2+MOD(ROWS(C$2:C631)-1,3))</f>
        <v>19.45</v>
      </c>
      <c r="D631" s="23">
        <f t="shared" ca="1" si="46"/>
        <v>751</v>
      </c>
      <c r="E631" s="40">
        <f t="shared" ca="1" si="47"/>
        <v>0</v>
      </c>
      <c r="F631" s="23">
        <f t="shared" ca="1" si="48"/>
        <v>29</v>
      </c>
      <c r="G631" s="40">
        <f t="shared" ca="1" si="49"/>
        <v>0</v>
      </c>
    </row>
    <row r="632" spans="1:7" x14ac:dyDescent="0.25">
      <c r="A632" s="17">
        <f t="shared" si="45"/>
        <v>81</v>
      </c>
      <c r="B632" t="str">
        <f ca="1">TEXT(DATE(YEAR(Invoer!$A$5),1,1)+INT((ROWS(B$2:B632)-1)/3),"jjjjmmdd")</f>
        <v>19400729</v>
      </c>
      <c r="C632" s="35" t="str">
        <f>INDEX(Data,2,2+MOD(ROWS(C$2:C632)-1,3))</f>
        <v>07.45</v>
      </c>
      <c r="D632" s="23">
        <f t="shared" ca="1" si="46"/>
        <v>751</v>
      </c>
      <c r="E632" s="40">
        <f t="shared" ca="1" si="47"/>
        <v>0</v>
      </c>
      <c r="F632" s="23">
        <f t="shared" ca="1" si="48"/>
        <v>28</v>
      </c>
      <c r="G632" s="40">
        <f t="shared" ca="1" si="49"/>
        <v>0</v>
      </c>
    </row>
    <row r="633" spans="1:7" x14ac:dyDescent="0.25">
      <c r="A633" s="17">
        <f t="shared" si="45"/>
        <v>81</v>
      </c>
      <c r="B633" t="str">
        <f ca="1">TEXT(DATE(YEAR(Invoer!$A$5),1,1)+INT((ROWS(B$2:B633)-1)/3),"jjjjmmdd")</f>
        <v>19400729</v>
      </c>
      <c r="C633" s="35" t="str">
        <f>INDEX(Data,2,2+MOD(ROWS(C$2:C633)-1,3))</f>
        <v>13.45</v>
      </c>
      <c r="D633" s="23">
        <f t="shared" ca="1" si="46"/>
        <v>750</v>
      </c>
      <c r="E633" s="40">
        <f t="shared" ca="1" si="47"/>
        <v>0</v>
      </c>
      <c r="F633" s="23">
        <f t="shared" ca="1" si="48"/>
        <v>31</v>
      </c>
      <c r="G633" s="40">
        <f t="shared" ca="1" si="49"/>
        <v>0</v>
      </c>
    </row>
    <row r="634" spans="1:7" x14ac:dyDescent="0.25">
      <c r="A634" s="17">
        <f t="shared" si="45"/>
        <v>81</v>
      </c>
      <c r="B634" t="str">
        <f ca="1">TEXT(DATE(YEAR(Invoer!$A$5),1,1)+INT((ROWS(B$2:B634)-1)/3),"jjjjmmdd")</f>
        <v>19400729</v>
      </c>
      <c r="C634" s="35" t="str">
        <f>INDEX(Data,2,2+MOD(ROWS(C$2:C634)-1,3))</f>
        <v>19.45</v>
      </c>
      <c r="D634" s="23">
        <f t="shared" ca="1" si="46"/>
        <v>750</v>
      </c>
      <c r="E634" s="40">
        <f t="shared" ca="1" si="47"/>
        <v>0</v>
      </c>
      <c r="F634" s="23">
        <f t="shared" ca="1" si="48"/>
        <v>29</v>
      </c>
      <c r="G634" s="40">
        <f t="shared" ca="1" si="49"/>
        <v>0</v>
      </c>
    </row>
    <row r="635" spans="1:7" x14ac:dyDescent="0.25">
      <c r="A635" s="17">
        <f t="shared" si="45"/>
        <v>81</v>
      </c>
      <c r="B635" t="str">
        <f ca="1">TEXT(DATE(YEAR(Invoer!$A$5),1,1)+INT((ROWS(B$2:B635)-1)/3),"jjjjmmdd")</f>
        <v>19400730</v>
      </c>
      <c r="C635" s="35" t="str">
        <f>INDEX(Data,2,2+MOD(ROWS(C$2:C635)-1,3))</f>
        <v>07.45</v>
      </c>
      <c r="D635" s="23">
        <f t="shared" ca="1" si="46"/>
        <v>750</v>
      </c>
      <c r="E635" s="40">
        <f t="shared" ca="1" si="47"/>
        <v>0</v>
      </c>
      <c r="F635" s="23">
        <f t="shared" ca="1" si="48"/>
        <v>28</v>
      </c>
      <c r="G635" s="40">
        <f t="shared" ca="1" si="49"/>
        <v>0</v>
      </c>
    </row>
    <row r="636" spans="1:7" x14ac:dyDescent="0.25">
      <c r="A636" s="17">
        <f t="shared" si="45"/>
        <v>81</v>
      </c>
      <c r="B636" t="str">
        <f ca="1">TEXT(DATE(YEAR(Invoer!$A$5),1,1)+INT((ROWS(B$2:B636)-1)/3),"jjjjmmdd")</f>
        <v>19400730</v>
      </c>
      <c r="C636" s="35" t="str">
        <f>INDEX(Data,2,2+MOD(ROWS(C$2:C636)-1,3))</f>
        <v>13.45</v>
      </c>
      <c r="D636" s="23">
        <f t="shared" ca="1" si="46"/>
        <v>750</v>
      </c>
      <c r="E636" s="40">
        <f t="shared" ca="1" si="47"/>
        <v>0</v>
      </c>
      <c r="F636" s="23">
        <f t="shared" ca="1" si="48"/>
        <v>31</v>
      </c>
      <c r="G636" s="40">
        <f t="shared" ca="1" si="49"/>
        <v>0</v>
      </c>
    </row>
    <row r="637" spans="1:7" x14ac:dyDescent="0.25">
      <c r="A637" s="17">
        <f t="shared" si="45"/>
        <v>81</v>
      </c>
      <c r="B637" t="str">
        <f ca="1">TEXT(DATE(YEAR(Invoer!$A$5),1,1)+INT((ROWS(B$2:B637)-1)/3),"jjjjmmdd")</f>
        <v>19400730</v>
      </c>
      <c r="C637" s="35" t="str">
        <f>INDEX(Data,2,2+MOD(ROWS(C$2:C637)-1,3))</f>
        <v>19.45</v>
      </c>
      <c r="D637" s="23">
        <f t="shared" ca="1" si="46"/>
        <v>750</v>
      </c>
      <c r="E637" s="40">
        <f t="shared" ca="1" si="47"/>
        <v>0</v>
      </c>
      <c r="F637" s="23">
        <f t="shared" ca="1" si="48"/>
        <v>29</v>
      </c>
      <c r="G637" s="40">
        <f t="shared" ca="1" si="49"/>
        <v>0</v>
      </c>
    </row>
    <row r="638" spans="1:7" x14ac:dyDescent="0.25">
      <c r="A638" s="17">
        <f t="shared" si="45"/>
        <v>81</v>
      </c>
      <c r="B638" t="str">
        <f ca="1">TEXT(DATE(YEAR(Invoer!$A$5),1,1)+INT((ROWS(B$2:B638)-1)/3),"jjjjmmdd")</f>
        <v>19400731</v>
      </c>
      <c r="C638" s="35" t="str">
        <f>INDEX(Data,2,2+MOD(ROWS(C$2:C638)-1,3))</f>
        <v>07.45</v>
      </c>
      <c r="D638" s="23">
        <f t="shared" ca="1" si="46"/>
        <v>750</v>
      </c>
      <c r="E638" s="40">
        <f t="shared" ca="1" si="47"/>
        <v>0</v>
      </c>
      <c r="F638" s="23">
        <f t="shared" ca="1" si="48"/>
        <v>27</v>
      </c>
      <c r="G638" s="40">
        <f t="shared" ca="1" si="49"/>
        <v>0</v>
      </c>
    </row>
    <row r="639" spans="1:7" x14ac:dyDescent="0.25">
      <c r="A639" s="17">
        <f t="shared" si="45"/>
        <v>81</v>
      </c>
      <c r="B639" t="str">
        <f ca="1">TEXT(DATE(YEAR(Invoer!$A$5),1,1)+INT((ROWS(B$2:B639)-1)/3),"jjjjmmdd")</f>
        <v>19400731</v>
      </c>
      <c r="C639" s="35" t="str">
        <f>INDEX(Data,2,2+MOD(ROWS(C$2:C639)-1,3))</f>
        <v>13.45</v>
      </c>
      <c r="D639" s="23">
        <f t="shared" ca="1" si="46"/>
        <v>750</v>
      </c>
      <c r="E639" s="40">
        <f t="shared" ca="1" si="47"/>
        <v>0</v>
      </c>
      <c r="F639" s="23">
        <f t="shared" ca="1" si="48"/>
        <v>30</v>
      </c>
      <c r="G639" s="40">
        <f t="shared" ca="1" si="49"/>
        <v>0</v>
      </c>
    </row>
    <row r="640" spans="1:7" x14ac:dyDescent="0.25">
      <c r="A640" s="17">
        <f t="shared" si="45"/>
        <v>81</v>
      </c>
      <c r="B640" t="str">
        <f ca="1">TEXT(DATE(YEAR(Invoer!$A$5),1,1)+INT((ROWS(B$2:B640)-1)/3),"jjjjmmdd")</f>
        <v>19400731</v>
      </c>
      <c r="C640" s="35" t="str">
        <f>INDEX(Data,2,2+MOD(ROWS(C$2:C640)-1,3))</f>
        <v>19.45</v>
      </c>
      <c r="D640" s="23">
        <f t="shared" ca="1" si="46"/>
        <v>749</v>
      </c>
      <c r="E640" s="40">
        <f t="shared" ca="1" si="47"/>
        <v>0</v>
      </c>
      <c r="F640" s="23">
        <f t="shared" ca="1" si="48"/>
        <v>29</v>
      </c>
      <c r="G640" s="40">
        <f t="shared" ca="1" si="49"/>
        <v>0</v>
      </c>
    </row>
    <row r="641" spans="1:7" x14ac:dyDescent="0.25">
      <c r="A641" s="17">
        <f t="shared" si="45"/>
        <v>81</v>
      </c>
      <c r="B641" t="str">
        <f ca="1">TEXT(DATE(YEAR(Invoer!$A$5),1,1)+INT((ROWS(B$2:B641)-1)/3),"jjjjmmdd")</f>
        <v>19400801</v>
      </c>
      <c r="C641" s="35" t="str">
        <f>INDEX(Data,2,2+MOD(ROWS(C$2:C641)-1,3))</f>
        <v>07.45</v>
      </c>
      <c r="D641" s="23">
        <f t="shared" ca="1" si="46"/>
        <v>750</v>
      </c>
      <c r="E641" s="40">
        <f t="shared" ca="1" si="47"/>
        <v>0</v>
      </c>
      <c r="F641" s="23">
        <f t="shared" ca="1" si="48"/>
        <v>28</v>
      </c>
      <c r="G641" s="40">
        <f t="shared" ca="1" si="49"/>
        <v>0</v>
      </c>
    </row>
    <row r="642" spans="1:7" x14ac:dyDescent="0.25">
      <c r="A642" s="17">
        <f t="shared" ref="A642:A705" si="50">INDEX(Stations,2,1)</f>
        <v>81</v>
      </c>
      <c r="B642" t="str">
        <f ca="1">TEXT(DATE(YEAR(Invoer!$A$5),1,1)+INT((ROWS(B$2:B642)-1)/3),"jjjjmmdd")</f>
        <v>19400801</v>
      </c>
      <c r="C642" s="35" t="str">
        <f>INDEX(Data,2,2+MOD(ROWS(C$2:C642)-1,3))</f>
        <v>13.45</v>
      </c>
      <c r="D642" s="23">
        <f t="shared" ref="D642:D705" ca="1" si="51">IF(OR(ISBLANK(VLOOKUP(DATEVALUE(LEFT($B642,4)&amp;"-"&amp;MID($B642,5,2)&amp;"-"&amp;RIGHT($B642,2)),Data,MATCH(LEFT(VLOOKUP(D$1,Parameters,2,FALSE()),4)&amp;"*",OFFSET(Data,0,0,1),0)+MATCH($C642,OFFSET(Data,1,0,1),0)-2,FALSE())),ISTEXT(VLOOKUP(DATEVALUE(LEFT($B642,4)&amp;"-"&amp;MID($B642,5,2)&amp;"-"&amp;RIGHT($B642,2)),Data,MATCH(LEFT(VLOOKUP(D$1,Parameters,2,FALSE()),4)&amp;"*",OFFSET(Data,0,0,1),0)+MATCH($C642,OFFSET(Data,1,0,1),0)-2,FALSE()))),"—",VLOOKUP(DATEVALUE(LEFT($B642,4)&amp;"-"&amp;MID($B642,5,2)&amp;"-"&amp;RIGHT($B642,2)),Data,MATCH(LEFT(VLOOKUP(D$1,Parameters,2,FALSE()),4)&amp;"*",OFFSET(Data,0,0,1),0)+MATCH($C642,OFFSET(Data,1,0,1),0)-2,FALSE()))</f>
        <v>750</v>
      </c>
      <c r="E642" s="40">
        <f t="shared" ref="E642:E705" ca="1" si="52">IF(OR(ISBLANK(VLOOKUP(DATEVALUE(LEFT($B642,4)&amp;"-"&amp;MID($B642,5,2)&amp;"-"&amp;RIGHT($B642,2)),Data,MATCH(LEFT(VLOOKUP(MID(E$1,2,LEN(E$1)-1),Parameters,2,FALSE()),4)&amp;"*",OFFSET(Data,0,0,1),0)+MATCH($C642,OFFSET(Data,1,0,1),0)-2,FALSE())),ISTEXT(VLOOKUP(DATEVALUE(LEFT($B642,4)&amp;"-"&amp;MID($B642,5,2)&amp;"-"&amp;RIGHT($B642,2)),Data,MATCH(LEFT(VLOOKUP(MID(E$1,2,LEN(E$1)-1),Parameters,2,FALSE()),4)&amp;"*",OFFSET(Data,0,0,1),0)+MATCH($C642,OFFSET(Data,1,0,1),0)-2,FALSE()))),Lacking,IF(ISNA(MATCH(DATEVALUE(LEFT($B642,4)&amp;"-"&amp;MID($B642,5,2)&amp;"-"&amp;RIGHT($B642,2)),OFFSET(Catalogus,0,0,,1),0)),Ok,VLOOKUP(DATEVALUE(LEFT($B642,4)&amp;"-"&amp;MID($B642,5,2)&amp;"-"&amp;RIGHT($B642,2)),Catalogus,MATCH(LEFT(VLOOKUP(MID(E$1,2,LEN(E$1)-1),Parameters,2,FALSE()),4)&amp;"*",OFFSET(Catalogus,0,0,1),0)+MATCH($C642,OFFSET(Catalogus,1,0,1),0)-2,FALSE())))</f>
        <v>0</v>
      </c>
      <c r="F642" s="23">
        <f t="shared" ref="F642:F705" ca="1" si="53">IF(OR(ISBLANK(VLOOKUP(DATEVALUE(LEFT($B642,4)&amp;"-"&amp;MID($B642,5,2)&amp;"-"&amp;RIGHT($B642,2)),Data,MATCH(LEFT(VLOOKUP(F$1,Parameters,2,FALSE()),4)&amp;"*",OFFSET(Data,0,0,1),0)+MATCH($C642,OFFSET(Data,1,0,1),0)-2,FALSE())),ISTEXT(VLOOKUP(DATEVALUE(LEFT($B642,4)&amp;"-"&amp;MID($B642,5,2)&amp;"-"&amp;RIGHT($B642,2)),Data,MATCH(LEFT(VLOOKUP(F$1,Parameters,2,FALSE()),4)&amp;"*",OFFSET(Data,0,0,1),0)+MATCH($C642,OFFSET(Data,1,0,1),0)-2,FALSE()))),"—",VLOOKUP(DATEVALUE(LEFT($B642,4)&amp;"-"&amp;MID($B642,5,2)&amp;"-"&amp;RIGHT($B642,2)),Data,MATCH(LEFT(VLOOKUP(F$1,Parameters,2,FALSE()),4)&amp;"*",OFFSET(Data,0,0,1),0)+MATCH($C642,OFFSET(Data,1,0,1),0)-2,FALSE()))</f>
        <v>30</v>
      </c>
      <c r="G642" s="40">
        <f t="shared" ref="G642:G705" ca="1" si="54">IF(OR(ISBLANK(VLOOKUP(DATEVALUE(LEFT($B642,4)&amp;"-"&amp;MID($B642,5,2)&amp;"-"&amp;RIGHT($B642,2)),Data,MATCH(LEFT(VLOOKUP(MID(G$1,2,LEN(G$1)-1),Parameters,2,FALSE()),4)&amp;"*",OFFSET(Data,0,0,1),0)+MATCH($C642,OFFSET(Data,1,0,1),0)-2,FALSE())),ISTEXT(VLOOKUP(DATEVALUE(LEFT($B642,4)&amp;"-"&amp;MID($B642,5,2)&amp;"-"&amp;RIGHT($B642,2)),Data,MATCH(LEFT(VLOOKUP(MID(G$1,2,LEN(G$1)-1),Parameters,2,FALSE()),4)&amp;"*",OFFSET(Data,0,0,1),0)+MATCH($C642,OFFSET(Data,1,0,1),0)-2,FALSE()))),Lacking,IF(ISNA(MATCH(DATEVALUE(LEFT($B642,4)&amp;"-"&amp;MID($B642,5,2)&amp;"-"&amp;RIGHT($B642,2)),OFFSET(Catalogus,0,0,,1),0)),Ok,VLOOKUP(DATEVALUE(LEFT($B642,4)&amp;"-"&amp;MID($B642,5,2)&amp;"-"&amp;RIGHT($B642,2)),Catalogus,MATCH(LEFT(VLOOKUP(MID(G$1,2,LEN(G$1)-1),Parameters,2,FALSE()),4)&amp;"*",OFFSET(Catalogus,0,0,1),0)+MATCH($C642,OFFSET(Catalogus,1,0,1),0)-2,FALSE())))</f>
        <v>0</v>
      </c>
    </row>
    <row r="643" spans="1:7" x14ac:dyDescent="0.25">
      <c r="A643" s="17">
        <f t="shared" si="50"/>
        <v>81</v>
      </c>
      <c r="B643" t="str">
        <f ca="1">TEXT(DATE(YEAR(Invoer!$A$5),1,1)+INT((ROWS(B$2:B643)-1)/3),"jjjjmmdd")</f>
        <v>19400801</v>
      </c>
      <c r="C643" s="35" t="str">
        <f>INDEX(Data,2,2+MOD(ROWS(C$2:C643)-1,3))</f>
        <v>19.45</v>
      </c>
      <c r="D643" s="23">
        <f t="shared" ca="1" si="51"/>
        <v>750</v>
      </c>
      <c r="E643" s="40">
        <f t="shared" ca="1" si="52"/>
        <v>0</v>
      </c>
      <c r="F643" s="23">
        <f t="shared" ca="1" si="53"/>
        <v>28</v>
      </c>
      <c r="G643" s="40">
        <f t="shared" ca="1" si="54"/>
        <v>0</v>
      </c>
    </row>
    <row r="644" spans="1:7" x14ac:dyDescent="0.25">
      <c r="A644" s="17">
        <f t="shared" si="50"/>
        <v>81</v>
      </c>
      <c r="B644" t="str">
        <f ca="1">TEXT(DATE(YEAR(Invoer!$A$5),1,1)+INT((ROWS(B$2:B644)-1)/3),"jjjjmmdd")</f>
        <v>19400802</v>
      </c>
      <c r="C644" s="35" t="str">
        <f>INDEX(Data,2,2+MOD(ROWS(C$2:C644)-1,3))</f>
        <v>07.45</v>
      </c>
      <c r="D644" s="23">
        <f t="shared" ca="1" si="51"/>
        <v>751</v>
      </c>
      <c r="E644" s="40">
        <f t="shared" ca="1" si="52"/>
        <v>0</v>
      </c>
      <c r="F644" s="23">
        <f t="shared" ca="1" si="53"/>
        <v>28</v>
      </c>
      <c r="G644" s="40">
        <f t="shared" ca="1" si="54"/>
        <v>0</v>
      </c>
    </row>
    <row r="645" spans="1:7" x14ac:dyDescent="0.25">
      <c r="A645" s="17">
        <f t="shared" si="50"/>
        <v>81</v>
      </c>
      <c r="B645" t="str">
        <f ca="1">TEXT(DATE(YEAR(Invoer!$A$5),1,1)+INT((ROWS(B$2:B645)-1)/3),"jjjjmmdd")</f>
        <v>19400802</v>
      </c>
      <c r="C645" s="35" t="str">
        <f>INDEX(Data,2,2+MOD(ROWS(C$2:C645)-1,3))</f>
        <v>13.45</v>
      </c>
      <c r="D645" s="23">
        <f t="shared" ca="1" si="51"/>
        <v>751</v>
      </c>
      <c r="E645" s="40">
        <f t="shared" ca="1" si="52"/>
        <v>0</v>
      </c>
      <c r="F645" s="23">
        <f t="shared" ca="1" si="53"/>
        <v>31</v>
      </c>
      <c r="G645" s="40">
        <f t="shared" ca="1" si="54"/>
        <v>0</v>
      </c>
    </row>
    <row r="646" spans="1:7" x14ac:dyDescent="0.25">
      <c r="A646" s="17">
        <f t="shared" si="50"/>
        <v>81</v>
      </c>
      <c r="B646" t="str">
        <f ca="1">TEXT(DATE(YEAR(Invoer!$A$5),1,1)+INT((ROWS(B$2:B646)-1)/3),"jjjjmmdd")</f>
        <v>19400802</v>
      </c>
      <c r="C646" s="35" t="str">
        <f>INDEX(Data,2,2+MOD(ROWS(C$2:C646)-1,3))</f>
        <v>19.45</v>
      </c>
      <c r="D646" s="23">
        <f t="shared" ca="1" si="51"/>
        <v>751</v>
      </c>
      <c r="E646" s="40">
        <f t="shared" ca="1" si="52"/>
        <v>0</v>
      </c>
      <c r="F646" s="23">
        <f t="shared" ca="1" si="53"/>
        <v>28</v>
      </c>
      <c r="G646" s="40">
        <f t="shared" ca="1" si="54"/>
        <v>0</v>
      </c>
    </row>
    <row r="647" spans="1:7" x14ac:dyDescent="0.25">
      <c r="A647" s="17">
        <f t="shared" si="50"/>
        <v>81</v>
      </c>
      <c r="B647" t="str">
        <f ca="1">TEXT(DATE(YEAR(Invoer!$A$5),1,1)+INT((ROWS(B$2:B647)-1)/3),"jjjjmmdd")</f>
        <v>19400803</v>
      </c>
      <c r="C647" s="35" t="str">
        <f>INDEX(Data,2,2+MOD(ROWS(C$2:C647)-1,3))</f>
        <v>07.45</v>
      </c>
      <c r="D647" s="23">
        <f t="shared" ca="1" si="51"/>
        <v>751</v>
      </c>
      <c r="E647" s="40">
        <f t="shared" ca="1" si="52"/>
        <v>0</v>
      </c>
      <c r="F647" s="23">
        <f t="shared" ca="1" si="53"/>
        <v>28</v>
      </c>
      <c r="G647" s="40">
        <f t="shared" ca="1" si="54"/>
        <v>0</v>
      </c>
    </row>
    <row r="648" spans="1:7" x14ac:dyDescent="0.25">
      <c r="A648" s="17">
        <f t="shared" si="50"/>
        <v>81</v>
      </c>
      <c r="B648" t="str">
        <f ca="1">TEXT(DATE(YEAR(Invoer!$A$5),1,1)+INT((ROWS(B$2:B648)-1)/3),"jjjjmmdd")</f>
        <v>19400803</v>
      </c>
      <c r="C648" s="35" t="str">
        <f>INDEX(Data,2,2+MOD(ROWS(C$2:C648)-1,3))</f>
        <v>13.45</v>
      </c>
      <c r="D648" s="23">
        <f t="shared" ca="1" si="51"/>
        <v>750</v>
      </c>
      <c r="E648" s="40">
        <f t="shared" ca="1" si="52"/>
        <v>0</v>
      </c>
      <c r="F648" s="23">
        <f t="shared" ca="1" si="53"/>
        <v>31</v>
      </c>
      <c r="G648" s="40">
        <f t="shared" ca="1" si="54"/>
        <v>0</v>
      </c>
    </row>
    <row r="649" spans="1:7" x14ac:dyDescent="0.25">
      <c r="A649" s="17">
        <f t="shared" si="50"/>
        <v>81</v>
      </c>
      <c r="B649" t="str">
        <f ca="1">TEXT(DATE(YEAR(Invoer!$A$5),1,1)+INT((ROWS(B$2:B649)-1)/3),"jjjjmmdd")</f>
        <v>19400803</v>
      </c>
      <c r="C649" s="35" t="str">
        <f>INDEX(Data,2,2+MOD(ROWS(C$2:C649)-1,3))</f>
        <v>19.45</v>
      </c>
      <c r="D649" s="23">
        <f t="shared" ca="1" si="51"/>
        <v>751</v>
      </c>
      <c r="E649" s="40">
        <f t="shared" ca="1" si="52"/>
        <v>0</v>
      </c>
      <c r="F649" s="23">
        <f t="shared" ca="1" si="53"/>
        <v>28</v>
      </c>
      <c r="G649" s="40">
        <f t="shared" ca="1" si="54"/>
        <v>0</v>
      </c>
    </row>
    <row r="650" spans="1:7" x14ac:dyDescent="0.25">
      <c r="A650" s="17">
        <f t="shared" si="50"/>
        <v>81</v>
      </c>
      <c r="B650" t="str">
        <f ca="1">TEXT(DATE(YEAR(Invoer!$A$5),1,1)+INT((ROWS(B$2:B650)-1)/3),"jjjjmmdd")</f>
        <v>19400804</v>
      </c>
      <c r="C650" s="35" t="str">
        <f>INDEX(Data,2,2+MOD(ROWS(C$2:C650)-1,3))</f>
        <v>07.45</v>
      </c>
      <c r="D650" s="23">
        <f t="shared" ca="1" si="51"/>
        <v>750</v>
      </c>
      <c r="E650" s="40">
        <f t="shared" ca="1" si="52"/>
        <v>0</v>
      </c>
      <c r="F650" s="23">
        <f t="shared" ca="1" si="53"/>
        <v>28</v>
      </c>
      <c r="G650" s="40">
        <f t="shared" ca="1" si="54"/>
        <v>0</v>
      </c>
    </row>
    <row r="651" spans="1:7" x14ac:dyDescent="0.25">
      <c r="A651" s="17">
        <f t="shared" si="50"/>
        <v>81</v>
      </c>
      <c r="B651" t="str">
        <f ca="1">TEXT(DATE(YEAR(Invoer!$A$5),1,1)+INT((ROWS(B$2:B651)-1)/3),"jjjjmmdd")</f>
        <v>19400804</v>
      </c>
      <c r="C651" s="35" t="str">
        <f>INDEX(Data,2,2+MOD(ROWS(C$2:C651)-1,3))</f>
        <v>13.45</v>
      </c>
      <c r="D651" s="23">
        <f t="shared" ca="1" si="51"/>
        <v>749</v>
      </c>
      <c r="E651" s="40">
        <f t="shared" ca="1" si="52"/>
        <v>0</v>
      </c>
      <c r="F651" s="23">
        <f t="shared" ca="1" si="53"/>
        <v>30</v>
      </c>
      <c r="G651" s="40">
        <f t="shared" ca="1" si="54"/>
        <v>0</v>
      </c>
    </row>
    <row r="652" spans="1:7" x14ac:dyDescent="0.25">
      <c r="A652" s="17">
        <f t="shared" si="50"/>
        <v>81</v>
      </c>
      <c r="B652" t="str">
        <f ca="1">TEXT(DATE(YEAR(Invoer!$A$5),1,1)+INT((ROWS(B$2:B652)-1)/3),"jjjjmmdd")</f>
        <v>19400804</v>
      </c>
      <c r="C652" s="35" t="str">
        <f>INDEX(Data,2,2+MOD(ROWS(C$2:C652)-1,3))</f>
        <v>19.45</v>
      </c>
      <c r="D652" s="23">
        <f t="shared" ca="1" si="51"/>
        <v>749</v>
      </c>
      <c r="E652" s="40">
        <f t="shared" ca="1" si="52"/>
        <v>0</v>
      </c>
      <c r="F652" s="23">
        <f t="shared" ca="1" si="53"/>
        <v>28</v>
      </c>
      <c r="G652" s="40">
        <f t="shared" ca="1" si="54"/>
        <v>0</v>
      </c>
    </row>
    <row r="653" spans="1:7" x14ac:dyDescent="0.25">
      <c r="A653" s="17">
        <f t="shared" si="50"/>
        <v>81</v>
      </c>
      <c r="B653" t="str">
        <f ca="1">TEXT(DATE(YEAR(Invoer!$A$5),1,1)+INT((ROWS(B$2:B653)-1)/3),"jjjjmmdd")</f>
        <v>19400805</v>
      </c>
      <c r="C653" s="35" t="str">
        <f>INDEX(Data,2,2+MOD(ROWS(C$2:C653)-1,3))</f>
        <v>07.45</v>
      </c>
      <c r="D653" s="23">
        <f t="shared" ca="1" si="51"/>
        <v>747</v>
      </c>
      <c r="E653" s="40">
        <f t="shared" ca="1" si="52"/>
        <v>0</v>
      </c>
      <c r="F653" s="23">
        <f t="shared" ca="1" si="53"/>
        <v>26</v>
      </c>
      <c r="G653" s="40">
        <f t="shared" ca="1" si="54"/>
        <v>0</v>
      </c>
    </row>
    <row r="654" spans="1:7" x14ac:dyDescent="0.25">
      <c r="A654" s="17">
        <f t="shared" si="50"/>
        <v>81</v>
      </c>
      <c r="B654" t="str">
        <f ca="1">TEXT(DATE(YEAR(Invoer!$A$5),1,1)+INT((ROWS(B$2:B654)-1)/3),"jjjjmmdd")</f>
        <v>19400805</v>
      </c>
      <c r="C654" s="35" t="str">
        <f>INDEX(Data,2,2+MOD(ROWS(C$2:C654)-1,3))</f>
        <v>13.45</v>
      </c>
      <c r="D654" s="23">
        <f t="shared" ca="1" si="51"/>
        <v>746</v>
      </c>
      <c r="E654" s="40">
        <f t="shared" ca="1" si="52"/>
        <v>0</v>
      </c>
      <c r="F654" s="23">
        <f t="shared" ca="1" si="53"/>
        <v>27</v>
      </c>
      <c r="G654" s="40">
        <f t="shared" ca="1" si="54"/>
        <v>0</v>
      </c>
    </row>
    <row r="655" spans="1:7" x14ac:dyDescent="0.25">
      <c r="A655" s="17">
        <f t="shared" si="50"/>
        <v>81</v>
      </c>
      <c r="B655" t="str">
        <f ca="1">TEXT(DATE(YEAR(Invoer!$A$5),1,1)+INT((ROWS(B$2:B655)-1)/3),"jjjjmmdd")</f>
        <v>19400805</v>
      </c>
      <c r="C655" s="35" t="str">
        <f>INDEX(Data,2,2+MOD(ROWS(C$2:C655)-1,3))</f>
        <v>19.45</v>
      </c>
      <c r="D655" s="23">
        <f t="shared" ca="1" si="51"/>
        <v>747</v>
      </c>
      <c r="E655" s="40">
        <f t="shared" ca="1" si="52"/>
        <v>0</v>
      </c>
      <c r="F655" s="23">
        <f t="shared" ca="1" si="53"/>
        <v>26</v>
      </c>
      <c r="G655" s="40">
        <f t="shared" ca="1" si="54"/>
        <v>0</v>
      </c>
    </row>
    <row r="656" spans="1:7" x14ac:dyDescent="0.25">
      <c r="A656" s="17">
        <f t="shared" si="50"/>
        <v>81</v>
      </c>
      <c r="B656" t="str">
        <f ca="1">TEXT(DATE(YEAR(Invoer!$A$5),1,1)+INT((ROWS(B$2:B656)-1)/3),"jjjjmmdd")</f>
        <v>19400806</v>
      </c>
      <c r="C656" s="35" t="str">
        <f>INDEX(Data,2,2+MOD(ROWS(C$2:C656)-1,3))</f>
        <v>07.45</v>
      </c>
      <c r="D656" s="23">
        <f t="shared" ca="1" si="51"/>
        <v>748</v>
      </c>
      <c r="E656" s="40">
        <f t="shared" ca="1" si="52"/>
        <v>0</v>
      </c>
      <c r="F656" s="23">
        <f t="shared" ca="1" si="53"/>
        <v>27</v>
      </c>
      <c r="G656" s="40">
        <f t="shared" ca="1" si="54"/>
        <v>0</v>
      </c>
    </row>
    <row r="657" spans="1:7" x14ac:dyDescent="0.25">
      <c r="A657" s="17">
        <f t="shared" si="50"/>
        <v>81</v>
      </c>
      <c r="B657" t="str">
        <f ca="1">TEXT(DATE(YEAR(Invoer!$A$5),1,1)+INT((ROWS(B$2:B657)-1)/3),"jjjjmmdd")</f>
        <v>19400806</v>
      </c>
      <c r="C657" s="35" t="str">
        <f>INDEX(Data,2,2+MOD(ROWS(C$2:C657)-1,3))</f>
        <v>13.45</v>
      </c>
      <c r="D657" s="23">
        <f t="shared" ca="1" si="51"/>
        <v>748</v>
      </c>
      <c r="E657" s="40">
        <f t="shared" ca="1" si="52"/>
        <v>0</v>
      </c>
      <c r="F657" s="23">
        <f t="shared" ca="1" si="53"/>
        <v>32</v>
      </c>
      <c r="G657" s="40">
        <f t="shared" ca="1" si="54"/>
        <v>0</v>
      </c>
    </row>
    <row r="658" spans="1:7" x14ac:dyDescent="0.25">
      <c r="A658" s="17">
        <f t="shared" si="50"/>
        <v>81</v>
      </c>
      <c r="B658" t="str">
        <f ca="1">TEXT(DATE(YEAR(Invoer!$A$5),1,1)+INT((ROWS(B$2:B658)-1)/3),"jjjjmmdd")</f>
        <v>19400806</v>
      </c>
      <c r="C658" s="35" t="str">
        <f>INDEX(Data,2,2+MOD(ROWS(C$2:C658)-1,3))</f>
        <v>19.45</v>
      </c>
      <c r="D658" s="23">
        <f t="shared" ca="1" si="51"/>
        <v>748</v>
      </c>
      <c r="E658" s="40">
        <f t="shared" ca="1" si="52"/>
        <v>0</v>
      </c>
      <c r="F658" s="23">
        <f t="shared" ca="1" si="53"/>
        <v>28</v>
      </c>
      <c r="G658" s="40">
        <f t="shared" ca="1" si="54"/>
        <v>0</v>
      </c>
    </row>
    <row r="659" spans="1:7" x14ac:dyDescent="0.25">
      <c r="A659" s="17">
        <f t="shared" si="50"/>
        <v>81</v>
      </c>
      <c r="B659" t="str">
        <f ca="1">TEXT(DATE(YEAR(Invoer!$A$5),1,1)+INT((ROWS(B$2:B659)-1)/3),"jjjjmmdd")</f>
        <v>19400807</v>
      </c>
      <c r="C659" s="35" t="str">
        <f>INDEX(Data,2,2+MOD(ROWS(C$2:C659)-1,3))</f>
        <v>07.45</v>
      </c>
      <c r="D659" s="23">
        <f t="shared" ca="1" si="51"/>
        <v>748</v>
      </c>
      <c r="E659" s="40">
        <f t="shared" ca="1" si="52"/>
        <v>0</v>
      </c>
      <c r="F659" s="23">
        <f t="shared" ca="1" si="53"/>
        <v>28</v>
      </c>
      <c r="G659" s="40">
        <f t="shared" ca="1" si="54"/>
        <v>0</v>
      </c>
    </row>
    <row r="660" spans="1:7" x14ac:dyDescent="0.25">
      <c r="A660" s="17">
        <f t="shared" si="50"/>
        <v>81</v>
      </c>
      <c r="B660" t="str">
        <f ca="1">TEXT(DATE(YEAR(Invoer!$A$5),1,1)+INT((ROWS(B$2:B660)-1)/3),"jjjjmmdd")</f>
        <v>19400807</v>
      </c>
      <c r="C660" s="35" t="str">
        <f>INDEX(Data,2,2+MOD(ROWS(C$2:C660)-1,3))</f>
        <v>13.45</v>
      </c>
      <c r="D660" s="23">
        <f t="shared" ca="1" si="51"/>
        <v>748</v>
      </c>
      <c r="E660" s="40">
        <f t="shared" ca="1" si="52"/>
        <v>0</v>
      </c>
      <c r="F660" s="23">
        <f t="shared" ca="1" si="53"/>
        <v>30</v>
      </c>
      <c r="G660" s="40">
        <f t="shared" ca="1" si="54"/>
        <v>0</v>
      </c>
    </row>
    <row r="661" spans="1:7" x14ac:dyDescent="0.25">
      <c r="A661" s="17">
        <f t="shared" si="50"/>
        <v>81</v>
      </c>
      <c r="B661" t="str">
        <f ca="1">TEXT(DATE(YEAR(Invoer!$A$5),1,1)+INT((ROWS(B$2:B661)-1)/3),"jjjjmmdd")</f>
        <v>19400807</v>
      </c>
      <c r="C661" s="35" t="str">
        <f>INDEX(Data,2,2+MOD(ROWS(C$2:C661)-1,3))</f>
        <v>19.45</v>
      </c>
      <c r="D661" s="23">
        <f t="shared" ca="1" si="51"/>
        <v>748</v>
      </c>
      <c r="E661" s="40">
        <f t="shared" ca="1" si="52"/>
        <v>0</v>
      </c>
      <c r="F661" s="23">
        <f t="shared" ca="1" si="53"/>
        <v>28</v>
      </c>
      <c r="G661" s="40">
        <f t="shared" ca="1" si="54"/>
        <v>0</v>
      </c>
    </row>
    <row r="662" spans="1:7" x14ac:dyDescent="0.25">
      <c r="A662" s="17">
        <f t="shared" si="50"/>
        <v>81</v>
      </c>
      <c r="B662" t="str">
        <f ca="1">TEXT(DATE(YEAR(Invoer!$A$5),1,1)+INT((ROWS(B$2:B662)-1)/3),"jjjjmmdd")</f>
        <v>19400808</v>
      </c>
      <c r="C662" s="35" t="str">
        <f>INDEX(Data,2,2+MOD(ROWS(C$2:C662)-1,3))</f>
        <v>07.45</v>
      </c>
      <c r="D662" s="23">
        <f t="shared" ca="1" si="51"/>
        <v>748</v>
      </c>
      <c r="E662" s="40">
        <f t="shared" ca="1" si="52"/>
        <v>0</v>
      </c>
      <c r="F662" s="23">
        <f t="shared" ca="1" si="53"/>
        <v>28</v>
      </c>
      <c r="G662" s="40">
        <f t="shared" ca="1" si="54"/>
        <v>0</v>
      </c>
    </row>
    <row r="663" spans="1:7" x14ac:dyDescent="0.25">
      <c r="A663" s="17">
        <f t="shared" si="50"/>
        <v>81</v>
      </c>
      <c r="B663" t="str">
        <f ca="1">TEXT(DATE(YEAR(Invoer!$A$5),1,1)+INT((ROWS(B$2:B663)-1)/3),"jjjjmmdd")</f>
        <v>19400808</v>
      </c>
      <c r="C663" s="35" t="str">
        <f>INDEX(Data,2,2+MOD(ROWS(C$2:C663)-1,3))</f>
        <v>13.45</v>
      </c>
      <c r="D663" s="23">
        <f t="shared" ca="1" si="51"/>
        <v>748</v>
      </c>
      <c r="E663" s="40">
        <f t="shared" ca="1" si="52"/>
        <v>0</v>
      </c>
      <c r="F663" s="23">
        <f t="shared" ca="1" si="53"/>
        <v>32</v>
      </c>
      <c r="G663" s="40">
        <f t="shared" ca="1" si="54"/>
        <v>0</v>
      </c>
    </row>
    <row r="664" spans="1:7" x14ac:dyDescent="0.25">
      <c r="A664" s="17">
        <f t="shared" si="50"/>
        <v>81</v>
      </c>
      <c r="B664" t="str">
        <f ca="1">TEXT(DATE(YEAR(Invoer!$A$5),1,1)+INT((ROWS(B$2:B664)-1)/3),"jjjjmmdd")</f>
        <v>19400808</v>
      </c>
      <c r="C664" s="35" t="str">
        <f>INDEX(Data,2,2+MOD(ROWS(C$2:C664)-1,3))</f>
        <v>19.45</v>
      </c>
      <c r="D664" s="23">
        <f t="shared" ca="1" si="51"/>
        <v>748</v>
      </c>
      <c r="E664" s="40">
        <f t="shared" ca="1" si="52"/>
        <v>0</v>
      </c>
      <c r="F664" s="23">
        <f t="shared" ca="1" si="53"/>
        <v>28</v>
      </c>
      <c r="G664" s="40">
        <f t="shared" ca="1" si="54"/>
        <v>0</v>
      </c>
    </row>
    <row r="665" spans="1:7" x14ac:dyDescent="0.25">
      <c r="A665" s="17">
        <f t="shared" si="50"/>
        <v>81</v>
      </c>
      <c r="B665" t="str">
        <f ca="1">TEXT(DATE(YEAR(Invoer!$A$5),1,1)+INT((ROWS(B$2:B665)-1)/3),"jjjjmmdd")</f>
        <v>19400809</v>
      </c>
      <c r="C665" s="35" t="str">
        <f>INDEX(Data,2,2+MOD(ROWS(C$2:C665)-1,3))</f>
        <v>07.45</v>
      </c>
      <c r="D665" s="23">
        <f t="shared" ca="1" si="51"/>
        <v>749</v>
      </c>
      <c r="E665" s="40">
        <f t="shared" ca="1" si="52"/>
        <v>0</v>
      </c>
      <c r="F665" s="23">
        <f t="shared" ca="1" si="53"/>
        <v>27</v>
      </c>
      <c r="G665" s="40">
        <f t="shared" ca="1" si="54"/>
        <v>0</v>
      </c>
    </row>
    <row r="666" spans="1:7" x14ac:dyDescent="0.25">
      <c r="A666" s="17">
        <f t="shared" si="50"/>
        <v>81</v>
      </c>
      <c r="B666" t="str">
        <f ca="1">TEXT(DATE(YEAR(Invoer!$A$5),1,1)+INT((ROWS(B$2:B666)-1)/3),"jjjjmmdd")</f>
        <v>19400809</v>
      </c>
      <c r="C666" s="35" t="str">
        <f>INDEX(Data,2,2+MOD(ROWS(C$2:C666)-1,3))</f>
        <v>13.45</v>
      </c>
      <c r="D666" s="23">
        <f t="shared" ca="1" si="51"/>
        <v>749</v>
      </c>
      <c r="E666" s="40">
        <f t="shared" ca="1" si="52"/>
        <v>0</v>
      </c>
      <c r="F666" s="23">
        <f t="shared" ca="1" si="53"/>
        <v>31</v>
      </c>
      <c r="G666" s="40">
        <f t="shared" ca="1" si="54"/>
        <v>0</v>
      </c>
    </row>
    <row r="667" spans="1:7" x14ac:dyDescent="0.25">
      <c r="A667" s="17">
        <f t="shared" si="50"/>
        <v>81</v>
      </c>
      <c r="B667" t="str">
        <f ca="1">TEXT(DATE(YEAR(Invoer!$A$5),1,1)+INT((ROWS(B$2:B667)-1)/3),"jjjjmmdd")</f>
        <v>19400809</v>
      </c>
      <c r="C667" s="35" t="str">
        <f>INDEX(Data,2,2+MOD(ROWS(C$2:C667)-1,3))</f>
        <v>19.45</v>
      </c>
      <c r="D667" s="23">
        <f t="shared" ca="1" si="51"/>
        <v>748</v>
      </c>
      <c r="E667" s="40">
        <f t="shared" ca="1" si="52"/>
        <v>0</v>
      </c>
      <c r="F667" s="23">
        <f t="shared" ca="1" si="53"/>
        <v>28</v>
      </c>
      <c r="G667" s="40">
        <f t="shared" ca="1" si="54"/>
        <v>0</v>
      </c>
    </row>
    <row r="668" spans="1:7" x14ac:dyDescent="0.25">
      <c r="A668" s="17">
        <f t="shared" si="50"/>
        <v>81</v>
      </c>
      <c r="B668" t="str">
        <f ca="1">TEXT(DATE(YEAR(Invoer!$A$5),1,1)+INT((ROWS(B$2:B668)-1)/3),"jjjjmmdd")</f>
        <v>19400810</v>
      </c>
      <c r="C668" s="35" t="str">
        <f>INDEX(Data,2,2+MOD(ROWS(C$2:C668)-1,3))</f>
        <v>07.45</v>
      </c>
      <c r="D668" s="23">
        <f t="shared" ca="1" si="51"/>
        <v>749</v>
      </c>
      <c r="E668" s="40">
        <f t="shared" ca="1" si="52"/>
        <v>0</v>
      </c>
      <c r="F668" s="23">
        <f t="shared" ca="1" si="53"/>
        <v>27</v>
      </c>
      <c r="G668" s="40">
        <f t="shared" ca="1" si="54"/>
        <v>0</v>
      </c>
    </row>
    <row r="669" spans="1:7" x14ac:dyDescent="0.25">
      <c r="A669" s="17">
        <f t="shared" si="50"/>
        <v>81</v>
      </c>
      <c r="B669" t="str">
        <f ca="1">TEXT(DATE(YEAR(Invoer!$A$5),1,1)+INT((ROWS(B$2:B669)-1)/3),"jjjjmmdd")</f>
        <v>19400810</v>
      </c>
      <c r="C669" s="35" t="str">
        <f>INDEX(Data,2,2+MOD(ROWS(C$2:C669)-1,3))</f>
        <v>13.45</v>
      </c>
      <c r="D669" s="23">
        <f t="shared" ca="1" si="51"/>
        <v>748</v>
      </c>
      <c r="E669" s="40">
        <f t="shared" ca="1" si="52"/>
        <v>0</v>
      </c>
      <c r="F669" s="23">
        <f t="shared" ca="1" si="53"/>
        <v>32</v>
      </c>
      <c r="G669" s="40">
        <f t="shared" ca="1" si="54"/>
        <v>0</v>
      </c>
    </row>
    <row r="670" spans="1:7" x14ac:dyDescent="0.25">
      <c r="A670" s="17">
        <f t="shared" si="50"/>
        <v>81</v>
      </c>
      <c r="B670" t="str">
        <f ca="1">TEXT(DATE(YEAR(Invoer!$A$5),1,1)+INT((ROWS(B$2:B670)-1)/3),"jjjjmmdd")</f>
        <v>19400810</v>
      </c>
      <c r="C670" s="35" t="str">
        <f>INDEX(Data,2,2+MOD(ROWS(C$2:C670)-1,3))</f>
        <v>19.45</v>
      </c>
      <c r="D670" s="23">
        <f t="shared" ca="1" si="51"/>
        <v>748</v>
      </c>
      <c r="E670" s="40">
        <f t="shared" ca="1" si="52"/>
        <v>0</v>
      </c>
      <c r="F670" s="23">
        <f t="shared" ca="1" si="53"/>
        <v>28</v>
      </c>
      <c r="G670" s="40">
        <f t="shared" ca="1" si="54"/>
        <v>0</v>
      </c>
    </row>
    <row r="671" spans="1:7" x14ac:dyDescent="0.25">
      <c r="A671" s="17">
        <f t="shared" si="50"/>
        <v>81</v>
      </c>
      <c r="B671" t="str">
        <f ca="1">TEXT(DATE(YEAR(Invoer!$A$5),1,1)+INT((ROWS(B$2:B671)-1)/3),"jjjjmmdd")</f>
        <v>19400811</v>
      </c>
      <c r="C671" s="35" t="str">
        <f>INDEX(Data,2,2+MOD(ROWS(C$2:C671)-1,3))</f>
        <v>07.45</v>
      </c>
      <c r="D671" s="23">
        <f t="shared" ca="1" si="51"/>
        <v>748</v>
      </c>
      <c r="E671" s="40">
        <f t="shared" ca="1" si="52"/>
        <v>0</v>
      </c>
      <c r="F671" s="23">
        <f t="shared" ca="1" si="53"/>
        <v>28</v>
      </c>
      <c r="G671" s="40">
        <f t="shared" ca="1" si="54"/>
        <v>0</v>
      </c>
    </row>
    <row r="672" spans="1:7" x14ac:dyDescent="0.25">
      <c r="A672" s="17">
        <f t="shared" si="50"/>
        <v>81</v>
      </c>
      <c r="B672" t="str">
        <f ca="1">TEXT(DATE(YEAR(Invoer!$A$5),1,1)+INT((ROWS(B$2:B672)-1)/3),"jjjjmmdd")</f>
        <v>19400811</v>
      </c>
      <c r="C672" s="35" t="str">
        <f>INDEX(Data,2,2+MOD(ROWS(C$2:C672)-1,3))</f>
        <v>13.45</v>
      </c>
      <c r="D672" s="23">
        <f t="shared" ca="1" si="51"/>
        <v>747</v>
      </c>
      <c r="E672" s="40">
        <f t="shared" ca="1" si="52"/>
        <v>0</v>
      </c>
      <c r="F672" s="23">
        <f t="shared" ca="1" si="53"/>
        <v>32</v>
      </c>
      <c r="G672" s="40">
        <f t="shared" ca="1" si="54"/>
        <v>0</v>
      </c>
    </row>
    <row r="673" spans="1:7" x14ac:dyDescent="0.25">
      <c r="A673" s="17">
        <f t="shared" si="50"/>
        <v>81</v>
      </c>
      <c r="B673" t="str">
        <f ca="1">TEXT(DATE(YEAR(Invoer!$A$5),1,1)+INT((ROWS(B$2:B673)-1)/3),"jjjjmmdd")</f>
        <v>19400811</v>
      </c>
      <c r="C673" s="35" t="str">
        <f>INDEX(Data,2,2+MOD(ROWS(C$2:C673)-1,3))</f>
        <v>19.45</v>
      </c>
      <c r="D673" s="23">
        <f t="shared" ca="1" si="51"/>
        <v>747</v>
      </c>
      <c r="E673" s="40">
        <f t="shared" ca="1" si="52"/>
        <v>0</v>
      </c>
      <c r="F673" s="23">
        <f t="shared" ca="1" si="53"/>
        <v>28</v>
      </c>
      <c r="G673" s="40">
        <f t="shared" ca="1" si="54"/>
        <v>0</v>
      </c>
    </row>
    <row r="674" spans="1:7" x14ac:dyDescent="0.25">
      <c r="A674" s="17">
        <f t="shared" si="50"/>
        <v>81</v>
      </c>
      <c r="B674" t="str">
        <f ca="1">TEXT(DATE(YEAR(Invoer!$A$5),1,1)+INT((ROWS(B$2:B674)-1)/3),"jjjjmmdd")</f>
        <v>19400812</v>
      </c>
      <c r="C674" s="35" t="str">
        <f>INDEX(Data,2,2+MOD(ROWS(C$2:C674)-1,3))</f>
        <v>07.45</v>
      </c>
      <c r="D674" s="23">
        <f t="shared" ca="1" si="51"/>
        <v>748</v>
      </c>
      <c r="E674" s="40">
        <f t="shared" ca="1" si="52"/>
        <v>0</v>
      </c>
      <c r="F674" s="23">
        <f t="shared" ca="1" si="53"/>
        <v>27</v>
      </c>
      <c r="G674" s="40">
        <f t="shared" ca="1" si="54"/>
        <v>0</v>
      </c>
    </row>
    <row r="675" spans="1:7" x14ac:dyDescent="0.25">
      <c r="A675" s="17">
        <f t="shared" si="50"/>
        <v>81</v>
      </c>
      <c r="B675" t="str">
        <f ca="1">TEXT(DATE(YEAR(Invoer!$A$5),1,1)+INT((ROWS(B$2:B675)-1)/3),"jjjjmmdd")</f>
        <v>19400812</v>
      </c>
      <c r="C675" s="35" t="str">
        <f>INDEX(Data,2,2+MOD(ROWS(C$2:C675)-1,3))</f>
        <v>13.45</v>
      </c>
      <c r="D675" s="23">
        <f t="shared" ca="1" si="51"/>
        <v>748</v>
      </c>
      <c r="E675" s="40">
        <f t="shared" ca="1" si="52"/>
        <v>0</v>
      </c>
      <c r="F675" s="23">
        <f t="shared" ca="1" si="53"/>
        <v>32</v>
      </c>
      <c r="G675" s="40">
        <f t="shared" ca="1" si="54"/>
        <v>0</v>
      </c>
    </row>
    <row r="676" spans="1:7" x14ac:dyDescent="0.25">
      <c r="A676" s="17">
        <f t="shared" si="50"/>
        <v>81</v>
      </c>
      <c r="B676" t="str">
        <f ca="1">TEXT(DATE(YEAR(Invoer!$A$5),1,1)+INT((ROWS(B$2:B676)-1)/3),"jjjjmmdd")</f>
        <v>19400812</v>
      </c>
      <c r="C676" s="35" t="str">
        <f>INDEX(Data,2,2+MOD(ROWS(C$2:C676)-1,3))</f>
        <v>19.45</v>
      </c>
      <c r="D676" s="23">
        <f t="shared" ca="1" si="51"/>
        <v>748</v>
      </c>
      <c r="E676" s="40">
        <f t="shared" ca="1" si="52"/>
        <v>0</v>
      </c>
      <c r="F676" s="23">
        <f t="shared" ca="1" si="53"/>
        <v>29</v>
      </c>
      <c r="G676" s="40">
        <f t="shared" ca="1" si="54"/>
        <v>0</v>
      </c>
    </row>
    <row r="677" spans="1:7" x14ac:dyDescent="0.25">
      <c r="A677" s="17">
        <f t="shared" si="50"/>
        <v>81</v>
      </c>
      <c r="B677" t="str">
        <f ca="1">TEXT(DATE(YEAR(Invoer!$A$5),1,1)+INT((ROWS(B$2:B677)-1)/3),"jjjjmmdd")</f>
        <v>19400813</v>
      </c>
      <c r="C677" s="35" t="str">
        <f>INDEX(Data,2,2+MOD(ROWS(C$2:C677)-1,3))</f>
        <v>07.45</v>
      </c>
      <c r="D677" s="23">
        <f t="shared" ca="1" si="51"/>
        <v>749</v>
      </c>
      <c r="E677" s="40">
        <f t="shared" ca="1" si="52"/>
        <v>0</v>
      </c>
      <c r="F677" s="23">
        <f t="shared" ca="1" si="53"/>
        <v>28</v>
      </c>
      <c r="G677" s="40">
        <f t="shared" ca="1" si="54"/>
        <v>0</v>
      </c>
    </row>
    <row r="678" spans="1:7" x14ac:dyDescent="0.25">
      <c r="A678" s="17">
        <f t="shared" si="50"/>
        <v>81</v>
      </c>
      <c r="B678" t="str">
        <f ca="1">TEXT(DATE(YEAR(Invoer!$A$5),1,1)+INT((ROWS(B$2:B678)-1)/3),"jjjjmmdd")</f>
        <v>19400813</v>
      </c>
      <c r="C678" s="35" t="str">
        <f>INDEX(Data,2,2+MOD(ROWS(C$2:C678)-1,3))</f>
        <v>13.45</v>
      </c>
      <c r="D678" s="23">
        <f t="shared" ca="1" si="51"/>
        <v>748</v>
      </c>
      <c r="E678" s="40">
        <f t="shared" ca="1" si="52"/>
        <v>0</v>
      </c>
      <c r="F678" s="23">
        <f t="shared" ca="1" si="53"/>
        <v>32</v>
      </c>
      <c r="G678" s="40">
        <f t="shared" ca="1" si="54"/>
        <v>0</v>
      </c>
    </row>
    <row r="679" spans="1:7" x14ac:dyDescent="0.25">
      <c r="A679" s="17">
        <f t="shared" si="50"/>
        <v>81</v>
      </c>
      <c r="B679" t="str">
        <f ca="1">TEXT(DATE(YEAR(Invoer!$A$5),1,1)+INT((ROWS(B$2:B679)-1)/3),"jjjjmmdd")</f>
        <v>19400813</v>
      </c>
      <c r="C679" s="35" t="str">
        <f>INDEX(Data,2,2+MOD(ROWS(C$2:C679)-1,3))</f>
        <v>19.45</v>
      </c>
      <c r="D679" s="23">
        <f t="shared" ca="1" si="51"/>
        <v>749</v>
      </c>
      <c r="E679" s="40">
        <f t="shared" ca="1" si="52"/>
        <v>0</v>
      </c>
      <c r="F679" s="23">
        <f t="shared" ca="1" si="53"/>
        <v>29</v>
      </c>
      <c r="G679" s="40">
        <f t="shared" ca="1" si="54"/>
        <v>0</v>
      </c>
    </row>
    <row r="680" spans="1:7" x14ac:dyDescent="0.25">
      <c r="A680" s="17">
        <f t="shared" si="50"/>
        <v>81</v>
      </c>
      <c r="B680" t="str">
        <f ca="1">TEXT(DATE(YEAR(Invoer!$A$5),1,1)+INT((ROWS(B$2:B680)-1)/3),"jjjjmmdd")</f>
        <v>19400814</v>
      </c>
      <c r="C680" s="35" t="str">
        <f>INDEX(Data,2,2+MOD(ROWS(C$2:C680)-1,3))</f>
        <v>07.45</v>
      </c>
      <c r="D680" s="23">
        <f t="shared" ca="1" si="51"/>
        <v>749</v>
      </c>
      <c r="E680" s="40">
        <f t="shared" ca="1" si="52"/>
        <v>0</v>
      </c>
      <c r="F680" s="23">
        <f t="shared" ca="1" si="53"/>
        <v>28</v>
      </c>
      <c r="G680" s="40">
        <f t="shared" ca="1" si="54"/>
        <v>0</v>
      </c>
    </row>
    <row r="681" spans="1:7" x14ac:dyDescent="0.25">
      <c r="A681" s="17">
        <f t="shared" si="50"/>
        <v>81</v>
      </c>
      <c r="B681" t="str">
        <f ca="1">TEXT(DATE(YEAR(Invoer!$A$5),1,1)+INT((ROWS(B$2:B681)-1)/3),"jjjjmmdd")</f>
        <v>19400814</v>
      </c>
      <c r="C681" s="35" t="str">
        <f>INDEX(Data,2,2+MOD(ROWS(C$2:C681)-1,3))</f>
        <v>13.45</v>
      </c>
      <c r="D681" s="23">
        <f t="shared" ca="1" si="51"/>
        <v>748</v>
      </c>
      <c r="E681" s="40">
        <f t="shared" ca="1" si="52"/>
        <v>0</v>
      </c>
      <c r="F681" s="23">
        <f t="shared" ca="1" si="53"/>
        <v>31</v>
      </c>
      <c r="G681" s="40">
        <f t="shared" ca="1" si="54"/>
        <v>0</v>
      </c>
    </row>
    <row r="682" spans="1:7" x14ac:dyDescent="0.25">
      <c r="A682" s="17">
        <f t="shared" si="50"/>
        <v>81</v>
      </c>
      <c r="B682" t="str">
        <f ca="1">TEXT(DATE(YEAR(Invoer!$A$5),1,1)+INT((ROWS(B$2:B682)-1)/3),"jjjjmmdd")</f>
        <v>19400814</v>
      </c>
      <c r="C682" s="35" t="str">
        <f>INDEX(Data,2,2+MOD(ROWS(C$2:C682)-1,3))</f>
        <v>19.45</v>
      </c>
      <c r="D682" s="23">
        <f t="shared" ca="1" si="51"/>
        <v>749</v>
      </c>
      <c r="E682" s="40">
        <f t="shared" ca="1" si="52"/>
        <v>0</v>
      </c>
      <c r="F682" s="23">
        <f t="shared" ca="1" si="53"/>
        <v>29</v>
      </c>
      <c r="G682" s="40">
        <f t="shared" ca="1" si="54"/>
        <v>0</v>
      </c>
    </row>
    <row r="683" spans="1:7" x14ac:dyDescent="0.25">
      <c r="A683" s="17">
        <f t="shared" si="50"/>
        <v>81</v>
      </c>
      <c r="B683" t="str">
        <f ca="1">TEXT(DATE(YEAR(Invoer!$A$5),1,1)+INT((ROWS(B$2:B683)-1)/3),"jjjjmmdd")</f>
        <v>19400815</v>
      </c>
      <c r="C683" s="35" t="str">
        <f>INDEX(Data,2,2+MOD(ROWS(C$2:C683)-1,3))</f>
        <v>07.45</v>
      </c>
      <c r="D683" s="23">
        <f t="shared" ca="1" si="51"/>
        <v>748</v>
      </c>
      <c r="E683" s="40">
        <f t="shared" ca="1" si="52"/>
        <v>0</v>
      </c>
      <c r="F683" s="23">
        <f t="shared" ca="1" si="53"/>
        <v>28</v>
      </c>
      <c r="G683" s="40">
        <f t="shared" ca="1" si="54"/>
        <v>0</v>
      </c>
    </row>
    <row r="684" spans="1:7" x14ac:dyDescent="0.25">
      <c r="A684" s="17">
        <f t="shared" si="50"/>
        <v>81</v>
      </c>
      <c r="B684" t="str">
        <f ca="1">TEXT(DATE(YEAR(Invoer!$A$5),1,1)+INT((ROWS(B$2:B684)-1)/3),"jjjjmmdd")</f>
        <v>19400815</v>
      </c>
      <c r="C684" s="35" t="str">
        <f>INDEX(Data,2,2+MOD(ROWS(C$2:C684)-1,3))</f>
        <v>13.45</v>
      </c>
      <c r="D684" s="23">
        <f t="shared" ca="1" si="51"/>
        <v>748</v>
      </c>
      <c r="E684" s="40">
        <f t="shared" ca="1" si="52"/>
        <v>0</v>
      </c>
      <c r="F684" s="23">
        <f t="shared" ca="1" si="53"/>
        <v>31</v>
      </c>
      <c r="G684" s="40">
        <f t="shared" ca="1" si="54"/>
        <v>0</v>
      </c>
    </row>
    <row r="685" spans="1:7" x14ac:dyDescent="0.25">
      <c r="A685" s="17">
        <f t="shared" si="50"/>
        <v>81</v>
      </c>
      <c r="B685" t="str">
        <f ca="1">TEXT(DATE(YEAR(Invoer!$A$5),1,1)+INT((ROWS(B$2:B685)-1)/3),"jjjjmmdd")</f>
        <v>19400815</v>
      </c>
      <c r="C685" s="35" t="str">
        <f>INDEX(Data,2,2+MOD(ROWS(C$2:C685)-1,3))</f>
        <v>19.45</v>
      </c>
      <c r="D685" s="23">
        <f t="shared" ca="1" si="51"/>
        <v>748</v>
      </c>
      <c r="E685" s="40">
        <f t="shared" ca="1" si="52"/>
        <v>0</v>
      </c>
      <c r="F685" s="23">
        <f t="shared" ca="1" si="53"/>
        <v>29</v>
      </c>
      <c r="G685" s="40">
        <f t="shared" ca="1" si="54"/>
        <v>0</v>
      </c>
    </row>
    <row r="686" spans="1:7" x14ac:dyDescent="0.25">
      <c r="A686" s="17">
        <f t="shared" si="50"/>
        <v>81</v>
      </c>
      <c r="B686" t="str">
        <f ca="1">TEXT(DATE(YEAR(Invoer!$A$5),1,1)+INT((ROWS(B$2:B686)-1)/3),"jjjjmmdd")</f>
        <v>19400816</v>
      </c>
      <c r="C686" s="35" t="str">
        <f>INDEX(Data,2,2+MOD(ROWS(C$2:C686)-1,3))</f>
        <v>07.45</v>
      </c>
      <c r="D686" s="23">
        <f t="shared" ca="1" si="51"/>
        <v>748</v>
      </c>
      <c r="E686" s="40">
        <f t="shared" ca="1" si="52"/>
        <v>0</v>
      </c>
      <c r="F686" s="23">
        <f t="shared" ca="1" si="53"/>
        <v>27</v>
      </c>
      <c r="G686" s="40">
        <f t="shared" ca="1" si="54"/>
        <v>0</v>
      </c>
    </row>
    <row r="687" spans="1:7" x14ac:dyDescent="0.25">
      <c r="A687" s="17">
        <f t="shared" si="50"/>
        <v>81</v>
      </c>
      <c r="B687" t="str">
        <f ca="1">TEXT(DATE(YEAR(Invoer!$A$5),1,1)+INT((ROWS(B$2:B687)-1)/3),"jjjjmmdd")</f>
        <v>19400816</v>
      </c>
      <c r="C687" s="35" t="str">
        <f>INDEX(Data,2,2+MOD(ROWS(C$2:C687)-1,3))</f>
        <v>13.45</v>
      </c>
      <c r="D687" s="23">
        <f t="shared" ca="1" si="51"/>
        <v>748</v>
      </c>
      <c r="E687" s="40">
        <f t="shared" ca="1" si="52"/>
        <v>0</v>
      </c>
      <c r="F687" s="23">
        <f t="shared" ca="1" si="53"/>
        <v>30</v>
      </c>
      <c r="G687" s="40">
        <f t="shared" ca="1" si="54"/>
        <v>0</v>
      </c>
    </row>
    <row r="688" spans="1:7" x14ac:dyDescent="0.25">
      <c r="A688" s="17">
        <f t="shared" si="50"/>
        <v>81</v>
      </c>
      <c r="B688" t="str">
        <f ca="1">TEXT(DATE(YEAR(Invoer!$A$5),1,1)+INT((ROWS(B$2:B688)-1)/3),"jjjjmmdd")</f>
        <v>19400816</v>
      </c>
      <c r="C688" s="35" t="str">
        <f>INDEX(Data,2,2+MOD(ROWS(C$2:C688)-1,3))</f>
        <v>19.45</v>
      </c>
      <c r="D688" s="23">
        <f t="shared" ca="1" si="51"/>
        <v>748</v>
      </c>
      <c r="E688" s="40">
        <f t="shared" ca="1" si="52"/>
        <v>0</v>
      </c>
      <c r="F688" s="23">
        <f t="shared" ca="1" si="53"/>
        <v>29</v>
      </c>
      <c r="G688" s="40">
        <f t="shared" ca="1" si="54"/>
        <v>0</v>
      </c>
    </row>
    <row r="689" spans="1:7" x14ac:dyDescent="0.25">
      <c r="A689" s="17">
        <f t="shared" si="50"/>
        <v>81</v>
      </c>
      <c r="B689" t="str">
        <f ca="1">TEXT(DATE(YEAR(Invoer!$A$5),1,1)+INT((ROWS(B$2:B689)-1)/3),"jjjjmmdd")</f>
        <v>19400817</v>
      </c>
      <c r="C689" s="35" t="str">
        <f>INDEX(Data,2,2+MOD(ROWS(C$2:C689)-1,3))</f>
        <v>07.45</v>
      </c>
      <c r="D689" s="23">
        <f t="shared" ca="1" si="51"/>
        <v>747</v>
      </c>
      <c r="E689" s="40">
        <f t="shared" ca="1" si="52"/>
        <v>0</v>
      </c>
      <c r="F689" s="23">
        <f t="shared" ca="1" si="53"/>
        <v>28</v>
      </c>
      <c r="G689" s="40">
        <f t="shared" ca="1" si="54"/>
        <v>0</v>
      </c>
    </row>
    <row r="690" spans="1:7" x14ac:dyDescent="0.25">
      <c r="A690" s="17">
        <f t="shared" si="50"/>
        <v>81</v>
      </c>
      <c r="B690" t="str">
        <f ca="1">TEXT(DATE(YEAR(Invoer!$A$5),1,1)+INT((ROWS(B$2:B690)-1)/3),"jjjjmmdd")</f>
        <v>19400817</v>
      </c>
      <c r="C690" s="35" t="str">
        <f>INDEX(Data,2,2+MOD(ROWS(C$2:C690)-1,3))</f>
        <v>13.45</v>
      </c>
      <c r="D690" s="23">
        <f t="shared" ca="1" si="51"/>
        <v>748</v>
      </c>
      <c r="E690" s="40">
        <f t="shared" ca="1" si="52"/>
        <v>0</v>
      </c>
      <c r="F690" s="23">
        <f t="shared" ca="1" si="53"/>
        <v>31</v>
      </c>
      <c r="G690" s="40">
        <f t="shared" ca="1" si="54"/>
        <v>0</v>
      </c>
    </row>
    <row r="691" spans="1:7" x14ac:dyDescent="0.25">
      <c r="A691" s="17">
        <f t="shared" si="50"/>
        <v>81</v>
      </c>
      <c r="B691" t="str">
        <f ca="1">TEXT(DATE(YEAR(Invoer!$A$5),1,1)+INT((ROWS(B$2:B691)-1)/3),"jjjjmmdd")</f>
        <v>19400817</v>
      </c>
      <c r="C691" s="35" t="str">
        <f>INDEX(Data,2,2+MOD(ROWS(C$2:C691)-1,3))</f>
        <v>19.45</v>
      </c>
      <c r="D691" s="23">
        <f t="shared" ca="1" si="51"/>
        <v>748</v>
      </c>
      <c r="E691" s="40">
        <f t="shared" ca="1" si="52"/>
        <v>0</v>
      </c>
      <c r="F691" s="23">
        <f t="shared" ca="1" si="53"/>
        <v>29</v>
      </c>
      <c r="G691" s="40">
        <f t="shared" ca="1" si="54"/>
        <v>0</v>
      </c>
    </row>
    <row r="692" spans="1:7" x14ac:dyDescent="0.25">
      <c r="A692" s="17">
        <f t="shared" si="50"/>
        <v>81</v>
      </c>
      <c r="B692" t="str">
        <f ca="1">TEXT(DATE(YEAR(Invoer!$A$5),1,1)+INT((ROWS(B$2:B692)-1)/3),"jjjjmmdd")</f>
        <v>19400818</v>
      </c>
      <c r="C692" s="35" t="str">
        <f>INDEX(Data,2,2+MOD(ROWS(C$2:C692)-1,3))</f>
        <v>07.45</v>
      </c>
      <c r="D692" s="23">
        <f t="shared" ca="1" si="51"/>
        <v>748</v>
      </c>
      <c r="E692" s="40">
        <f t="shared" ca="1" si="52"/>
        <v>0</v>
      </c>
      <c r="F692" s="23">
        <f t="shared" ca="1" si="53"/>
        <v>27</v>
      </c>
      <c r="G692" s="40">
        <f t="shared" ca="1" si="54"/>
        <v>0</v>
      </c>
    </row>
    <row r="693" spans="1:7" x14ac:dyDescent="0.25">
      <c r="A693" s="17">
        <f t="shared" si="50"/>
        <v>81</v>
      </c>
      <c r="B693" t="str">
        <f ca="1">TEXT(DATE(YEAR(Invoer!$A$5),1,1)+INT((ROWS(B$2:B693)-1)/3),"jjjjmmdd")</f>
        <v>19400818</v>
      </c>
      <c r="C693" s="35" t="str">
        <f>INDEX(Data,2,2+MOD(ROWS(C$2:C693)-1,3))</f>
        <v>13.45</v>
      </c>
      <c r="D693" s="23">
        <f t="shared" ca="1" si="51"/>
        <v>748</v>
      </c>
      <c r="E693" s="40">
        <f t="shared" ca="1" si="52"/>
        <v>0</v>
      </c>
      <c r="F693" s="23">
        <f t="shared" ca="1" si="53"/>
        <v>29</v>
      </c>
      <c r="G693" s="40">
        <f t="shared" ca="1" si="54"/>
        <v>0</v>
      </c>
    </row>
    <row r="694" spans="1:7" x14ac:dyDescent="0.25">
      <c r="A694" s="17">
        <f t="shared" si="50"/>
        <v>81</v>
      </c>
      <c r="B694" t="str">
        <f ca="1">TEXT(DATE(YEAR(Invoer!$A$5),1,1)+INT((ROWS(B$2:B694)-1)/3),"jjjjmmdd")</f>
        <v>19400818</v>
      </c>
      <c r="C694" s="35" t="str">
        <f>INDEX(Data,2,2+MOD(ROWS(C$2:C694)-1,3))</f>
        <v>19.45</v>
      </c>
      <c r="D694" s="23">
        <f t="shared" ca="1" si="51"/>
        <v>748</v>
      </c>
      <c r="E694" s="40">
        <f t="shared" ca="1" si="52"/>
        <v>0</v>
      </c>
      <c r="F694" s="23">
        <f t="shared" ca="1" si="53"/>
        <v>28</v>
      </c>
      <c r="G694" s="40">
        <f t="shared" ca="1" si="54"/>
        <v>0</v>
      </c>
    </row>
    <row r="695" spans="1:7" x14ac:dyDescent="0.25">
      <c r="A695" s="17">
        <f t="shared" si="50"/>
        <v>81</v>
      </c>
      <c r="B695" t="str">
        <f ca="1">TEXT(DATE(YEAR(Invoer!$A$5),1,1)+INT((ROWS(B$2:B695)-1)/3),"jjjjmmdd")</f>
        <v>19400819</v>
      </c>
      <c r="C695" s="35" t="str">
        <f>INDEX(Data,2,2+MOD(ROWS(C$2:C695)-1,3))</f>
        <v>07.45</v>
      </c>
      <c r="D695" s="23">
        <f t="shared" ca="1" si="51"/>
        <v>748</v>
      </c>
      <c r="E695" s="40">
        <f t="shared" ca="1" si="52"/>
        <v>0</v>
      </c>
      <c r="F695" s="23">
        <f t="shared" ca="1" si="53"/>
        <v>27</v>
      </c>
      <c r="G695" s="40">
        <f t="shared" ca="1" si="54"/>
        <v>0</v>
      </c>
    </row>
    <row r="696" spans="1:7" x14ac:dyDescent="0.25">
      <c r="A696" s="17">
        <f t="shared" si="50"/>
        <v>81</v>
      </c>
      <c r="B696" t="str">
        <f ca="1">TEXT(DATE(YEAR(Invoer!$A$5),1,1)+INT((ROWS(B$2:B696)-1)/3),"jjjjmmdd")</f>
        <v>19400819</v>
      </c>
      <c r="C696" s="35" t="str">
        <f>INDEX(Data,2,2+MOD(ROWS(C$2:C696)-1,3))</f>
        <v>13.45</v>
      </c>
      <c r="D696" s="23">
        <f t="shared" ca="1" si="51"/>
        <v>748</v>
      </c>
      <c r="E696" s="40">
        <f t="shared" ca="1" si="52"/>
        <v>0</v>
      </c>
      <c r="F696" s="23">
        <f t="shared" ca="1" si="53"/>
        <v>30</v>
      </c>
      <c r="G696" s="40">
        <f t="shared" ca="1" si="54"/>
        <v>0</v>
      </c>
    </row>
    <row r="697" spans="1:7" x14ac:dyDescent="0.25">
      <c r="A697" s="17">
        <f t="shared" si="50"/>
        <v>81</v>
      </c>
      <c r="B697" t="str">
        <f ca="1">TEXT(DATE(YEAR(Invoer!$A$5),1,1)+INT((ROWS(B$2:B697)-1)/3),"jjjjmmdd")</f>
        <v>19400819</v>
      </c>
      <c r="C697" s="35" t="str">
        <f>INDEX(Data,2,2+MOD(ROWS(C$2:C697)-1,3))</f>
        <v>19.45</v>
      </c>
      <c r="D697" s="23">
        <f t="shared" ca="1" si="51"/>
        <v>747</v>
      </c>
      <c r="E697" s="40">
        <f t="shared" ca="1" si="52"/>
        <v>0</v>
      </c>
      <c r="F697" s="23">
        <f t="shared" ca="1" si="53"/>
        <v>28</v>
      </c>
      <c r="G697" s="40">
        <f t="shared" ca="1" si="54"/>
        <v>0</v>
      </c>
    </row>
    <row r="698" spans="1:7" x14ac:dyDescent="0.25">
      <c r="A698" s="17">
        <f t="shared" si="50"/>
        <v>81</v>
      </c>
      <c r="B698" t="str">
        <f ca="1">TEXT(DATE(YEAR(Invoer!$A$5),1,1)+INT((ROWS(B$2:B698)-1)/3),"jjjjmmdd")</f>
        <v>19400820</v>
      </c>
      <c r="C698" s="35" t="str">
        <f>INDEX(Data,2,2+MOD(ROWS(C$2:C698)-1,3))</f>
        <v>07.45</v>
      </c>
      <c r="D698" s="23">
        <f t="shared" ca="1" si="51"/>
        <v>748</v>
      </c>
      <c r="E698" s="40">
        <f t="shared" ca="1" si="52"/>
        <v>0</v>
      </c>
      <c r="F698" s="23">
        <f t="shared" ca="1" si="53"/>
        <v>27</v>
      </c>
      <c r="G698" s="40">
        <f t="shared" ca="1" si="54"/>
        <v>0</v>
      </c>
    </row>
    <row r="699" spans="1:7" x14ac:dyDescent="0.25">
      <c r="A699" s="17">
        <f t="shared" si="50"/>
        <v>81</v>
      </c>
      <c r="B699" t="str">
        <f ca="1">TEXT(DATE(YEAR(Invoer!$A$5),1,1)+INT((ROWS(B$2:B699)-1)/3),"jjjjmmdd")</f>
        <v>19400820</v>
      </c>
      <c r="C699" s="35" t="str">
        <f>INDEX(Data,2,2+MOD(ROWS(C$2:C699)-1,3))</f>
        <v>13.45</v>
      </c>
      <c r="D699" s="23">
        <f t="shared" ca="1" si="51"/>
        <v>749</v>
      </c>
      <c r="E699" s="40">
        <f t="shared" ca="1" si="52"/>
        <v>0</v>
      </c>
      <c r="F699" s="23">
        <f t="shared" ca="1" si="53"/>
        <v>33</v>
      </c>
      <c r="G699" s="40">
        <f t="shared" ca="1" si="54"/>
        <v>0</v>
      </c>
    </row>
    <row r="700" spans="1:7" x14ac:dyDescent="0.25">
      <c r="A700" s="17">
        <f t="shared" si="50"/>
        <v>81</v>
      </c>
      <c r="B700" t="str">
        <f ca="1">TEXT(DATE(YEAR(Invoer!$A$5),1,1)+INT((ROWS(B$2:B700)-1)/3),"jjjjmmdd")</f>
        <v>19400820</v>
      </c>
      <c r="C700" s="35" t="str">
        <f>INDEX(Data,2,2+MOD(ROWS(C$2:C700)-1,3))</f>
        <v>19.45</v>
      </c>
      <c r="D700" s="23">
        <f t="shared" ca="1" si="51"/>
        <v>749</v>
      </c>
      <c r="E700" s="40">
        <f t="shared" ca="1" si="52"/>
        <v>0</v>
      </c>
      <c r="F700" s="23">
        <f t="shared" ca="1" si="53"/>
        <v>30</v>
      </c>
      <c r="G700" s="40">
        <f t="shared" ca="1" si="54"/>
        <v>0</v>
      </c>
    </row>
    <row r="701" spans="1:7" x14ac:dyDescent="0.25">
      <c r="A701" s="17">
        <f t="shared" si="50"/>
        <v>81</v>
      </c>
      <c r="B701" t="str">
        <f ca="1">TEXT(DATE(YEAR(Invoer!$A$5),1,1)+INT((ROWS(B$2:B701)-1)/3),"jjjjmmdd")</f>
        <v>19400821</v>
      </c>
      <c r="C701" s="35" t="str">
        <f>INDEX(Data,2,2+MOD(ROWS(C$2:C701)-1,3))</f>
        <v>07.45</v>
      </c>
      <c r="D701" s="23">
        <f t="shared" ca="1" si="51"/>
        <v>748</v>
      </c>
      <c r="E701" s="40">
        <f t="shared" ca="1" si="52"/>
        <v>0</v>
      </c>
      <c r="F701" s="23">
        <f t="shared" ca="1" si="53"/>
        <v>29</v>
      </c>
      <c r="G701" s="40">
        <f t="shared" ca="1" si="54"/>
        <v>0</v>
      </c>
    </row>
    <row r="702" spans="1:7" x14ac:dyDescent="0.25">
      <c r="A702" s="17">
        <f t="shared" si="50"/>
        <v>81</v>
      </c>
      <c r="B702" t="str">
        <f ca="1">TEXT(DATE(YEAR(Invoer!$A$5),1,1)+INT((ROWS(B$2:B702)-1)/3),"jjjjmmdd")</f>
        <v>19400821</v>
      </c>
      <c r="C702" s="35" t="str">
        <f>INDEX(Data,2,2+MOD(ROWS(C$2:C702)-1,3))</f>
        <v>13.45</v>
      </c>
      <c r="D702" s="23">
        <f t="shared" ca="1" si="51"/>
        <v>748</v>
      </c>
      <c r="E702" s="40">
        <f t="shared" ca="1" si="52"/>
        <v>0</v>
      </c>
      <c r="F702" s="23">
        <f t="shared" ca="1" si="53"/>
        <v>31</v>
      </c>
      <c r="G702" s="40">
        <f t="shared" ca="1" si="54"/>
        <v>0</v>
      </c>
    </row>
    <row r="703" spans="1:7" x14ac:dyDescent="0.25">
      <c r="A703" s="17">
        <f t="shared" si="50"/>
        <v>81</v>
      </c>
      <c r="B703" t="str">
        <f ca="1">TEXT(DATE(YEAR(Invoer!$A$5),1,1)+INT((ROWS(B$2:B703)-1)/3),"jjjjmmdd")</f>
        <v>19400821</v>
      </c>
      <c r="C703" s="35" t="str">
        <f>INDEX(Data,2,2+MOD(ROWS(C$2:C703)-1,3))</f>
        <v>19.45</v>
      </c>
      <c r="D703" s="23">
        <f t="shared" ca="1" si="51"/>
        <v>748</v>
      </c>
      <c r="E703" s="40">
        <f t="shared" ca="1" si="52"/>
        <v>0</v>
      </c>
      <c r="F703" s="23">
        <f t="shared" ca="1" si="53"/>
        <v>29</v>
      </c>
      <c r="G703" s="40">
        <f t="shared" ca="1" si="54"/>
        <v>0</v>
      </c>
    </row>
    <row r="704" spans="1:7" x14ac:dyDescent="0.25">
      <c r="A704" s="17">
        <f t="shared" si="50"/>
        <v>81</v>
      </c>
      <c r="B704" t="str">
        <f ca="1">TEXT(DATE(YEAR(Invoer!$A$5),1,1)+INT((ROWS(B$2:B704)-1)/3),"jjjjmmdd")</f>
        <v>19400822</v>
      </c>
      <c r="C704" s="35" t="str">
        <f>INDEX(Data,2,2+MOD(ROWS(C$2:C704)-1,3))</f>
        <v>07.45</v>
      </c>
      <c r="D704" s="23">
        <f t="shared" ca="1" si="51"/>
        <v>748</v>
      </c>
      <c r="E704" s="40">
        <f t="shared" ca="1" si="52"/>
        <v>0</v>
      </c>
      <c r="F704" s="23">
        <f t="shared" ca="1" si="53"/>
        <v>28</v>
      </c>
      <c r="G704" s="40">
        <f t="shared" ca="1" si="54"/>
        <v>0</v>
      </c>
    </row>
    <row r="705" spans="1:7" x14ac:dyDescent="0.25">
      <c r="A705" s="17">
        <f t="shared" si="50"/>
        <v>81</v>
      </c>
      <c r="B705" t="str">
        <f ca="1">TEXT(DATE(YEAR(Invoer!$A$5),1,1)+INT((ROWS(B$2:B705)-1)/3),"jjjjmmdd")</f>
        <v>19400822</v>
      </c>
      <c r="C705" s="35" t="str">
        <f>INDEX(Data,2,2+MOD(ROWS(C$2:C705)-1,3))</f>
        <v>13.45</v>
      </c>
      <c r="D705" s="23">
        <f t="shared" ca="1" si="51"/>
        <v>748</v>
      </c>
      <c r="E705" s="40">
        <f t="shared" ca="1" si="52"/>
        <v>0</v>
      </c>
      <c r="F705" s="23">
        <f t="shared" ca="1" si="53"/>
        <v>31</v>
      </c>
      <c r="G705" s="40">
        <f t="shared" ca="1" si="54"/>
        <v>0</v>
      </c>
    </row>
    <row r="706" spans="1:7" x14ac:dyDescent="0.25">
      <c r="A706" s="17">
        <f t="shared" ref="A706:A769" si="55">INDEX(Stations,2,1)</f>
        <v>81</v>
      </c>
      <c r="B706" t="str">
        <f ca="1">TEXT(DATE(YEAR(Invoer!$A$5),1,1)+INT((ROWS(B$2:B706)-1)/3),"jjjjmmdd")</f>
        <v>19400822</v>
      </c>
      <c r="C706" s="35" t="str">
        <f>INDEX(Data,2,2+MOD(ROWS(C$2:C706)-1,3))</f>
        <v>19.45</v>
      </c>
      <c r="D706" s="23">
        <f t="shared" ref="D706:D769" ca="1" si="56">IF(OR(ISBLANK(VLOOKUP(DATEVALUE(LEFT($B706,4)&amp;"-"&amp;MID($B706,5,2)&amp;"-"&amp;RIGHT($B706,2)),Data,MATCH(LEFT(VLOOKUP(D$1,Parameters,2,FALSE()),4)&amp;"*",OFFSET(Data,0,0,1),0)+MATCH($C706,OFFSET(Data,1,0,1),0)-2,FALSE())),ISTEXT(VLOOKUP(DATEVALUE(LEFT($B706,4)&amp;"-"&amp;MID($B706,5,2)&amp;"-"&amp;RIGHT($B706,2)),Data,MATCH(LEFT(VLOOKUP(D$1,Parameters,2,FALSE()),4)&amp;"*",OFFSET(Data,0,0,1),0)+MATCH($C706,OFFSET(Data,1,0,1),0)-2,FALSE()))),"—",VLOOKUP(DATEVALUE(LEFT($B706,4)&amp;"-"&amp;MID($B706,5,2)&amp;"-"&amp;RIGHT($B706,2)),Data,MATCH(LEFT(VLOOKUP(D$1,Parameters,2,FALSE()),4)&amp;"*",OFFSET(Data,0,0,1),0)+MATCH($C706,OFFSET(Data,1,0,1),0)-2,FALSE()))</f>
        <v>748</v>
      </c>
      <c r="E706" s="40">
        <f t="shared" ref="E706:E769" ca="1" si="57">IF(OR(ISBLANK(VLOOKUP(DATEVALUE(LEFT($B706,4)&amp;"-"&amp;MID($B706,5,2)&amp;"-"&amp;RIGHT($B706,2)),Data,MATCH(LEFT(VLOOKUP(MID(E$1,2,LEN(E$1)-1),Parameters,2,FALSE()),4)&amp;"*",OFFSET(Data,0,0,1),0)+MATCH($C706,OFFSET(Data,1,0,1),0)-2,FALSE())),ISTEXT(VLOOKUP(DATEVALUE(LEFT($B706,4)&amp;"-"&amp;MID($B706,5,2)&amp;"-"&amp;RIGHT($B706,2)),Data,MATCH(LEFT(VLOOKUP(MID(E$1,2,LEN(E$1)-1),Parameters,2,FALSE()),4)&amp;"*",OFFSET(Data,0,0,1),0)+MATCH($C706,OFFSET(Data,1,0,1),0)-2,FALSE()))),Lacking,IF(ISNA(MATCH(DATEVALUE(LEFT($B706,4)&amp;"-"&amp;MID($B706,5,2)&amp;"-"&amp;RIGHT($B706,2)),OFFSET(Catalogus,0,0,,1),0)),Ok,VLOOKUP(DATEVALUE(LEFT($B706,4)&amp;"-"&amp;MID($B706,5,2)&amp;"-"&amp;RIGHT($B706,2)),Catalogus,MATCH(LEFT(VLOOKUP(MID(E$1,2,LEN(E$1)-1),Parameters,2,FALSE()),4)&amp;"*",OFFSET(Catalogus,0,0,1),0)+MATCH($C706,OFFSET(Catalogus,1,0,1),0)-2,FALSE())))</f>
        <v>0</v>
      </c>
      <c r="F706" s="23">
        <f t="shared" ref="F706:F769" ca="1" si="58">IF(OR(ISBLANK(VLOOKUP(DATEVALUE(LEFT($B706,4)&amp;"-"&amp;MID($B706,5,2)&amp;"-"&amp;RIGHT($B706,2)),Data,MATCH(LEFT(VLOOKUP(F$1,Parameters,2,FALSE()),4)&amp;"*",OFFSET(Data,0,0,1),0)+MATCH($C706,OFFSET(Data,1,0,1),0)-2,FALSE())),ISTEXT(VLOOKUP(DATEVALUE(LEFT($B706,4)&amp;"-"&amp;MID($B706,5,2)&amp;"-"&amp;RIGHT($B706,2)),Data,MATCH(LEFT(VLOOKUP(F$1,Parameters,2,FALSE()),4)&amp;"*",OFFSET(Data,0,0,1),0)+MATCH($C706,OFFSET(Data,1,0,1),0)-2,FALSE()))),"—",VLOOKUP(DATEVALUE(LEFT($B706,4)&amp;"-"&amp;MID($B706,5,2)&amp;"-"&amp;RIGHT($B706,2)),Data,MATCH(LEFT(VLOOKUP(F$1,Parameters,2,FALSE()),4)&amp;"*",OFFSET(Data,0,0,1),0)+MATCH($C706,OFFSET(Data,1,0,1),0)-2,FALSE()))</f>
        <v>29</v>
      </c>
      <c r="G706" s="40">
        <f t="shared" ref="G706:G769" ca="1" si="59">IF(OR(ISBLANK(VLOOKUP(DATEVALUE(LEFT($B706,4)&amp;"-"&amp;MID($B706,5,2)&amp;"-"&amp;RIGHT($B706,2)),Data,MATCH(LEFT(VLOOKUP(MID(G$1,2,LEN(G$1)-1),Parameters,2,FALSE()),4)&amp;"*",OFFSET(Data,0,0,1),0)+MATCH($C706,OFFSET(Data,1,0,1),0)-2,FALSE())),ISTEXT(VLOOKUP(DATEVALUE(LEFT($B706,4)&amp;"-"&amp;MID($B706,5,2)&amp;"-"&amp;RIGHT($B706,2)),Data,MATCH(LEFT(VLOOKUP(MID(G$1,2,LEN(G$1)-1),Parameters,2,FALSE()),4)&amp;"*",OFFSET(Data,0,0,1),0)+MATCH($C706,OFFSET(Data,1,0,1),0)-2,FALSE()))),Lacking,IF(ISNA(MATCH(DATEVALUE(LEFT($B706,4)&amp;"-"&amp;MID($B706,5,2)&amp;"-"&amp;RIGHT($B706,2)),OFFSET(Catalogus,0,0,,1),0)),Ok,VLOOKUP(DATEVALUE(LEFT($B706,4)&amp;"-"&amp;MID($B706,5,2)&amp;"-"&amp;RIGHT($B706,2)),Catalogus,MATCH(LEFT(VLOOKUP(MID(G$1,2,LEN(G$1)-1),Parameters,2,FALSE()),4)&amp;"*",OFFSET(Catalogus,0,0,1),0)+MATCH($C706,OFFSET(Catalogus,1,0,1),0)-2,FALSE())))</f>
        <v>0</v>
      </c>
    </row>
    <row r="707" spans="1:7" x14ac:dyDescent="0.25">
      <c r="A707" s="17">
        <f t="shared" si="55"/>
        <v>81</v>
      </c>
      <c r="B707" t="str">
        <f ca="1">TEXT(DATE(YEAR(Invoer!$A$5),1,1)+INT((ROWS(B$2:B707)-1)/3),"jjjjmmdd")</f>
        <v>19400823</v>
      </c>
      <c r="C707" s="35" t="str">
        <f>INDEX(Data,2,2+MOD(ROWS(C$2:C707)-1,3))</f>
        <v>07.45</v>
      </c>
      <c r="D707" s="23">
        <f t="shared" ca="1" si="56"/>
        <v>748</v>
      </c>
      <c r="E707" s="40">
        <f t="shared" ca="1" si="57"/>
        <v>0</v>
      </c>
      <c r="F707" s="23">
        <f t="shared" ca="1" si="58"/>
        <v>28</v>
      </c>
      <c r="G707" s="40">
        <f t="shared" ca="1" si="59"/>
        <v>0</v>
      </c>
    </row>
    <row r="708" spans="1:7" x14ac:dyDescent="0.25">
      <c r="A708" s="17">
        <f t="shared" si="55"/>
        <v>81</v>
      </c>
      <c r="B708" t="str">
        <f ca="1">TEXT(DATE(YEAR(Invoer!$A$5),1,1)+INT((ROWS(B$2:B708)-1)/3),"jjjjmmdd")</f>
        <v>19400823</v>
      </c>
      <c r="C708" s="35" t="str">
        <f>INDEX(Data,2,2+MOD(ROWS(C$2:C708)-1,3))</f>
        <v>13.45</v>
      </c>
      <c r="D708" s="23">
        <f t="shared" ca="1" si="56"/>
        <v>748</v>
      </c>
      <c r="E708" s="40">
        <f t="shared" ca="1" si="57"/>
        <v>0</v>
      </c>
      <c r="F708" s="23">
        <f t="shared" ca="1" si="58"/>
        <v>31</v>
      </c>
      <c r="G708" s="40">
        <f t="shared" ca="1" si="59"/>
        <v>0</v>
      </c>
    </row>
    <row r="709" spans="1:7" x14ac:dyDescent="0.25">
      <c r="A709" s="17">
        <f t="shared" si="55"/>
        <v>81</v>
      </c>
      <c r="B709" t="str">
        <f ca="1">TEXT(DATE(YEAR(Invoer!$A$5),1,1)+INT((ROWS(B$2:B709)-1)/3),"jjjjmmdd")</f>
        <v>19400823</v>
      </c>
      <c r="C709" s="35" t="str">
        <f>INDEX(Data,2,2+MOD(ROWS(C$2:C709)-1,3))</f>
        <v>19.45</v>
      </c>
      <c r="D709" s="23">
        <f t="shared" ca="1" si="56"/>
        <v>749</v>
      </c>
      <c r="E709" s="40">
        <f t="shared" ca="1" si="57"/>
        <v>0</v>
      </c>
      <c r="F709" s="23">
        <f t="shared" ca="1" si="58"/>
        <v>29</v>
      </c>
      <c r="G709" s="40">
        <f t="shared" ca="1" si="59"/>
        <v>0</v>
      </c>
    </row>
    <row r="710" spans="1:7" x14ac:dyDescent="0.25">
      <c r="A710" s="17">
        <f t="shared" si="55"/>
        <v>81</v>
      </c>
      <c r="B710" t="str">
        <f ca="1">TEXT(DATE(YEAR(Invoer!$A$5),1,1)+INT((ROWS(B$2:B710)-1)/3),"jjjjmmdd")</f>
        <v>19400824</v>
      </c>
      <c r="C710" s="35" t="str">
        <f>INDEX(Data,2,2+MOD(ROWS(C$2:C710)-1,3))</f>
        <v>07.45</v>
      </c>
      <c r="D710" s="23">
        <f t="shared" ca="1" si="56"/>
        <v>749</v>
      </c>
      <c r="E710" s="40">
        <f t="shared" ca="1" si="57"/>
        <v>0</v>
      </c>
      <c r="F710" s="23">
        <f t="shared" ca="1" si="58"/>
        <v>29</v>
      </c>
      <c r="G710" s="40">
        <f t="shared" ca="1" si="59"/>
        <v>0</v>
      </c>
    </row>
    <row r="711" spans="1:7" x14ac:dyDescent="0.25">
      <c r="A711" s="17">
        <f t="shared" si="55"/>
        <v>81</v>
      </c>
      <c r="B711" t="str">
        <f ca="1">TEXT(DATE(YEAR(Invoer!$A$5),1,1)+INT((ROWS(B$2:B711)-1)/3),"jjjjmmdd")</f>
        <v>19400824</v>
      </c>
      <c r="C711" s="35" t="str">
        <f>INDEX(Data,2,2+MOD(ROWS(C$2:C711)-1,3))</f>
        <v>13.45</v>
      </c>
      <c r="D711" s="23">
        <f t="shared" ca="1" si="56"/>
        <v>749</v>
      </c>
      <c r="E711" s="40">
        <f t="shared" ca="1" si="57"/>
        <v>0</v>
      </c>
      <c r="F711" s="23">
        <f t="shared" ca="1" si="58"/>
        <v>31</v>
      </c>
      <c r="G711" s="40">
        <f t="shared" ca="1" si="59"/>
        <v>0</v>
      </c>
    </row>
    <row r="712" spans="1:7" x14ac:dyDescent="0.25">
      <c r="A712" s="17">
        <f t="shared" si="55"/>
        <v>81</v>
      </c>
      <c r="B712" t="str">
        <f ca="1">TEXT(DATE(YEAR(Invoer!$A$5),1,1)+INT((ROWS(B$2:B712)-1)/3),"jjjjmmdd")</f>
        <v>19400824</v>
      </c>
      <c r="C712" s="35" t="str">
        <f>INDEX(Data,2,2+MOD(ROWS(C$2:C712)-1,3))</f>
        <v>19.45</v>
      </c>
      <c r="D712" s="23">
        <f t="shared" ca="1" si="56"/>
        <v>749</v>
      </c>
      <c r="E712" s="40">
        <f t="shared" ca="1" si="57"/>
        <v>0</v>
      </c>
      <c r="F712" s="23">
        <f t="shared" ca="1" si="58"/>
        <v>29</v>
      </c>
      <c r="G712" s="40">
        <f t="shared" ca="1" si="59"/>
        <v>0</v>
      </c>
    </row>
    <row r="713" spans="1:7" x14ac:dyDescent="0.25">
      <c r="A713" s="17">
        <f t="shared" si="55"/>
        <v>81</v>
      </c>
      <c r="B713" t="str">
        <f ca="1">TEXT(DATE(YEAR(Invoer!$A$5),1,1)+INT((ROWS(B$2:B713)-1)/3),"jjjjmmdd")</f>
        <v>19400825</v>
      </c>
      <c r="C713" s="35" t="str">
        <f>INDEX(Data,2,2+MOD(ROWS(C$2:C713)-1,3))</f>
        <v>07.45</v>
      </c>
      <c r="D713" s="23">
        <f t="shared" ca="1" si="56"/>
        <v>749</v>
      </c>
      <c r="E713" s="40">
        <f t="shared" ca="1" si="57"/>
        <v>0</v>
      </c>
      <c r="F713" s="23">
        <f t="shared" ca="1" si="58"/>
        <v>28</v>
      </c>
      <c r="G713" s="40">
        <f t="shared" ca="1" si="59"/>
        <v>0</v>
      </c>
    </row>
    <row r="714" spans="1:7" x14ac:dyDescent="0.25">
      <c r="A714" s="17">
        <f t="shared" si="55"/>
        <v>81</v>
      </c>
      <c r="B714" t="str">
        <f ca="1">TEXT(DATE(YEAR(Invoer!$A$5),1,1)+INT((ROWS(B$2:B714)-1)/3),"jjjjmmdd")</f>
        <v>19400825</v>
      </c>
      <c r="C714" s="35" t="str">
        <f>INDEX(Data,2,2+MOD(ROWS(C$2:C714)-1,3))</f>
        <v>13.45</v>
      </c>
      <c r="D714" s="23">
        <f t="shared" ca="1" si="56"/>
        <v>750</v>
      </c>
      <c r="E714" s="40">
        <f t="shared" ca="1" si="57"/>
        <v>0</v>
      </c>
      <c r="F714" s="23">
        <f t="shared" ca="1" si="58"/>
        <v>31</v>
      </c>
      <c r="G714" s="40">
        <f t="shared" ca="1" si="59"/>
        <v>0</v>
      </c>
    </row>
    <row r="715" spans="1:7" x14ac:dyDescent="0.25">
      <c r="A715" s="17">
        <f t="shared" si="55"/>
        <v>81</v>
      </c>
      <c r="B715" t="str">
        <f ca="1">TEXT(DATE(YEAR(Invoer!$A$5),1,1)+INT((ROWS(B$2:B715)-1)/3),"jjjjmmdd")</f>
        <v>19400825</v>
      </c>
      <c r="C715" s="35" t="str">
        <f>INDEX(Data,2,2+MOD(ROWS(C$2:C715)-1,3))</f>
        <v>19.45</v>
      </c>
      <c r="D715" s="23">
        <f t="shared" ca="1" si="56"/>
        <v>750</v>
      </c>
      <c r="E715" s="40">
        <f t="shared" ca="1" si="57"/>
        <v>0</v>
      </c>
      <c r="F715" s="23">
        <f t="shared" ca="1" si="58"/>
        <v>29</v>
      </c>
      <c r="G715" s="40">
        <f t="shared" ca="1" si="59"/>
        <v>0</v>
      </c>
    </row>
    <row r="716" spans="1:7" x14ac:dyDescent="0.25">
      <c r="A716" s="17">
        <f t="shared" si="55"/>
        <v>81</v>
      </c>
      <c r="B716" t="str">
        <f ca="1">TEXT(DATE(YEAR(Invoer!$A$5),1,1)+INT((ROWS(B$2:B716)-1)/3),"jjjjmmdd")</f>
        <v>19400826</v>
      </c>
      <c r="C716" s="35" t="str">
        <f>INDEX(Data,2,2+MOD(ROWS(C$2:C716)-1,3))</f>
        <v>07.45</v>
      </c>
      <c r="D716" s="23">
        <f t="shared" ca="1" si="56"/>
        <v>750</v>
      </c>
      <c r="E716" s="40">
        <f t="shared" ca="1" si="57"/>
        <v>0</v>
      </c>
      <c r="F716" s="23">
        <f t="shared" ca="1" si="58"/>
        <v>29</v>
      </c>
      <c r="G716" s="40">
        <f t="shared" ca="1" si="59"/>
        <v>0</v>
      </c>
    </row>
    <row r="717" spans="1:7" x14ac:dyDescent="0.25">
      <c r="A717" s="17">
        <f t="shared" si="55"/>
        <v>81</v>
      </c>
      <c r="B717" t="str">
        <f ca="1">TEXT(DATE(YEAR(Invoer!$A$5),1,1)+INT((ROWS(B$2:B717)-1)/3),"jjjjmmdd")</f>
        <v>19400826</v>
      </c>
      <c r="C717" s="35" t="str">
        <f>INDEX(Data,2,2+MOD(ROWS(C$2:C717)-1,3))</f>
        <v>13.45</v>
      </c>
      <c r="D717" s="23">
        <f t="shared" ca="1" si="56"/>
        <v>750</v>
      </c>
      <c r="E717" s="40">
        <f t="shared" ca="1" si="57"/>
        <v>0</v>
      </c>
      <c r="F717" s="23">
        <f t="shared" ca="1" si="58"/>
        <v>31</v>
      </c>
      <c r="G717" s="40">
        <f t="shared" ca="1" si="59"/>
        <v>0</v>
      </c>
    </row>
    <row r="718" spans="1:7" x14ac:dyDescent="0.25">
      <c r="A718" s="17">
        <f t="shared" si="55"/>
        <v>81</v>
      </c>
      <c r="B718" t="str">
        <f ca="1">TEXT(DATE(YEAR(Invoer!$A$5),1,1)+INT((ROWS(B$2:B718)-1)/3),"jjjjmmdd")</f>
        <v>19400826</v>
      </c>
      <c r="C718" s="35" t="str">
        <f>INDEX(Data,2,2+MOD(ROWS(C$2:C718)-1,3))</f>
        <v>19.45</v>
      </c>
      <c r="D718" s="23">
        <f t="shared" ca="1" si="56"/>
        <v>750</v>
      </c>
      <c r="E718" s="40">
        <f t="shared" ca="1" si="57"/>
        <v>0</v>
      </c>
      <c r="F718" s="23">
        <f t="shared" ca="1" si="58"/>
        <v>29</v>
      </c>
      <c r="G718" s="40">
        <f t="shared" ca="1" si="59"/>
        <v>0</v>
      </c>
    </row>
    <row r="719" spans="1:7" x14ac:dyDescent="0.25">
      <c r="A719" s="17">
        <f t="shared" si="55"/>
        <v>81</v>
      </c>
      <c r="B719" t="str">
        <f ca="1">TEXT(DATE(YEAR(Invoer!$A$5),1,1)+INT((ROWS(B$2:B719)-1)/3),"jjjjmmdd")</f>
        <v>19400827</v>
      </c>
      <c r="C719" s="35" t="str">
        <f>INDEX(Data,2,2+MOD(ROWS(C$2:C719)-1,3))</f>
        <v>07.45</v>
      </c>
      <c r="D719" s="23">
        <f t="shared" ca="1" si="56"/>
        <v>750</v>
      </c>
      <c r="E719" s="40">
        <f t="shared" ca="1" si="57"/>
        <v>0</v>
      </c>
      <c r="F719" s="23">
        <f t="shared" ca="1" si="58"/>
        <v>29</v>
      </c>
      <c r="G719" s="40">
        <f t="shared" ca="1" si="59"/>
        <v>0</v>
      </c>
    </row>
    <row r="720" spans="1:7" x14ac:dyDescent="0.25">
      <c r="A720" s="17">
        <f t="shared" si="55"/>
        <v>81</v>
      </c>
      <c r="B720" t="str">
        <f ca="1">TEXT(DATE(YEAR(Invoer!$A$5),1,1)+INT((ROWS(B$2:B720)-1)/3),"jjjjmmdd")</f>
        <v>19400827</v>
      </c>
      <c r="C720" s="35" t="str">
        <f>INDEX(Data,2,2+MOD(ROWS(C$2:C720)-1,3))</f>
        <v>13.45</v>
      </c>
      <c r="D720" s="23">
        <f t="shared" ca="1" si="56"/>
        <v>749</v>
      </c>
      <c r="E720" s="40">
        <f t="shared" ca="1" si="57"/>
        <v>0</v>
      </c>
      <c r="F720" s="23">
        <f t="shared" ca="1" si="58"/>
        <v>31</v>
      </c>
      <c r="G720" s="40">
        <f t="shared" ca="1" si="59"/>
        <v>0</v>
      </c>
    </row>
    <row r="721" spans="1:7" x14ac:dyDescent="0.25">
      <c r="A721" s="17">
        <f t="shared" si="55"/>
        <v>81</v>
      </c>
      <c r="B721" t="str">
        <f ca="1">TEXT(DATE(YEAR(Invoer!$A$5),1,1)+INT((ROWS(B$2:B721)-1)/3),"jjjjmmdd")</f>
        <v>19400827</v>
      </c>
      <c r="C721" s="35" t="str">
        <f>INDEX(Data,2,2+MOD(ROWS(C$2:C721)-1,3))</f>
        <v>19.45</v>
      </c>
      <c r="D721" s="23">
        <f t="shared" ca="1" si="56"/>
        <v>750</v>
      </c>
      <c r="E721" s="40">
        <f t="shared" ca="1" si="57"/>
        <v>0</v>
      </c>
      <c r="F721" s="23">
        <f t="shared" ca="1" si="58"/>
        <v>29</v>
      </c>
      <c r="G721" s="40">
        <f t="shared" ca="1" si="59"/>
        <v>0</v>
      </c>
    </row>
    <row r="722" spans="1:7" x14ac:dyDescent="0.25">
      <c r="A722" s="17">
        <f t="shared" si="55"/>
        <v>81</v>
      </c>
      <c r="B722" t="str">
        <f ca="1">TEXT(DATE(YEAR(Invoer!$A$5),1,1)+INT((ROWS(B$2:B722)-1)/3),"jjjjmmdd")</f>
        <v>19400828</v>
      </c>
      <c r="C722" s="35" t="str">
        <f>INDEX(Data,2,2+MOD(ROWS(C$2:C722)-1,3))</f>
        <v>07.45</v>
      </c>
      <c r="D722" s="23">
        <f t="shared" ca="1" si="56"/>
        <v>749</v>
      </c>
      <c r="E722" s="40">
        <f t="shared" ca="1" si="57"/>
        <v>0</v>
      </c>
      <c r="F722" s="23">
        <f t="shared" ca="1" si="58"/>
        <v>29</v>
      </c>
      <c r="G722" s="40">
        <f t="shared" ca="1" si="59"/>
        <v>0</v>
      </c>
    </row>
    <row r="723" spans="1:7" x14ac:dyDescent="0.25">
      <c r="A723" s="17">
        <f t="shared" si="55"/>
        <v>81</v>
      </c>
      <c r="B723" t="str">
        <f ca="1">TEXT(DATE(YEAR(Invoer!$A$5),1,1)+INT((ROWS(B$2:B723)-1)/3),"jjjjmmdd")</f>
        <v>19400828</v>
      </c>
      <c r="C723" s="35" t="str">
        <f>INDEX(Data,2,2+MOD(ROWS(C$2:C723)-1,3))</f>
        <v>13.45</v>
      </c>
      <c r="D723" s="23">
        <f t="shared" ca="1" si="56"/>
        <v>749</v>
      </c>
      <c r="E723" s="40">
        <f t="shared" ca="1" si="57"/>
        <v>0</v>
      </c>
      <c r="F723" s="23">
        <f t="shared" ca="1" si="58"/>
        <v>31</v>
      </c>
      <c r="G723" s="40">
        <f t="shared" ca="1" si="59"/>
        <v>0</v>
      </c>
    </row>
    <row r="724" spans="1:7" x14ac:dyDescent="0.25">
      <c r="A724" s="17">
        <f t="shared" si="55"/>
        <v>81</v>
      </c>
      <c r="B724" t="str">
        <f ca="1">TEXT(DATE(YEAR(Invoer!$A$5),1,1)+INT((ROWS(B$2:B724)-1)/3),"jjjjmmdd")</f>
        <v>19400828</v>
      </c>
      <c r="C724" s="35" t="str">
        <f>INDEX(Data,2,2+MOD(ROWS(C$2:C724)-1,3))</f>
        <v>19.45</v>
      </c>
      <c r="D724" s="23">
        <f t="shared" ca="1" si="56"/>
        <v>749</v>
      </c>
      <c r="E724" s="40">
        <f t="shared" ca="1" si="57"/>
        <v>0</v>
      </c>
      <c r="F724" s="23">
        <f t="shared" ca="1" si="58"/>
        <v>30</v>
      </c>
      <c r="G724" s="40">
        <f t="shared" ca="1" si="59"/>
        <v>0</v>
      </c>
    </row>
    <row r="725" spans="1:7" x14ac:dyDescent="0.25">
      <c r="A725" s="17">
        <f t="shared" si="55"/>
        <v>81</v>
      </c>
      <c r="B725" t="str">
        <f ca="1">TEXT(DATE(YEAR(Invoer!$A$5),1,1)+INT((ROWS(B$2:B725)-1)/3),"jjjjmmdd")</f>
        <v>19400829</v>
      </c>
      <c r="C725" s="35" t="str">
        <f>INDEX(Data,2,2+MOD(ROWS(C$2:C725)-1,3))</f>
        <v>07.45</v>
      </c>
      <c r="D725" s="23">
        <f t="shared" ca="1" si="56"/>
        <v>749</v>
      </c>
      <c r="E725" s="40">
        <f t="shared" ca="1" si="57"/>
        <v>0</v>
      </c>
      <c r="F725" s="23">
        <f t="shared" ca="1" si="58"/>
        <v>28</v>
      </c>
      <c r="G725" s="40">
        <f t="shared" ca="1" si="59"/>
        <v>0</v>
      </c>
    </row>
    <row r="726" spans="1:7" x14ac:dyDescent="0.25">
      <c r="A726" s="17">
        <f t="shared" si="55"/>
        <v>81</v>
      </c>
      <c r="B726" t="str">
        <f ca="1">TEXT(DATE(YEAR(Invoer!$A$5),1,1)+INT((ROWS(B$2:B726)-1)/3),"jjjjmmdd")</f>
        <v>19400829</v>
      </c>
      <c r="C726" s="35" t="str">
        <f>INDEX(Data,2,2+MOD(ROWS(C$2:C726)-1,3))</f>
        <v>13.45</v>
      </c>
      <c r="D726" s="23">
        <f t="shared" ca="1" si="56"/>
        <v>749</v>
      </c>
      <c r="E726" s="40">
        <f t="shared" ca="1" si="57"/>
        <v>0</v>
      </c>
      <c r="F726" s="23">
        <f t="shared" ca="1" si="58"/>
        <v>30</v>
      </c>
      <c r="G726" s="40">
        <f t="shared" ca="1" si="59"/>
        <v>0</v>
      </c>
    </row>
    <row r="727" spans="1:7" x14ac:dyDescent="0.25">
      <c r="A727" s="17">
        <f t="shared" si="55"/>
        <v>81</v>
      </c>
      <c r="B727" t="str">
        <f ca="1">TEXT(DATE(YEAR(Invoer!$A$5),1,1)+INT((ROWS(B$2:B727)-1)/3),"jjjjmmdd")</f>
        <v>19400829</v>
      </c>
      <c r="C727" s="35" t="str">
        <f>INDEX(Data,2,2+MOD(ROWS(C$2:C727)-1,3))</f>
        <v>19.45</v>
      </c>
      <c r="D727" s="23">
        <f t="shared" ca="1" si="56"/>
        <v>750</v>
      </c>
      <c r="E727" s="40">
        <f t="shared" ca="1" si="57"/>
        <v>0</v>
      </c>
      <c r="F727" s="23">
        <f t="shared" ca="1" si="58"/>
        <v>29</v>
      </c>
      <c r="G727" s="40">
        <f t="shared" ca="1" si="59"/>
        <v>0</v>
      </c>
    </row>
    <row r="728" spans="1:7" x14ac:dyDescent="0.25">
      <c r="A728" s="17">
        <f t="shared" si="55"/>
        <v>81</v>
      </c>
      <c r="B728" t="str">
        <f ca="1">TEXT(DATE(YEAR(Invoer!$A$5),1,1)+INT((ROWS(B$2:B728)-1)/3),"jjjjmmdd")</f>
        <v>19400830</v>
      </c>
      <c r="C728" s="35" t="str">
        <f>INDEX(Data,2,2+MOD(ROWS(C$2:C728)-1,3))</f>
        <v>07.45</v>
      </c>
      <c r="D728" s="23">
        <f t="shared" ca="1" si="56"/>
        <v>750</v>
      </c>
      <c r="E728" s="40">
        <f t="shared" ca="1" si="57"/>
        <v>0</v>
      </c>
      <c r="F728" s="23">
        <f t="shared" ca="1" si="58"/>
        <v>29</v>
      </c>
      <c r="G728" s="40">
        <f t="shared" ca="1" si="59"/>
        <v>0</v>
      </c>
    </row>
    <row r="729" spans="1:7" x14ac:dyDescent="0.25">
      <c r="A729" s="17">
        <f t="shared" si="55"/>
        <v>81</v>
      </c>
      <c r="B729" t="str">
        <f ca="1">TEXT(DATE(YEAR(Invoer!$A$5),1,1)+INT((ROWS(B$2:B729)-1)/3),"jjjjmmdd")</f>
        <v>19400830</v>
      </c>
      <c r="C729" s="35" t="str">
        <f>INDEX(Data,2,2+MOD(ROWS(C$2:C729)-1,3))</f>
        <v>13.45</v>
      </c>
      <c r="D729" s="23">
        <f t="shared" ca="1" si="56"/>
        <v>750</v>
      </c>
      <c r="E729" s="40">
        <f t="shared" ca="1" si="57"/>
        <v>0</v>
      </c>
      <c r="F729" s="23">
        <f t="shared" ca="1" si="58"/>
        <v>31</v>
      </c>
      <c r="G729" s="40">
        <f t="shared" ca="1" si="59"/>
        <v>0</v>
      </c>
    </row>
    <row r="730" spans="1:7" x14ac:dyDescent="0.25">
      <c r="A730" s="17">
        <f t="shared" si="55"/>
        <v>81</v>
      </c>
      <c r="B730" t="str">
        <f ca="1">TEXT(DATE(YEAR(Invoer!$A$5),1,1)+INT((ROWS(B$2:B730)-1)/3),"jjjjmmdd")</f>
        <v>19400830</v>
      </c>
      <c r="C730" s="35" t="str">
        <f>INDEX(Data,2,2+MOD(ROWS(C$2:C730)-1,3))</f>
        <v>19.45</v>
      </c>
      <c r="D730" s="23">
        <f t="shared" ca="1" si="56"/>
        <v>750</v>
      </c>
      <c r="E730" s="40">
        <f t="shared" ca="1" si="57"/>
        <v>0</v>
      </c>
      <c r="F730" s="23">
        <f t="shared" ca="1" si="58"/>
        <v>30</v>
      </c>
      <c r="G730" s="40">
        <f t="shared" ca="1" si="59"/>
        <v>0</v>
      </c>
    </row>
    <row r="731" spans="1:7" x14ac:dyDescent="0.25">
      <c r="A731" s="17">
        <f t="shared" si="55"/>
        <v>81</v>
      </c>
      <c r="B731" t="str">
        <f ca="1">TEXT(DATE(YEAR(Invoer!$A$5),1,1)+INT((ROWS(B$2:B731)-1)/3),"jjjjmmdd")</f>
        <v>19400831</v>
      </c>
      <c r="C731" s="35" t="str">
        <f>INDEX(Data,2,2+MOD(ROWS(C$2:C731)-1,3))</f>
        <v>07.45</v>
      </c>
      <c r="D731" s="23">
        <f t="shared" ca="1" si="56"/>
        <v>749</v>
      </c>
      <c r="E731" s="40">
        <f t="shared" ca="1" si="57"/>
        <v>0</v>
      </c>
      <c r="F731" s="23">
        <f t="shared" ca="1" si="58"/>
        <v>29</v>
      </c>
      <c r="G731" s="40">
        <f t="shared" ca="1" si="59"/>
        <v>0</v>
      </c>
    </row>
    <row r="732" spans="1:7" x14ac:dyDescent="0.25">
      <c r="A732" s="17">
        <f t="shared" si="55"/>
        <v>81</v>
      </c>
      <c r="B732" t="str">
        <f ca="1">TEXT(DATE(YEAR(Invoer!$A$5),1,1)+INT((ROWS(B$2:B732)-1)/3),"jjjjmmdd")</f>
        <v>19400831</v>
      </c>
      <c r="C732" s="35" t="str">
        <f>INDEX(Data,2,2+MOD(ROWS(C$2:C732)-1,3))</f>
        <v>13.45</v>
      </c>
      <c r="D732" s="23">
        <f t="shared" ca="1" si="56"/>
        <v>748</v>
      </c>
      <c r="E732" s="40">
        <f t="shared" ca="1" si="57"/>
        <v>0</v>
      </c>
      <c r="F732" s="23">
        <f t="shared" ca="1" si="58"/>
        <v>31</v>
      </c>
      <c r="G732" s="40">
        <f t="shared" ca="1" si="59"/>
        <v>0</v>
      </c>
    </row>
    <row r="733" spans="1:7" x14ac:dyDescent="0.25">
      <c r="A733" s="17">
        <f t="shared" si="55"/>
        <v>81</v>
      </c>
      <c r="B733" t="str">
        <f ca="1">TEXT(DATE(YEAR(Invoer!$A$5),1,1)+INT((ROWS(B$2:B733)-1)/3),"jjjjmmdd")</f>
        <v>19400831</v>
      </c>
      <c r="C733" s="35" t="str">
        <f>INDEX(Data,2,2+MOD(ROWS(C$2:C733)-1,3))</f>
        <v>19.45</v>
      </c>
      <c r="D733" s="23">
        <f t="shared" ca="1" si="56"/>
        <v>748</v>
      </c>
      <c r="E733" s="40">
        <f t="shared" ca="1" si="57"/>
        <v>0</v>
      </c>
      <c r="F733" s="23">
        <f t="shared" ca="1" si="58"/>
        <v>30</v>
      </c>
      <c r="G733" s="40">
        <f t="shared" ca="1" si="59"/>
        <v>0</v>
      </c>
    </row>
    <row r="734" spans="1:7" x14ac:dyDescent="0.25">
      <c r="A734" s="17">
        <f t="shared" si="55"/>
        <v>81</v>
      </c>
      <c r="B734" t="str">
        <f ca="1">TEXT(DATE(YEAR(Invoer!$A$5),1,1)+INT((ROWS(B$2:B734)-1)/3),"jjjjmmdd")</f>
        <v>19400901</v>
      </c>
      <c r="C734" s="35" t="str">
        <f>INDEX(Data,2,2+MOD(ROWS(C$2:C734)-1,3))</f>
        <v>07.45</v>
      </c>
      <c r="D734" s="23">
        <f t="shared" ca="1" si="56"/>
        <v>748</v>
      </c>
      <c r="E734" s="40">
        <f t="shared" ca="1" si="57"/>
        <v>0</v>
      </c>
      <c r="F734" s="23">
        <f t="shared" ca="1" si="58"/>
        <v>28</v>
      </c>
      <c r="G734" s="40">
        <f t="shared" ca="1" si="59"/>
        <v>0</v>
      </c>
    </row>
    <row r="735" spans="1:7" x14ac:dyDescent="0.25">
      <c r="A735" s="17">
        <f t="shared" si="55"/>
        <v>81</v>
      </c>
      <c r="B735" t="str">
        <f ca="1">TEXT(DATE(YEAR(Invoer!$A$5),1,1)+INT((ROWS(B$2:B735)-1)/3),"jjjjmmdd")</f>
        <v>19400901</v>
      </c>
      <c r="C735" s="35" t="str">
        <f>INDEX(Data,2,2+MOD(ROWS(C$2:C735)-1,3))</f>
        <v>13.45</v>
      </c>
      <c r="D735" s="23">
        <f t="shared" ca="1" si="56"/>
        <v>748</v>
      </c>
      <c r="E735" s="40">
        <f t="shared" ca="1" si="57"/>
        <v>0</v>
      </c>
      <c r="F735" s="23">
        <f t="shared" ca="1" si="58"/>
        <v>31</v>
      </c>
      <c r="G735" s="40">
        <f t="shared" ca="1" si="59"/>
        <v>0</v>
      </c>
    </row>
    <row r="736" spans="1:7" x14ac:dyDescent="0.25">
      <c r="A736" s="17">
        <f t="shared" si="55"/>
        <v>81</v>
      </c>
      <c r="B736" t="str">
        <f ca="1">TEXT(DATE(YEAR(Invoer!$A$5),1,1)+INT((ROWS(B$2:B736)-1)/3),"jjjjmmdd")</f>
        <v>19400901</v>
      </c>
      <c r="C736" s="35" t="str">
        <f>INDEX(Data,2,2+MOD(ROWS(C$2:C736)-1,3))</f>
        <v>19.45</v>
      </c>
      <c r="D736" s="23">
        <f t="shared" ca="1" si="56"/>
        <v>748</v>
      </c>
      <c r="E736" s="40">
        <f t="shared" ca="1" si="57"/>
        <v>0</v>
      </c>
      <c r="F736" s="23">
        <f t="shared" ca="1" si="58"/>
        <v>30</v>
      </c>
      <c r="G736" s="40">
        <f t="shared" ca="1" si="59"/>
        <v>0</v>
      </c>
    </row>
    <row r="737" spans="1:7" x14ac:dyDescent="0.25">
      <c r="A737" s="17">
        <f t="shared" si="55"/>
        <v>81</v>
      </c>
      <c r="B737" t="str">
        <f ca="1">TEXT(DATE(YEAR(Invoer!$A$5),1,1)+INT((ROWS(B$2:B737)-1)/3),"jjjjmmdd")</f>
        <v>19400902</v>
      </c>
      <c r="C737" s="35" t="str">
        <f>INDEX(Data,2,2+MOD(ROWS(C$2:C737)-1,3))</f>
        <v>07.45</v>
      </c>
      <c r="D737" s="23">
        <f t="shared" ca="1" si="56"/>
        <v>747</v>
      </c>
      <c r="E737" s="40">
        <f t="shared" ca="1" si="57"/>
        <v>0</v>
      </c>
      <c r="F737" s="23">
        <f t="shared" ca="1" si="58"/>
        <v>28</v>
      </c>
      <c r="G737" s="40">
        <f t="shared" ca="1" si="59"/>
        <v>0</v>
      </c>
    </row>
    <row r="738" spans="1:7" x14ac:dyDescent="0.25">
      <c r="A738" s="17">
        <f t="shared" si="55"/>
        <v>81</v>
      </c>
      <c r="B738" t="str">
        <f ca="1">TEXT(DATE(YEAR(Invoer!$A$5),1,1)+INT((ROWS(B$2:B738)-1)/3),"jjjjmmdd")</f>
        <v>19400902</v>
      </c>
      <c r="C738" s="35" t="str">
        <f>INDEX(Data,2,2+MOD(ROWS(C$2:C738)-1,3))</f>
        <v>13.45</v>
      </c>
      <c r="D738" s="23">
        <f t="shared" ca="1" si="56"/>
        <v>748</v>
      </c>
      <c r="E738" s="40">
        <f t="shared" ca="1" si="57"/>
        <v>0</v>
      </c>
      <c r="F738" s="23">
        <f t="shared" ca="1" si="58"/>
        <v>31</v>
      </c>
      <c r="G738" s="40">
        <f t="shared" ca="1" si="59"/>
        <v>0</v>
      </c>
    </row>
    <row r="739" spans="1:7" x14ac:dyDescent="0.25">
      <c r="A739" s="17">
        <f t="shared" si="55"/>
        <v>81</v>
      </c>
      <c r="B739" t="str">
        <f ca="1">TEXT(DATE(YEAR(Invoer!$A$5),1,1)+INT((ROWS(B$2:B739)-1)/3),"jjjjmmdd")</f>
        <v>19400902</v>
      </c>
      <c r="C739" s="35" t="str">
        <f>INDEX(Data,2,2+MOD(ROWS(C$2:C739)-1,3))</f>
        <v>19.45</v>
      </c>
      <c r="D739" s="23">
        <f t="shared" ca="1" si="56"/>
        <v>748</v>
      </c>
      <c r="E739" s="40">
        <f t="shared" ca="1" si="57"/>
        <v>0</v>
      </c>
      <c r="F739" s="23">
        <f t="shared" ca="1" si="58"/>
        <v>30</v>
      </c>
      <c r="G739" s="40">
        <f t="shared" ca="1" si="59"/>
        <v>0</v>
      </c>
    </row>
    <row r="740" spans="1:7" x14ac:dyDescent="0.25">
      <c r="A740" s="17">
        <f t="shared" si="55"/>
        <v>81</v>
      </c>
      <c r="B740" t="str">
        <f ca="1">TEXT(DATE(YEAR(Invoer!$A$5),1,1)+INT((ROWS(B$2:B740)-1)/3),"jjjjmmdd")</f>
        <v>19400903</v>
      </c>
      <c r="C740" s="35" t="str">
        <f>INDEX(Data,2,2+MOD(ROWS(C$2:C740)-1,3))</f>
        <v>07.45</v>
      </c>
      <c r="D740" s="23">
        <f t="shared" ca="1" si="56"/>
        <v>748</v>
      </c>
      <c r="E740" s="40">
        <f t="shared" ca="1" si="57"/>
        <v>0</v>
      </c>
      <c r="F740" s="23">
        <f t="shared" ca="1" si="58"/>
        <v>28</v>
      </c>
      <c r="G740" s="40">
        <f t="shared" ca="1" si="59"/>
        <v>0</v>
      </c>
    </row>
    <row r="741" spans="1:7" x14ac:dyDescent="0.25">
      <c r="A741" s="17">
        <f t="shared" si="55"/>
        <v>81</v>
      </c>
      <c r="B741" t="str">
        <f ca="1">TEXT(DATE(YEAR(Invoer!$A$5),1,1)+INT((ROWS(B$2:B741)-1)/3),"jjjjmmdd")</f>
        <v>19400903</v>
      </c>
      <c r="C741" s="35" t="str">
        <f>INDEX(Data,2,2+MOD(ROWS(C$2:C741)-1,3))</f>
        <v>13.45</v>
      </c>
      <c r="D741" s="23">
        <f t="shared" ca="1" si="56"/>
        <v>748</v>
      </c>
      <c r="E741" s="40">
        <f t="shared" ca="1" si="57"/>
        <v>0</v>
      </c>
      <c r="F741" s="23">
        <f t="shared" ca="1" si="58"/>
        <v>30</v>
      </c>
      <c r="G741" s="40">
        <f t="shared" ca="1" si="59"/>
        <v>0</v>
      </c>
    </row>
    <row r="742" spans="1:7" x14ac:dyDescent="0.25">
      <c r="A742" s="17">
        <f t="shared" si="55"/>
        <v>81</v>
      </c>
      <c r="B742" t="str">
        <f ca="1">TEXT(DATE(YEAR(Invoer!$A$5),1,1)+INT((ROWS(B$2:B742)-1)/3),"jjjjmmdd")</f>
        <v>19400903</v>
      </c>
      <c r="C742" s="35" t="str">
        <f>INDEX(Data,2,2+MOD(ROWS(C$2:C742)-1,3))</f>
        <v>19.45</v>
      </c>
      <c r="D742" s="23">
        <f t="shared" ca="1" si="56"/>
        <v>748</v>
      </c>
      <c r="E742" s="40">
        <f t="shared" ca="1" si="57"/>
        <v>0</v>
      </c>
      <c r="F742" s="23">
        <f t="shared" ca="1" si="58"/>
        <v>29</v>
      </c>
      <c r="G742" s="40">
        <f t="shared" ca="1" si="59"/>
        <v>0</v>
      </c>
    </row>
    <row r="743" spans="1:7" x14ac:dyDescent="0.25">
      <c r="A743" s="17">
        <f t="shared" si="55"/>
        <v>81</v>
      </c>
      <c r="B743" t="str">
        <f ca="1">TEXT(DATE(YEAR(Invoer!$A$5),1,1)+INT((ROWS(B$2:B743)-1)/3),"jjjjmmdd")</f>
        <v>19400904</v>
      </c>
      <c r="C743" s="35" t="str">
        <f>INDEX(Data,2,2+MOD(ROWS(C$2:C743)-1,3))</f>
        <v>07.45</v>
      </c>
      <c r="D743" s="23">
        <f t="shared" ca="1" si="56"/>
        <v>748</v>
      </c>
      <c r="E743" s="40">
        <f t="shared" ca="1" si="57"/>
        <v>0</v>
      </c>
      <c r="F743" s="23">
        <f t="shared" ca="1" si="58"/>
        <v>28</v>
      </c>
      <c r="G743" s="40">
        <f t="shared" ca="1" si="59"/>
        <v>0</v>
      </c>
    </row>
    <row r="744" spans="1:7" x14ac:dyDescent="0.25">
      <c r="A744" s="17">
        <f t="shared" si="55"/>
        <v>81</v>
      </c>
      <c r="B744" t="str">
        <f ca="1">TEXT(DATE(YEAR(Invoer!$A$5),1,1)+INT((ROWS(B$2:B744)-1)/3),"jjjjmmdd")</f>
        <v>19400904</v>
      </c>
      <c r="C744" s="35" t="str">
        <f>INDEX(Data,2,2+MOD(ROWS(C$2:C744)-1,3))</f>
        <v>13.45</v>
      </c>
      <c r="D744" s="23">
        <f t="shared" ca="1" si="56"/>
        <v>748</v>
      </c>
      <c r="E744" s="40">
        <f t="shared" ca="1" si="57"/>
        <v>0</v>
      </c>
      <c r="F744" s="23">
        <f t="shared" ca="1" si="58"/>
        <v>31</v>
      </c>
      <c r="G744" s="40">
        <f t="shared" ca="1" si="59"/>
        <v>0</v>
      </c>
    </row>
    <row r="745" spans="1:7" x14ac:dyDescent="0.25">
      <c r="A745" s="17">
        <f t="shared" si="55"/>
        <v>81</v>
      </c>
      <c r="B745" t="str">
        <f ca="1">TEXT(DATE(YEAR(Invoer!$A$5),1,1)+INT((ROWS(B$2:B745)-1)/3),"jjjjmmdd")</f>
        <v>19400904</v>
      </c>
      <c r="C745" s="35" t="str">
        <f>INDEX(Data,2,2+MOD(ROWS(C$2:C745)-1,3))</f>
        <v>19.45</v>
      </c>
      <c r="D745" s="23">
        <f t="shared" ca="1" si="56"/>
        <v>748</v>
      </c>
      <c r="E745" s="40">
        <f t="shared" ca="1" si="57"/>
        <v>0</v>
      </c>
      <c r="F745" s="23">
        <f t="shared" ca="1" si="58"/>
        <v>30</v>
      </c>
      <c r="G745" s="40">
        <f t="shared" ca="1" si="59"/>
        <v>0</v>
      </c>
    </row>
    <row r="746" spans="1:7" x14ac:dyDescent="0.25">
      <c r="A746" s="17">
        <f t="shared" si="55"/>
        <v>81</v>
      </c>
      <c r="B746" t="str">
        <f ca="1">TEXT(DATE(YEAR(Invoer!$A$5),1,1)+INT((ROWS(B$2:B746)-1)/3),"jjjjmmdd")</f>
        <v>19400905</v>
      </c>
      <c r="C746" s="35" t="str">
        <f>INDEX(Data,2,2+MOD(ROWS(C$2:C746)-1,3))</f>
        <v>07.45</v>
      </c>
      <c r="D746" s="23">
        <f t="shared" ca="1" si="56"/>
        <v>748</v>
      </c>
      <c r="E746" s="40">
        <f t="shared" ca="1" si="57"/>
        <v>0</v>
      </c>
      <c r="F746" s="23">
        <f t="shared" ca="1" si="58"/>
        <v>28</v>
      </c>
      <c r="G746" s="40">
        <f t="shared" ca="1" si="59"/>
        <v>0</v>
      </c>
    </row>
    <row r="747" spans="1:7" x14ac:dyDescent="0.25">
      <c r="A747" s="17">
        <f t="shared" si="55"/>
        <v>81</v>
      </c>
      <c r="B747" t="str">
        <f ca="1">TEXT(DATE(YEAR(Invoer!$A$5),1,1)+INT((ROWS(B$2:B747)-1)/3),"jjjjmmdd")</f>
        <v>19400905</v>
      </c>
      <c r="C747" s="35" t="str">
        <f>INDEX(Data,2,2+MOD(ROWS(C$2:C747)-1,3))</f>
        <v>13.45</v>
      </c>
      <c r="D747" s="23">
        <f t="shared" ca="1" si="56"/>
        <v>748</v>
      </c>
      <c r="E747" s="40">
        <f t="shared" ca="1" si="57"/>
        <v>0</v>
      </c>
      <c r="F747" s="23">
        <f t="shared" ca="1" si="58"/>
        <v>31</v>
      </c>
      <c r="G747" s="40">
        <f t="shared" ca="1" si="59"/>
        <v>0</v>
      </c>
    </row>
    <row r="748" spans="1:7" x14ac:dyDescent="0.25">
      <c r="A748" s="17">
        <f t="shared" si="55"/>
        <v>81</v>
      </c>
      <c r="B748" t="str">
        <f ca="1">TEXT(DATE(YEAR(Invoer!$A$5),1,1)+INT((ROWS(B$2:B748)-1)/3),"jjjjmmdd")</f>
        <v>19400905</v>
      </c>
      <c r="C748" s="35" t="str">
        <f>INDEX(Data,2,2+MOD(ROWS(C$2:C748)-1,3))</f>
        <v>19.45</v>
      </c>
      <c r="D748" s="23">
        <f t="shared" ca="1" si="56"/>
        <v>748</v>
      </c>
      <c r="E748" s="40">
        <f t="shared" ca="1" si="57"/>
        <v>0</v>
      </c>
      <c r="F748" s="23">
        <f t="shared" ca="1" si="58"/>
        <v>30</v>
      </c>
      <c r="G748" s="40">
        <f t="shared" ca="1" si="59"/>
        <v>0</v>
      </c>
    </row>
    <row r="749" spans="1:7" x14ac:dyDescent="0.25">
      <c r="A749" s="17">
        <f t="shared" si="55"/>
        <v>81</v>
      </c>
      <c r="B749" t="str">
        <f ca="1">TEXT(DATE(YEAR(Invoer!$A$5),1,1)+INT((ROWS(B$2:B749)-1)/3),"jjjjmmdd")</f>
        <v>19400906</v>
      </c>
      <c r="C749" s="35" t="str">
        <f>INDEX(Data,2,2+MOD(ROWS(C$2:C749)-1,3))</f>
        <v>07.45</v>
      </c>
      <c r="D749" s="23">
        <f t="shared" ca="1" si="56"/>
        <v>748</v>
      </c>
      <c r="E749" s="40">
        <f t="shared" ca="1" si="57"/>
        <v>0</v>
      </c>
      <c r="F749" s="23">
        <f t="shared" ca="1" si="58"/>
        <v>28</v>
      </c>
      <c r="G749" s="40">
        <f t="shared" ca="1" si="59"/>
        <v>0</v>
      </c>
    </row>
    <row r="750" spans="1:7" x14ac:dyDescent="0.25">
      <c r="A750" s="17">
        <f t="shared" si="55"/>
        <v>81</v>
      </c>
      <c r="B750" t="str">
        <f ca="1">TEXT(DATE(YEAR(Invoer!$A$5),1,1)+INT((ROWS(B$2:B750)-1)/3),"jjjjmmdd")</f>
        <v>19400906</v>
      </c>
      <c r="C750" s="35" t="str">
        <f>INDEX(Data,2,2+MOD(ROWS(C$2:C750)-1,3))</f>
        <v>13.45</v>
      </c>
      <c r="D750" s="23">
        <f t="shared" ca="1" si="56"/>
        <v>747</v>
      </c>
      <c r="E750" s="40">
        <f t="shared" ca="1" si="57"/>
        <v>0</v>
      </c>
      <c r="F750" s="23">
        <f t="shared" ca="1" si="58"/>
        <v>31</v>
      </c>
      <c r="G750" s="40">
        <f t="shared" ca="1" si="59"/>
        <v>0</v>
      </c>
    </row>
    <row r="751" spans="1:7" x14ac:dyDescent="0.25">
      <c r="A751" s="17">
        <f t="shared" si="55"/>
        <v>81</v>
      </c>
      <c r="B751" t="str">
        <f ca="1">TEXT(DATE(YEAR(Invoer!$A$5),1,1)+INT((ROWS(B$2:B751)-1)/3),"jjjjmmdd")</f>
        <v>19400906</v>
      </c>
      <c r="C751" s="35" t="str">
        <f>INDEX(Data,2,2+MOD(ROWS(C$2:C751)-1,3))</f>
        <v>19.45</v>
      </c>
      <c r="D751" s="23">
        <f t="shared" ca="1" si="56"/>
        <v>748</v>
      </c>
      <c r="E751" s="40">
        <f t="shared" ca="1" si="57"/>
        <v>0</v>
      </c>
      <c r="F751" s="23">
        <f t="shared" ca="1" si="58"/>
        <v>30</v>
      </c>
      <c r="G751" s="40">
        <f t="shared" ca="1" si="59"/>
        <v>0</v>
      </c>
    </row>
    <row r="752" spans="1:7" x14ac:dyDescent="0.25">
      <c r="A752" s="17">
        <f t="shared" si="55"/>
        <v>81</v>
      </c>
      <c r="B752" t="str">
        <f ca="1">TEXT(DATE(YEAR(Invoer!$A$5),1,1)+INT((ROWS(B$2:B752)-1)/3),"jjjjmmdd")</f>
        <v>19400907</v>
      </c>
      <c r="C752" s="35" t="str">
        <f>INDEX(Data,2,2+MOD(ROWS(C$2:C752)-1,3))</f>
        <v>07.45</v>
      </c>
      <c r="D752" s="23">
        <f t="shared" ca="1" si="56"/>
        <v>749</v>
      </c>
      <c r="E752" s="40">
        <f t="shared" ca="1" si="57"/>
        <v>0</v>
      </c>
      <c r="F752" s="23">
        <f t="shared" ca="1" si="58"/>
        <v>28</v>
      </c>
      <c r="G752" s="40">
        <f t="shared" ca="1" si="59"/>
        <v>0</v>
      </c>
    </row>
    <row r="753" spans="1:7" x14ac:dyDescent="0.25">
      <c r="A753" s="17">
        <f t="shared" si="55"/>
        <v>81</v>
      </c>
      <c r="B753" t="str">
        <f ca="1">TEXT(DATE(YEAR(Invoer!$A$5),1,1)+INT((ROWS(B$2:B753)-1)/3),"jjjjmmdd")</f>
        <v>19400907</v>
      </c>
      <c r="C753" s="35" t="str">
        <f>INDEX(Data,2,2+MOD(ROWS(C$2:C753)-1,3))</f>
        <v>13.45</v>
      </c>
      <c r="D753" s="23">
        <f t="shared" ca="1" si="56"/>
        <v>749</v>
      </c>
      <c r="E753" s="40">
        <f t="shared" ca="1" si="57"/>
        <v>0</v>
      </c>
      <c r="F753" s="23">
        <f t="shared" ca="1" si="58"/>
        <v>31</v>
      </c>
      <c r="G753" s="40">
        <f t="shared" ca="1" si="59"/>
        <v>0</v>
      </c>
    </row>
    <row r="754" spans="1:7" x14ac:dyDescent="0.25">
      <c r="A754" s="17">
        <f t="shared" si="55"/>
        <v>81</v>
      </c>
      <c r="B754" t="str">
        <f ca="1">TEXT(DATE(YEAR(Invoer!$A$5),1,1)+INT((ROWS(B$2:B754)-1)/3),"jjjjmmdd")</f>
        <v>19400907</v>
      </c>
      <c r="C754" s="35" t="str">
        <f>INDEX(Data,2,2+MOD(ROWS(C$2:C754)-1,3))</f>
        <v>19.45</v>
      </c>
      <c r="D754" s="23">
        <f t="shared" ca="1" si="56"/>
        <v>749</v>
      </c>
      <c r="E754" s="40">
        <f t="shared" ca="1" si="57"/>
        <v>0</v>
      </c>
      <c r="F754" s="23">
        <f t="shared" ca="1" si="58"/>
        <v>30</v>
      </c>
      <c r="G754" s="40">
        <f t="shared" ca="1" si="59"/>
        <v>0</v>
      </c>
    </row>
    <row r="755" spans="1:7" x14ac:dyDescent="0.25">
      <c r="A755" s="17">
        <f t="shared" si="55"/>
        <v>81</v>
      </c>
      <c r="B755" t="str">
        <f ca="1">TEXT(DATE(YEAR(Invoer!$A$5),1,1)+INT((ROWS(B$2:B755)-1)/3),"jjjjmmdd")</f>
        <v>19400908</v>
      </c>
      <c r="C755" s="35" t="str">
        <f>INDEX(Data,2,2+MOD(ROWS(C$2:C755)-1,3))</f>
        <v>07.45</v>
      </c>
      <c r="D755" s="23">
        <f t="shared" ca="1" si="56"/>
        <v>749</v>
      </c>
      <c r="E755" s="40">
        <f t="shared" ca="1" si="57"/>
        <v>0</v>
      </c>
      <c r="F755" s="23">
        <f t="shared" ca="1" si="58"/>
        <v>28</v>
      </c>
      <c r="G755" s="40">
        <f t="shared" ca="1" si="59"/>
        <v>0</v>
      </c>
    </row>
    <row r="756" spans="1:7" x14ac:dyDescent="0.25">
      <c r="A756" s="17">
        <f t="shared" si="55"/>
        <v>81</v>
      </c>
      <c r="B756" t="str">
        <f ca="1">TEXT(DATE(YEAR(Invoer!$A$5),1,1)+INT((ROWS(B$2:B756)-1)/3),"jjjjmmdd")</f>
        <v>19400908</v>
      </c>
      <c r="C756" s="35" t="str">
        <f>INDEX(Data,2,2+MOD(ROWS(C$2:C756)-1,3))</f>
        <v>13.45</v>
      </c>
      <c r="D756" s="23">
        <f t="shared" ca="1" si="56"/>
        <v>749</v>
      </c>
      <c r="E756" s="40">
        <f t="shared" ca="1" si="57"/>
        <v>0</v>
      </c>
      <c r="F756" s="23">
        <f t="shared" ca="1" si="58"/>
        <v>31</v>
      </c>
      <c r="G756" s="40">
        <f t="shared" ca="1" si="59"/>
        <v>0</v>
      </c>
    </row>
    <row r="757" spans="1:7" x14ac:dyDescent="0.25">
      <c r="A757" s="17">
        <f t="shared" si="55"/>
        <v>81</v>
      </c>
      <c r="B757" t="str">
        <f ca="1">TEXT(DATE(YEAR(Invoer!$A$5),1,1)+INT((ROWS(B$2:B757)-1)/3),"jjjjmmdd")</f>
        <v>19400908</v>
      </c>
      <c r="C757" s="35" t="str">
        <f>INDEX(Data,2,2+MOD(ROWS(C$2:C757)-1,3))</f>
        <v>19.45</v>
      </c>
      <c r="D757" s="23">
        <f t="shared" ca="1" si="56"/>
        <v>749</v>
      </c>
      <c r="E757" s="40">
        <f t="shared" ca="1" si="57"/>
        <v>0</v>
      </c>
      <c r="F757" s="23">
        <f t="shared" ca="1" si="58"/>
        <v>30</v>
      </c>
      <c r="G757" s="40">
        <f t="shared" ca="1" si="59"/>
        <v>0</v>
      </c>
    </row>
    <row r="758" spans="1:7" x14ac:dyDescent="0.25">
      <c r="A758" s="17">
        <f t="shared" si="55"/>
        <v>81</v>
      </c>
      <c r="B758" t="str">
        <f ca="1">TEXT(DATE(YEAR(Invoer!$A$5),1,1)+INT((ROWS(B$2:B758)-1)/3),"jjjjmmdd")</f>
        <v>19400909</v>
      </c>
      <c r="C758" s="35" t="str">
        <f>INDEX(Data,2,2+MOD(ROWS(C$2:C758)-1,3))</f>
        <v>07.45</v>
      </c>
      <c r="D758" s="23">
        <f t="shared" ca="1" si="56"/>
        <v>748</v>
      </c>
      <c r="E758" s="40">
        <f t="shared" ca="1" si="57"/>
        <v>0</v>
      </c>
      <c r="F758" s="23">
        <f t="shared" ca="1" si="58"/>
        <v>29</v>
      </c>
      <c r="G758" s="40">
        <f t="shared" ca="1" si="59"/>
        <v>0</v>
      </c>
    </row>
    <row r="759" spans="1:7" x14ac:dyDescent="0.25">
      <c r="A759" s="17">
        <f t="shared" si="55"/>
        <v>81</v>
      </c>
      <c r="B759" t="str">
        <f ca="1">TEXT(DATE(YEAR(Invoer!$A$5),1,1)+INT((ROWS(B$2:B759)-1)/3),"jjjjmmdd")</f>
        <v>19400909</v>
      </c>
      <c r="C759" s="35" t="str">
        <f>INDEX(Data,2,2+MOD(ROWS(C$2:C759)-1,3))</f>
        <v>13.45</v>
      </c>
      <c r="D759" s="23">
        <f t="shared" ca="1" si="56"/>
        <v>747</v>
      </c>
      <c r="E759" s="40">
        <f t="shared" ca="1" si="57"/>
        <v>0</v>
      </c>
      <c r="F759" s="23">
        <f t="shared" ca="1" si="58"/>
        <v>31</v>
      </c>
      <c r="G759" s="40">
        <f t="shared" ca="1" si="59"/>
        <v>0</v>
      </c>
    </row>
    <row r="760" spans="1:7" x14ac:dyDescent="0.25">
      <c r="A760" s="17">
        <f t="shared" si="55"/>
        <v>81</v>
      </c>
      <c r="B760" t="str">
        <f ca="1">TEXT(DATE(YEAR(Invoer!$A$5),1,1)+INT((ROWS(B$2:B760)-1)/3),"jjjjmmdd")</f>
        <v>19400909</v>
      </c>
      <c r="C760" s="35" t="str">
        <f>INDEX(Data,2,2+MOD(ROWS(C$2:C760)-1,3))</f>
        <v>19.45</v>
      </c>
      <c r="D760" s="23">
        <f t="shared" ca="1" si="56"/>
        <v>747</v>
      </c>
      <c r="E760" s="40">
        <f t="shared" ca="1" si="57"/>
        <v>0</v>
      </c>
      <c r="F760" s="23">
        <f t="shared" ca="1" si="58"/>
        <v>30</v>
      </c>
      <c r="G760" s="40">
        <f t="shared" ca="1" si="59"/>
        <v>0</v>
      </c>
    </row>
    <row r="761" spans="1:7" x14ac:dyDescent="0.25">
      <c r="A761" s="17">
        <f t="shared" si="55"/>
        <v>81</v>
      </c>
      <c r="B761" t="str">
        <f ca="1">TEXT(DATE(YEAR(Invoer!$A$5),1,1)+INT((ROWS(B$2:B761)-1)/3),"jjjjmmdd")</f>
        <v>19400910</v>
      </c>
      <c r="C761" s="35" t="str">
        <f>INDEX(Data,2,2+MOD(ROWS(C$2:C761)-1,3))</f>
        <v>07.45</v>
      </c>
      <c r="D761" s="23">
        <f t="shared" ca="1" si="56"/>
        <v>747</v>
      </c>
      <c r="E761" s="40">
        <f t="shared" ca="1" si="57"/>
        <v>0</v>
      </c>
      <c r="F761" s="23">
        <f t="shared" ca="1" si="58"/>
        <v>28</v>
      </c>
      <c r="G761" s="40">
        <f t="shared" ca="1" si="59"/>
        <v>0</v>
      </c>
    </row>
    <row r="762" spans="1:7" x14ac:dyDescent="0.25">
      <c r="A762" s="17">
        <f t="shared" si="55"/>
        <v>81</v>
      </c>
      <c r="B762" t="str">
        <f ca="1">TEXT(DATE(YEAR(Invoer!$A$5),1,1)+INT((ROWS(B$2:B762)-1)/3),"jjjjmmdd")</f>
        <v>19400910</v>
      </c>
      <c r="C762" s="35" t="str">
        <f>INDEX(Data,2,2+MOD(ROWS(C$2:C762)-1,3))</f>
        <v>13.45</v>
      </c>
      <c r="D762" s="23">
        <f t="shared" ca="1" si="56"/>
        <v>747</v>
      </c>
      <c r="E762" s="40">
        <f t="shared" ca="1" si="57"/>
        <v>0</v>
      </c>
      <c r="F762" s="23">
        <f t="shared" ca="1" si="58"/>
        <v>31</v>
      </c>
      <c r="G762" s="40">
        <f t="shared" ca="1" si="59"/>
        <v>0</v>
      </c>
    </row>
    <row r="763" spans="1:7" x14ac:dyDescent="0.25">
      <c r="A763" s="17">
        <f t="shared" si="55"/>
        <v>81</v>
      </c>
      <c r="B763" t="str">
        <f ca="1">TEXT(DATE(YEAR(Invoer!$A$5),1,1)+INT((ROWS(B$2:B763)-1)/3),"jjjjmmdd")</f>
        <v>19400910</v>
      </c>
      <c r="C763" s="35" t="str">
        <f>INDEX(Data,2,2+MOD(ROWS(C$2:C763)-1,3))</f>
        <v>19.45</v>
      </c>
      <c r="D763" s="23">
        <f t="shared" ca="1" si="56"/>
        <v>747</v>
      </c>
      <c r="E763" s="40">
        <f t="shared" ca="1" si="57"/>
        <v>0</v>
      </c>
      <c r="F763" s="23">
        <f t="shared" ca="1" si="58"/>
        <v>30</v>
      </c>
      <c r="G763" s="40">
        <f t="shared" ca="1" si="59"/>
        <v>0</v>
      </c>
    </row>
    <row r="764" spans="1:7" x14ac:dyDescent="0.25">
      <c r="A764" s="17">
        <f t="shared" si="55"/>
        <v>81</v>
      </c>
      <c r="B764" t="str">
        <f ca="1">TEXT(DATE(YEAR(Invoer!$A$5),1,1)+INT((ROWS(B$2:B764)-1)/3),"jjjjmmdd")</f>
        <v>19400911</v>
      </c>
      <c r="C764" s="35" t="str">
        <f>INDEX(Data,2,2+MOD(ROWS(C$2:C764)-1,3))</f>
        <v>07.45</v>
      </c>
      <c r="D764" s="23">
        <f t="shared" ca="1" si="56"/>
        <v>746</v>
      </c>
      <c r="E764" s="40">
        <f t="shared" ca="1" si="57"/>
        <v>0</v>
      </c>
      <c r="F764" s="23">
        <f t="shared" ca="1" si="58"/>
        <v>28</v>
      </c>
      <c r="G764" s="40">
        <f t="shared" ca="1" si="59"/>
        <v>0</v>
      </c>
    </row>
    <row r="765" spans="1:7" x14ac:dyDescent="0.25">
      <c r="A765" s="17">
        <f t="shared" si="55"/>
        <v>81</v>
      </c>
      <c r="B765" t="str">
        <f ca="1">TEXT(DATE(YEAR(Invoer!$A$5),1,1)+INT((ROWS(B$2:B765)-1)/3),"jjjjmmdd")</f>
        <v>19400911</v>
      </c>
      <c r="C765" s="35" t="str">
        <f>INDEX(Data,2,2+MOD(ROWS(C$2:C765)-1,3))</f>
        <v>13.45</v>
      </c>
      <c r="D765" s="23">
        <f t="shared" ca="1" si="56"/>
        <v>745</v>
      </c>
      <c r="E765" s="40">
        <f t="shared" ca="1" si="57"/>
        <v>0</v>
      </c>
      <c r="F765" s="23">
        <f t="shared" ca="1" si="58"/>
        <v>30</v>
      </c>
      <c r="G765" s="40">
        <f t="shared" ca="1" si="59"/>
        <v>0</v>
      </c>
    </row>
    <row r="766" spans="1:7" x14ac:dyDescent="0.25">
      <c r="A766" s="17">
        <f t="shared" si="55"/>
        <v>81</v>
      </c>
      <c r="B766" t="str">
        <f ca="1">TEXT(DATE(YEAR(Invoer!$A$5),1,1)+INT((ROWS(B$2:B766)-1)/3),"jjjjmmdd")</f>
        <v>19400911</v>
      </c>
      <c r="C766" s="35" t="str">
        <f>INDEX(Data,2,2+MOD(ROWS(C$2:C766)-1,3))</f>
        <v>19.45</v>
      </c>
      <c r="D766" s="23">
        <f t="shared" ca="1" si="56"/>
        <v>745</v>
      </c>
      <c r="E766" s="40">
        <f t="shared" ca="1" si="57"/>
        <v>0</v>
      </c>
      <c r="F766" s="23">
        <f t="shared" ca="1" si="58"/>
        <v>29</v>
      </c>
      <c r="G766" s="40">
        <f t="shared" ca="1" si="59"/>
        <v>0</v>
      </c>
    </row>
    <row r="767" spans="1:7" x14ac:dyDescent="0.25">
      <c r="A767" s="17">
        <f t="shared" si="55"/>
        <v>81</v>
      </c>
      <c r="B767" t="str">
        <f ca="1">TEXT(DATE(YEAR(Invoer!$A$5),1,1)+INT((ROWS(B$2:B767)-1)/3),"jjjjmmdd")</f>
        <v>19400912</v>
      </c>
      <c r="C767" s="35" t="str">
        <f>INDEX(Data,2,2+MOD(ROWS(C$2:C767)-1,3))</f>
        <v>07.45</v>
      </c>
      <c r="D767" s="23">
        <f t="shared" ca="1" si="56"/>
        <v>746</v>
      </c>
      <c r="E767" s="40">
        <f t="shared" ca="1" si="57"/>
        <v>0</v>
      </c>
      <c r="F767" s="23">
        <f t="shared" ca="1" si="58"/>
        <v>28</v>
      </c>
      <c r="G767" s="40">
        <f t="shared" ca="1" si="59"/>
        <v>0</v>
      </c>
    </row>
    <row r="768" spans="1:7" x14ac:dyDescent="0.25">
      <c r="A768" s="17">
        <f t="shared" si="55"/>
        <v>81</v>
      </c>
      <c r="B768" t="str">
        <f ca="1">TEXT(DATE(YEAR(Invoer!$A$5),1,1)+INT((ROWS(B$2:B768)-1)/3),"jjjjmmdd")</f>
        <v>19400912</v>
      </c>
      <c r="C768" s="35" t="str">
        <f>INDEX(Data,2,2+MOD(ROWS(C$2:C768)-1,3))</f>
        <v>13.45</v>
      </c>
      <c r="D768" s="23">
        <f t="shared" ca="1" si="56"/>
        <v>747</v>
      </c>
      <c r="E768" s="40">
        <f t="shared" ca="1" si="57"/>
        <v>0</v>
      </c>
      <c r="F768" s="23">
        <f t="shared" ca="1" si="58"/>
        <v>30</v>
      </c>
      <c r="G768" s="40">
        <f t="shared" ca="1" si="59"/>
        <v>0</v>
      </c>
    </row>
    <row r="769" spans="1:7" x14ac:dyDescent="0.25">
      <c r="A769" s="17">
        <f t="shared" si="55"/>
        <v>81</v>
      </c>
      <c r="B769" t="str">
        <f ca="1">TEXT(DATE(YEAR(Invoer!$A$5),1,1)+INT((ROWS(B$2:B769)-1)/3),"jjjjmmdd")</f>
        <v>19400912</v>
      </c>
      <c r="C769" s="35" t="str">
        <f>INDEX(Data,2,2+MOD(ROWS(C$2:C769)-1,3))</f>
        <v>19.45</v>
      </c>
      <c r="D769" s="23">
        <f t="shared" ca="1" si="56"/>
        <v>746</v>
      </c>
      <c r="E769" s="40">
        <f t="shared" ca="1" si="57"/>
        <v>0</v>
      </c>
      <c r="F769" s="23">
        <f t="shared" ca="1" si="58"/>
        <v>29</v>
      </c>
      <c r="G769" s="40">
        <f t="shared" ca="1" si="59"/>
        <v>0</v>
      </c>
    </row>
    <row r="770" spans="1:7" x14ac:dyDescent="0.25">
      <c r="A770" s="17">
        <f t="shared" ref="A770:A833" si="60">INDEX(Stations,2,1)</f>
        <v>81</v>
      </c>
      <c r="B770" t="str">
        <f ca="1">TEXT(DATE(YEAR(Invoer!$A$5),1,1)+INT((ROWS(B$2:B770)-1)/3),"jjjjmmdd")</f>
        <v>19400913</v>
      </c>
      <c r="C770" s="35" t="str">
        <f>INDEX(Data,2,2+MOD(ROWS(C$2:C770)-1,3))</f>
        <v>07.45</v>
      </c>
      <c r="D770" s="23">
        <f t="shared" ref="D770:D833" ca="1" si="61">IF(OR(ISBLANK(VLOOKUP(DATEVALUE(LEFT($B770,4)&amp;"-"&amp;MID($B770,5,2)&amp;"-"&amp;RIGHT($B770,2)),Data,MATCH(LEFT(VLOOKUP(D$1,Parameters,2,FALSE()),4)&amp;"*",OFFSET(Data,0,0,1),0)+MATCH($C770,OFFSET(Data,1,0,1),0)-2,FALSE())),ISTEXT(VLOOKUP(DATEVALUE(LEFT($B770,4)&amp;"-"&amp;MID($B770,5,2)&amp;"-"&amp;RIGHT($B770,2)),Data,MATCH(LEFT(VLOOKUP(D$1,Parameters,2,FALSE()),4)&amp;"*",OFFSET(Data,0,0,1),0)+MATCH($C770,OFFSET(Data,1,0,1),0)-2,FALSE()))),"—",VLOOKUP(DATEVALUE(LEFT($B770,4)&amp;"-"&amp;MID($B770,5,2)&amp;"-"&amp;RIGHT($B770,2)),Data,MATCH(LEFT(VLOOKUP(D$1,Parameters,2,FALSE()),4)&amp;"*",OFFSET(Data,0,0,1),0)+MATCH($C770,OFFSET(Data,1,0,1),0)-2,FALSE()))</f>
        <v>747</v>
      </c>
      <c r="E770" s="40">
        <f t="shared" ref="E770:E833" ca="1" si="62">IF(OR(ISBLANK(VLOOKUP(DATEVALUE(LEFT($B770,4)&amp;"-"&amp;MID($B770,5,2)&amp;"-"&amp;RIGHT($B770,2)),Data,MATCH(LEFT(VLOOKUP(MID(E$1,2,LEN(E$1)-1),Parameters,2,FALSE()),4)&amp;"*",OFFSET(Data,0,0,1),0)+MATCH($C770,OFFSET(Data,1,0,1),0)-2,FALSE())),ISTEXT(VLOOKUP(DATEVALUE(LEFT($B770,4)&amp;"-"&amp;MID($B770,5,2)&amp;"-"&amp;RIGHT($B770,2)),Data,MATCH(LEFT(VLOOKUP(MID(E$1,2,LEN(E$1)-1),Parameters,2,FALSE()),4)&amp;"*",OFFSET(Data,0,0,1),0)+MATCH($C770,OFFSET(Data,1,0,1),0)-2,FALSE()))),Lacking,IF(ISNA(MATCH(DATEVALUE(LEFT($B770,4)&amp;"-"&amp;MID($B770,5,2)&amp;"-"&amp;RIGHT($B770,2)),OFFSET(Catalogus,0,0,,1),0)),Ok,VLOOKUP(DATEVALUE(LEFT($B770,4)&amp;"-"&amp;MID($B770,5,2)&amp;"-"&amp;RIGHT($B770,2)),Catalogus,MATCH(LEFT(VLOOKUP(MID(E$1,2,LEN(E$1)-1),Parameters,2,FALSE()),4)&amp;"*",OFFSET(Catalogus,0,0,1),0)+MATCH($C770,OFFSET(Catalogus,1,0,1),0)-2,FALSE())))</f>
        <v>0</v>
      </c>
      <c r="F770" s="23">
        <f t="shared" ref="F770:F833" ca="1" si="63">IF(OR(ISBLANK(VLOOKUP(DATEVALUE(LEFT($B770,4)&amp;"-"&amp;MID($B770,5,2)&amp;"-"&amp;RIGHT($B770,2)),Data,MATCH(LEFT(VLOOKUP(F$1,Parameters,2,FALSE()),4)&amp;"*",OFFSET(Data,0,0,1),0)+MATCH($C770,OFFSET(Data,1,0,1),0)-2,FALSE())),ISTEXT(VLOOKUP(DATEVALUE(LEFT($B770,4)&amp;"-"&amp;MID($B770,5,2)&amp;"-"&amp;RIGHT($B770,2)),Data,MATCH(LEFT(VLOOKUP(F$1,Parameters,2,FALSE()),4)&amp;"*",OFFSET(Data,0,0,1),0)+MATCH($C770,OFFSET(Data,1,0,1),0)-2,FALSE()))),"—",VLOOKUP(DATEVALUE(LEFT($B770,4)&amp;"-"&amp;MID($B770,5,2)&amp;"-"&amp;RIGHT($B770,2)),Data,MATCH(LEFT(VLOOKUP(F$1,Parameters,2,FALSE()),4)&amp;"*",OFFSET(Data,0,0,1),0)+MATCH($C770,OFFSET(Data,1,0,1),0)-2,FALSE()))</f>
        <v>28</v>
      </c>
      <c r="G770" s="40">
        <f t="shared" ref="G770:G833" ca="1" si="64">IF(OR(ISBLANK(VLOOKUP(DATEVALUE(LEFT($B770,4)&amp;"-"&amp;MID($B770,5,2)&amp;"-"&amp;RIGHT($B770,2)),Data,MATCH(LEFT(VLOOKUP(MID(G$1,2,LEN(G$1)-1),Parameters,2,FALSE()),4)&amp;"*",OFFSET(Data,0,0,1),0)+MATCH($C770,OFFSET(Data,1,0,1),0)-2,FALSE())),ISTEXT(VLOOKUP(DATEVALUE(LEFT($B770,4)&amp;"-"&amp;MID($B770,5,2)&amp;"-"&amp;RIGHT($B770,2)),Data,MATCH(LEFT(VLOOKUP(MID(G$1,2,LEN(G$1)-1),Parameters,2,FALSE()),4)&amp;"*",OFFSET(Data,0,0,1),0)+MATCH($C770,OFFSET(Data,1,0,1),0)-2,FALSE()))),Lacking,IF(ISNA(MATCH(DATEVALUE(LEFT($B770,4)&amp;"-"&amp;MID($B770,5,2)&amp;"-"&amp;RIGHT($B770,2)),OFFSET(Catalogus,0,0,,1),0)),Ok,VLOOKUP(DATEVALUE(LEFT($B770,4)&amp;"-"&amp;MID($B770,5,2)&amp;"-"&amp;RIGHT($B770,2)),Catalogus,MATCH(LEFT(VLOOKUP(MID(G$1,2,LEN(G$1)-1),Parameters,2,FALSE()),4)&amp;"*",OFFSET(Catalogus,0,0,1),0)+MATCH($C770,OFFSET(Catalogus,1,0,1),0)-2,FALSE())))</f>
        <v>0</v>
      </c>
    </row>
    <row r="771" spans="1:7" x14ac:dyDescent="0.25">
      <c r="A771" s="17">
        <f t="shared" si="60"/>
        <v>81</v>
      </c>
      <c r="B771" t="str">
        <f ca="1">TEXT(DATE(YEAR(Invoer!$A$5),1,1)+INT((ROWS(B$2:B771)-1)/3),"jjjjmmdd")</f>
        <v>19400913</v>
      </c>
      <c r="C771" s="35" t="str">
        <f>INDEX(Data,2,2+MOD(ROWS(C$2:C771)-1,3))</f>
        <v>13.45</v>
      </c>
      <c r="D771" s="23">
        <f t="shared" ca="1" si="61"/>
        <v>748</v>
      </c>
      <c r="E771" s="40">
        <f t="shared" ca="1" si="62"/>
        <v>0</v>
      </c>
      <c r="F771" s="23">
        <f t="shared" ca="1" si="63"/>
        <v>31</v>
      </c>
      <c r="G771" s="40">
        <f t="shared" ca="1" si="64"/>
        <v>0</v>
      </c>
    </row>
    <row r="772" spans="1:7" x14ac:dyDescent="0.25">
      <c r="A772" s="17">
        <f t="shared" si="60"/>
        <v>81</v>
      </c>
      <c r="B772" t="str">
        <f ca="1">TEXT(DATE(YEAR(Invoer!$A$5),1,1)+INT((ROWS(B$2:B772)-1)/3),"jjjjmmdd")</f>
        <v>19400913</v>
      </c>
      <c r="C772" s="35" t="str">
        <f>INDEX(Data,2,2+MOD(ROWS(C$2:C772)-1,3))</f>
        <v>19.45</v>
      </c>
      <c r="D772" s="23">
        <f t="shared" ca="1" si="61"/>
        <v>747</v>
      </c>
      <c r="E772" s="40">
        <f t="shared" ca="1" si="62"/>
        <v>0</v>
      </c>
      <c r="F772" s="23">
        <f t="shared" ca="1" si="63"/>
        <v>30</v>
      </c>
      <c r="G772" s="40">
        <f t="shared" ca="1" si="64"/>
        <v>0</v>
      </c>
    </row>
    <row r="773" spans="1:7" x14ac:dyDescent="0.25">
      <c r="A773" s="17">
        <f t="shared" si="60"/>
        <v>81</v>
      </c>
      <c r="B773" t="str">
        <f ca="1">TEXT(DATE(YEAR(Invoer!$A$5),1,1)+INT((ROWS(B$2:B773)-1)/3),"jjjjmmdd")</f>
        <v>19400914</v>
      </c>
      <c r="C773" s="35" t="str">
        <f>INDEX(Data,2,2+MOD(ROWS(C$2:C773)-1,3))</f>
        <v>07.45</v>
      </c>
      <c r="D773" s="23">
        <f t="shared" ca="1" si="61"/>
        <v>747</v>
      </c>
      <c r="E773" s="40">
        <f t="shared" ca="1" si="62"/>
        <v>0</v>
      </c>
      <c r="F773" s="23">
        <f t="shared" ca="1" si="63"/>
        <v>28</v>
      </c>
      <c r="G773" s="40">
        <f t="shared" ca="1" si="64"/>
        <v>0</v>
      </c>
    </row>
    <row r="774" spans="1:7" x14ac:dyDescent="0.25">
      <c r="A774" s="17">
        <f t="shared" si="60"/>
        <v>81</v>
      </c>
      <c r="B774" t="str">
        <f ca="1">TEXT(DATE(YEAR(Invoer!$A$5),1,1)+INT((ROWS(B$2:B774)-1)/3),"jjjjmmdd")</f>
        <v>19400914</v>
      </c>
      <c r="C774" s="35" t="str">
        <f>INDEX(Data,2,2+MOD(ROWS(C$2:C774)-1,3))</f>
        <v>13.45</v>
      </c>
      <c r="D774" s="23">
        <f t="shared" ca="1" si="61"/>
        <v>747</v>
      </c>
      <c r="E774" s="40">
        <f t="shared" ca="1" si="62"/>
        <v>0</v>
      </c>
      <c r="F774" s="23">
        <f t="shared" ca="1" si="63"/>
        <v>31</v>
      </c>
      <c r="G774" s="40">
        <f t="shared" ca="1" si="64"/>
        <v>0</v>
      </c>
    </row>
    <row r="775" spans="1:7" x14ac:dyDescent="0.25">
      <c r="A775" s="17">
        <f t="shared" si="60"/>
        <v>81</v>
      </c>
      <c r="B775" t="str">
        <f ca="1">TEXT(DATE(YEAR(Invoer!$A$5),1,1)+INT((ROWS(B$2:B775)-1)/3),"jjjjmmdd")</f>
        <v>19400914</v>
      </c>
      <c r="C775" s="35" t="str">
        <f>INDEX(Data,2,2+MOD(ROWS(C$2:C775)-1,3))</f>
        <v>19.45</v>
      </c>
      <c r="D775" s="23">
        <f t="shared" ca="1" si="61"/>
        <v>747</v>
      </c>
      <c r="E775" s="40">
        <f t="shared" ca="1" si="62"/>
        <v>0</v>
      </c>
      <c r="F775" s="23">
        <f t="shared" ca="1" si="63"/>
        <v>30</v>
      </c>
      <c r="G775" s="40">
        <f t="shared" ca="1" si="64"/>
        <v>0</v>
      </c>
    </row>
    <row r="776" spans="1:7" x14ac:dyDescent="0.25">
      <c r="A776" s="17">
        <f t="shared" si="60"/>
        <v>81</v>
      </c>
      <c r="B776" t="str">
        <f ca="1">TEXT(DATE(YEAR(Invoer!$A$5),1,1)+INT((ROWS(B$2:B776)-1)/3),"jjjjmmdd")</f>
        <v>19400915</v>
      </c>
      <c r="C776" s="35" t="str">
        <f>INDEX(Data,2,2+MOD(ROWS(C$2:C776)-1,3))</f>
        <v>07.45</v>
      </c>
      <c r="D776" s="23">
        <f t="shared" ca="1" si="61"/>
        <v>748</v>
      </c>
      <c r="E776" s="40">
        <f t="shared" ca="1" si="62"/>
        <v>0</v>
      </c>
      <c r="F776" s="23">
        <f t="shared" ca="1" si="63"/>
        <v>28</v>
      </c>
      <c r="G776" s="40">
        <f t="shared" ca="1" si="64"/>
        <v>0</v>
      </c>
    </row>
    <row r="777" spans="1:7" x14ac:dyDescent="0.25">
      <c r="A777" s="17">
        <f t="shared" si="60"/>
        <v>81</v>
      </c>
      <c r="B777" t="str">
        <f ca="1">TEXT(DATE(YEAR(Invoer!$A$5),1,1)+INT((ROWS(B$2:B777)-1)/3),"jjjjmmdd")</f>
        <v>19400915</v>
      </c>
      <c r="C777" s="35" t="str">
        <f>INDEX(Data,2,2+MOD(ROWS(C$2:C777)-1,3))</f>
        <v>13.45</v>
      </c>
      <c r="D777" s="23">
        <f t="shared" ca="1" si="61"/>
        <v>747</v>
      </c>
      <c r="E777" s="40">
        <f t="shared" ca="1" si="62"/>
        <v>0</v>
      </c>
      <c r="F777" s="23">
        <f t="shared" ca="1" si="63"/>
        <v>31</v>
      </c>
      <c r="G777" s="40">
        <f t="shared" ca="1" si="64"/>
        <v>0</v>
      </c>
    </row>
    <row r="778" spans="1:7" x14ac:dyDescent="0.25">
      <c r="A778" s="17">
        <f t="shared" si="60"/>
        <v>81</v>
      </c>
      <c r="B778" t="str">
        <f ca="1">TEXT(DATE(YEAR(Invoer!$A$5),1,1)+INT((ROWS(B$2:B778)-1)/3),"jjjjmmdd")</f>
        <v>19400915</v>
      </c>
      <c r="C778" s="35" t="str">
        <f>INDEX(Data,2,2+MOD(ROWS(C$2:C778)-1,3))</f>
        <v>19.45</v>
      </c>
      <c r="D778" s="23">
        <f t="shared" ca="1" si="61"/>
        <v>747</v>
      </c>
      <c r="E778" s="40">
        <f t="shared" ca="1" si="62"/>
        <v>0</v>
      </c>
      <c r="F778" s="23">
        <f t="shared" ca="1" si="63"/>
        <v>30</v>
      </c>
      <c r="G778" s="40">
        <f t="shared" ca="1" si="64"/>
        <v>0</v>
      </c>
    </row>
    <row r="779" spans="1:7" x14ac:dyDescent="0.25">
      <c r="A779" s="17">
        <f t="shared" si="60"/>
        <v>81</v>
      </c>
      <c r="B779" t="str">
        <f ca="1">TEXT(DATE(YEAR(Invoer!$A$5),1,1)+INT((ROWS(B$2:B779)-1)/3),"jjjjmmdd")</f>
        <v>19400916</v>
      </c>
      <c r="C779" s="35" t="str">
        <f>INDEX(Data,2,2+MOD(ROWS(C$2:C779)-1,3))</f>
        <v>07.45</v>
      </c>
      <c r="D779" s="23">
        <f t="shared" ca="1" si="61"/>
        <v>747</v>
      </c>
      <c r="E779" s="40">
        <f t="shared" ca="1" si="62"/>
        <v>0</v>
      </c>
      <c r="F779" s="23">
        <f t="shared" ca="1" si="63"/>
        <v>28</v>
      </c>
      <c r="G779" s="40">
        <f t="shared" ca="1" si="64"/>
        <v>0</v>
      </c>
    </row>
    <row r="780" spans="1:7" x14ac:dyDescent="0.25">
      <c r="A780" s="17">
        <f t="shared" si="60"/>
        <v>81</v>
      </c>
      <c r="B780" t="str">
        <f ca="1">TEXT(DATE(YEAR(Invoer!$A$5),1,1)+INT((ROWS(B$2:B780)-1)/3),"jjjjmmdd")</f>
        <v>19400916</v>
      </c>
      <c r="C780" s="35" t="str">
        <f>INDEX(Data,2,2+MOD(ROWS(C$2:C780)-1,3))</f>
        <v>13.45</v>
      </c>
      <c r="D780" s="23">
        <f t="shared" ca="1" si="61"/>
        <v>748</v>
      </c>
      <c r="E780" s="40">
        <f t="shared" ca="1" si="62"/>
        <v>0</v>
      </c>
      <c r="F780" s="23">
        <f t="shared" ca="1" si="63"/>
        <v>31</v>
      </c>
      <c r="G780" s="40">
        <f t="shared" ca="1" si="64"/>
        <v>0</v>
      </c>
    </row>
    <row r="781" spans="1:7" x14ac:dyDescent="0.25">
      <c r="A781" s="17">
        <f t="shared" si="60"/>
        <v>81</v>
      </c>
      <c r="B781" t="str">
        <f ca="1">TEXT(DATE(YEAR(Invoer!$A$5),1,1)+INT((ROWS(B$2:B781)-1)/3),"jjjjmmdd")</f>
        <v>19400916</v>
      </c>
      <c r="C781" s="35" t="str">
        <f>INDEX(Data,2,2+MOD(ROWS(C$2:C781)-1,3))</f>
        <v>19.45</v>
      </c>
      <c r="D781" s="23">
        <f t="shared" ca="1" si="61"/>
        <v>748</v>
      </c>
      <c r="E781" s="40">
        <f t="shared" ca="1" si="62"/>
        <v>0</v>
      </c>
      <c r="F781" s="23">
        <f t="shared" ca="1" si="63"/>
        <v>30</v>
      </c>
      <c r="G781" s="40">
        <f t="shared" ca="1" si="64"/>
        <v>0</v>
      </c>
    </row>
    <row r="782" spans="1:7" x14ac:dyDescent="0.25">
      <c r="A782" s="17">
        <f t="shared" si="60"/>
        <v>81</v>
      </c>
      <c r="B782" t="str">
        <f ca="1">TEXT(DATE(YEAR(Invoer!$A$5),1,1)+INT((ROWS(B$2:B782)-1)/3),"jjjjmmdd")</f>
        <v>19400917</v>
      </c>
      <c r="C782" s="35" t="str">
        <f>INDEX(Data,2,2+MOD(ROWS(C$2:C782)-1,3))</f>
        <v>07.45</v>
      </c>
      <c r="D782" s="23">
        <f t="shared" ca="1" si="61"/>
        <v>747</v>
      </c>
      <c r="E782" s="40">
        <f t="shared" ca="1" si="62"/>
        <v>0</v>
      </c>
      <c r="F782" s="23">
        <f t="shared" ca="1" si="63"/>
        <v>28</v>
      </c>
      <c r="G782" s="40">
        <f t="shared" ca="1" si="64"/>
        <v>0</v>
      </c>
    </row>
    <row r="783" spans="1:7" x14ac:dyDescent="0.25">
      <c r="A783" s="17">
        <f t="shared" si="60"/>
        <v>81</v>
      </c>
      <c r="B783" t="str">
        <f ca="1">TEXT(DATE(YEAR(Invoer!$A$5),1,1)+INT((ROWS(B$2:B783)-1)/3),"jjjjmmdd")</f>
        <v>19400917</v>
      </c>
      <c r="C783" s="35" t="str">
        <f>INDEX(Data,2,2+MOD(ROWS(C$2:C783)-1,3))</f>
        <v>13.45</v>
      </c>
      <c r="D783" s="23">
        <f t="shared" ca="1" si="61"/>
        <v>747</v>
      </c>
      <c r="E783" s="40">
        <f t="shared" ca="1" si="62"/>
        <v>0</v>
      </c>
      <c r="F783" s="23">
        <f t="shared" ca="1" si="63"/>
        <v>31</v>
      </c>
      <c r="G783" s="40">
        <f t="shared" ca="1" si="64"/>
        <v>0</v>
      </c>
    </row>
    <row r="784" spans="1:7" x14ac:dyDescent="0.25">
      <c r="A784" s="17">
        <f t="shared" si="60"/>
        <v>81</v>
      </c>
      <c r="B784" t="str">
        <f ca="1">TEXT(DATE(YEAR(Invoer!$A$5),1,1)+INT((ROWS(B$2:B784)-1)/3),"jjjjmmdd")</f>
        <v>19400917</v>
      </c>
      <c r="C784" s="35" t="str">
        <f>INDEX(Data,2,2+MOD(ROWS(C$2:C784)-1,3))</f>
        <v>19.45</v>
      </c>
      <c r="D784" s="23">
        <f t="shared" ca="1" si="61"/>
        <v>747</v>
      </c>
      <c r="E784" s="40">
        <f t="shared" ca="1" si="62"/>
        <v>0</v>
      </c>
      <c r="F784" s="23">
        <f t="shared" ca="1" si="63"/>
        <v>29</v>
      </c>
      <c r="G784" s="40">
        <f t="shared" ca="1" si="64"/>
        <v>0</v>
      </c>
    </row>
    <row r="785" spans="1:7" x14ac:dyDescent="0.25">
      <c r="A785" s="17">
        <f t="shared" si="60"/>
        <v>81</v>
      </c>
      <c r="B785" t="str">
        <f ca="1">TEXT(DATE(YEAR(Invoer!$A$5),1,1)+INT((ROWS(B$2:B785)-1)/3),"jjjjmmdd")</f>
        <v>19400918</v>
      </c>
      <c r="C785" s="35" t="str">
        <f>INDEX(Data,2,2+MOD(ROWS(C$2:C785)-1,3))</f>
        <v>07.45</v>
      </c>
      <c r="D785" s="23">
        <f t="shared" ca="1" si="61"/>
        <v>747</v>
      </c>
      <c r="E785" s="40">
        <f t="shared" ca="1" si="62"/>
        <v>0</v>
      </c>
      <c r="F785" s="23">
        <f t="shared" ca="1" si="63"/>
        <v>28</v>
      </c>
      <c r="G785" s="40">
        <f t="shared" ca="1" si="64"/>
        <v>0</v>
      </c>
    </row>
    <row r="786" spans="1:7" x14ac:dyDescent="0.25">
      <c r="A786" s="17">
        <f t="shared" si="60"/>
        <v>81</v>
      </c>
      <c r="B786" t="str">
        <f ca="1">TEXT(DATE(YEAR(Invoer!$A$5),1,1)+INT((ROWS(B$2:B786)-1)/3),"jjjjmmdd")</f>
        <v>19400918</v>
      </c>
      <c r="C786" s="35" t="str">
        <f>INDEX(Data,2,2+MOD(ROWS(C$2:C786)-1,3))</f>
        <v>13.45</v>
      </c>
      <c r="D786" s="23">
        <f t="shared" ca="1" si="61"/>
        <v>747</v>
      </c>
      <c r="E786" s="40">
        <f t="shared" ca="1" si="62"/>
        <v>0</v>
      </c>
      <c r="F786" s="23">
        <f t="shared" ca="1" si="63"/>
        <v>31</v>
      </c>
      <c r="G786" s="40">
        <f t="shared" ca="1" si="64"/>
        <v>0</v>
      </c>
    </row>
    <row r="787" spans="1:7" x14ac:dyDescent="0.25">
      <c r="A787" s="17">
        <f t="shared" si="60"/>
        <v>81</v>
      </c>
      <c r="B787" t="str">
        <f ca="1">TEXT(DATE(YEAR(Invoer!$A$5),1,1)+INT((ROWS(B$2:B787)-1)/3),"jjjjmmdd")</f>
        <v>19400918</v>
      </c>
      <c r="C787" s="35" t="str">
        <f>INDEX(Data,2,2+MOD(ROWS(C$2:C787)-1,3))</f>
        <v>19.45</v>
      </c>
      <c r="D787" s="23">
        <f t="shared" ca="1" si="61"/>
        <v>747</v>
      </c>
      <c r="E787" s="40">
        <f t="shared" ca="1" si="62"/>
        <v>0</v>
      </c>
      <c r="F787" s="23">
        <f t="shared" ca="1" si="63"/>
        <v>30</v>
      </c>
      <c r="G787" s="40">
        <f t="shared" ca="1" si="64"/>
        <v>0</v>
      </c>
    </row>
    <row r="788" spans="1:7" x14ac:dyDescent="0.25">
      <c r="A788" s="17">
        <f t="shared" si="60"/>
        <v>81</v>
      </c>
      <c r="B788" t="str">
        <f ca="1">TEXT(DATE(YEAR(Invoer!$A$5),1,1)+INT((ROWS(B$2:B788)-1)/3),"jjjjmmdd")</f>
        <v>19400919</v>
      </c>
      <c r="C788" s="35" t="str">
        <f>INDEX(Data,2,2+MOD(ROWS(C$2:C788)-1,3))</f>
        <v>07.45</v>
      </c>
      <c r="D788" s="23">
        <f t="shared" ca="1" si="61"/>
        <v>747</v>
      </c>
      <c r="E788" s="40">
        <f t="shared" ca="1" si="62"/>
        <v>0</v>
      </c>
      <c r="F788" s="23">
        <f t="shared" ca="1" si="63"/>
        <v>28</v>
      </c>
      <c r="G788" s="40">
        <f t="shared" ca="1" si="64"/>
        <v>0</v>
      </c>
    </row>
    <row r="789" spans="1:7" x14ac:dyDescent="0.25">
      <c r="A789" s="17">
        <f t="shared" si="60"/>
        <v>81</v>
      </c>
      <c r="B789" t="str">
        <f ca="1">TEXT(DATE(YEAR(Invoer!$A$5),1,1)+INT((ROWS(B$2:B789)-1)/3),"jjjjmmdd")</f>
        <v>19400919</v>
      </c>
      <c r="C789" s="35" t="str">
        <f>INDEX(Data,2,2+MOD(ROWS(C$2:C789)-1,3))</f>
        <v>13.45</v>
      </c>
      <c r="D789" s="23">
        <f t="shared" ca="1" si="61"/>
        <v>747</v>
      </c>
      <c r="E789" s="40">
        <f t="shared" ca="1" si="62"/>
        <v>0</v>
      </c>
      <c r="F789" s="23">
        <f t="shared" ca="1" si="63"/>
        <v>31</v>
      </c>
      <c r="G789" s="40">
        <f t="shared" ca="1" si="64"/>
        <v>0</v>
      </c>
    </row>
    <row r="790" spans="1:7" x14ac:dyDescent="0.25">
      <c r="A790" s="17">
        <f t="shared" si="60"/>
        <v>81</v>
      </c>
      <c r="B790" t="str">
        <f ca="1">TEXT(DATE(YEAR(Invoer!$A$5),1,1)+INT((ROWS(B$2:B790)-1)/3),"jjjjmmdd")</f>
        <v>19400919</v>
      </c>
      <c r="C790" s="35" t="str">
        <f>INDEX(Data,2,2+MOD(ROWS(C$2:C790)-1,3))</f>
        <v>19.45</v>
      </c>
      <c r="D790" s="23">
        <f t="shared" ca="1" si="61"/>
        <v>747</v>
      </c>
      <c r="E790" s="40">
        <f t="shared" ca="1" si="62"/>
        <v>0</v>
      </c>
      <c r="F790" s="23">
        <f t="shared" ca="1" si="63"/>
        <v>29</v>
      </c>
      <c r="G790" s="40">
        <f t="shared" ca="1" si="64"/>
        <v>0</v>
      </c>
    </row>
    <row r="791" spans="1:7" x14ac:dyDescent="0.25">
      <c r="A791" s="17">
        <f t="shared" si="60"/>
        <v>81</v>
      </c>
      <c r="B791" t="str">
        <f ca="1">TEXT(DATE(YEAR(Invoer!$A$5),1,1)+INT((ROWS(B$2:B791)-1)/3),"jjjjmmdd")</f>
        <v>19400920</v>
      </c>
      <c r="C791" s="35" t="str">
        <f>INDEX(Data,2,2+MOD(ROWS(C$2:C791)-1,3))</f>
        <v>07.45</v>
      </c>
      <c r="D791" s="23">
        <f t="shared" ca="1" si="61"/>
        <v>747</v>
      </c>
      <c r="E791" s="40">
        <f t="shared" ca="1" si="62"/>
        <v>0</v>
      </c>
      <c r="F791" s="23">
        <f t="shared" ca="1" si="63"/>
        <v>28</v>
      </c>
      <c r="G791" s="40">
        <f t="shared" ca="1" si="64"/>
        <v>0</v>
      </c>
    </row>
    <row r="792" spans="1:7" x14ac:dyDescent="0.25">
      <c r="A792" s="17">
        <f t="shared" si="60"/>
        <v>81</v>
      </c>
      <c r="B792" t="str">
        <f ca="1">TEXT(DATE(YEAR(Invoer!$A$5),1,1)+INT((ROWS(B$2:B792)-1)/3),"jjjjmmdd")</f>
        <v>19400920</v>
      </c>
      <c r="C792" s="35" t="str">
        <f>INDEX(Data,2,2+MOD(ROWS(C$2:C792)-1,3))</f>
        <v>13.45</v>
      </c>
      <c r="D792" s="23">
        <f t="shared" ca="1" si="61"/>
        <v>747</v>
      </c>
      <c r="E792" s="40">
        <f t="shared" ca="1" si="62"/>
        <v>0</v>
      </c>
      <c r="F792" s="23">
        <f t="shared" ca="1" si="63"/>
        <v>31</v>
      </c>
      <c r="G792" s="40">
        <f t="shared" ca="1" si="64"/>
        <v>0</v>
      </c>
    </row>
    <row r="793" spans="1:7" x14ac:dyDescent="0.25">
      <c r="A793" s="17">
        <f t="shared" si="60"/>
        <v>81</v>
      </c>
      <c r="B793" t="str">
        <f ca="1">TEXT(DATE(YEAR(Invoer!$A$5),1,1)+INT((ROWS(B$2:B793)-1)/3),"jjjjmmdd")</f>
        <v>19400920</v>
      </c>
      <c r="C793" s="35" t="str">
        <f>INDEX(Data,2,2+MOD(ROWS(C$2:C793)-1,3))</f>
        <v>19.45</v>
      </c>
      <c r="D793" s="23">
        <f t="shared" ca="1" si="61"/>
        <v>748</v>
      </c>
      <c r="E793" s="40">
        <f t="shared" ca="1" si="62"/>
        <v>0</v>
      </c>
      <c r="F793" s="23">
        <f t="shared" ca="1" si="63"/>
        <v>29</v>
      </c>
      <c r="G793" s="40">
        <f t="shared" ca="1" si="64"/>
        <v>0</v>
      </c>
    </row>
    <row r="794" spans="1:7" x14ac:dyDescent="0.25">
      <c r="A794" s="17">
        <f t="shared" si="60"/>
        <v>81</v>
      </c>
      <c r="B794" t="str">
        <f ca="1">TEXT(DATE(YEAR(Invoer!$A$5),1,1)+INT((ROWS(B$2:B794)-1)/3),"jjjjmmdd")</f>
        <v>19400921</v>
      </c>
      <c r="C794" s="35" t="str">
        <f>INDEX(Data,2,2+MOD(ROWS(C$2:C794)-1,3))</f>
        <v>07.45</v>
      </c>
      <c r="D794" s="23">
        <f t="shared" ca="1" si="61"/>
        <v>748</v>
      </c>
      <c r="E794" s="40">
        <f t="shared" ca="1" si="62"/>
        <v>0</v>
      </c>
      <c r="F794" s="23">
        <f t="shared" ca="1" si="63"/>
        <v>29</v>
      </c>
      <c r="G794" s="40">
        <f t="shared" ca="1" si="64"/>
        <v>0</v>
      </c>
    </row>
    <row r="795" spans="1:7" x14ac:dyDescent="0.25">
      <c r="A795" s="17">
        <f t="shared" si="60"/>
        <v>81</v>
      </c>
      <c r="B795" t="str">
        <f ca="1">TEXT(DATE(YEAR(Invoer!$A$5),1,1)+INT((ROWS(B$2:B795)-1)/3),"jjjjmmdd")</f>
        <v>19400921</v>
      </c>
      <c r="C795" s="35" t="str">
        <f>INDEX(Data,2,2+MOD(ROWS(C$2:C795)-1,3))</f>
        <v>13.45</v>
      </c>
      <c r="D795" s="23">
        <f t="shared" ca="1" si="61"/>
        <v>748</v>
      </c>
      <c r="E795" s="40">
        <f t="shared" ca="1" si="62"/>
        <v>0</v>
      </c>
      <c r="F795" s="23">
        <f t="shared" ca="1" si="63"/>
        <v>31</v>
      </c>
      <c r="G795" s="40">
        <f t="shared" ca="1" si="64"/>
        <v>0</v>
      </c>
    </row>
    <row r="796" spans="1:7" x14ac:dyDescent="0.25">
      <c r="A796" s="17">
        <f t="shared" si="60"/>
        <v>81</v>
      </c>
      <c r="B796" t="str">
        <f ca="1">TEXT(DATE(YEAR(Invoer!$A$5),1,1)+INT((ROWS(B$2:B796)-1)/3),"jjjjmmdd")</f>
        <v>19400921</v>
      </c>
      <c r="C796" s="35" t="str">
        <f>INDEX(Data,2,2+MOD(ROWS(C$2:C796)-1,3))</f>
        <v>19.45</v>
      </c>
      <c r="D796" s="23">
        <f t="shared" ca="1" si="61"/>
        <v>748</v>
      </c>
      <c r="E796" s="40">
        <f t="shared" ca="1" si="62"/>
        <v>0</v>
      </c>
      <c r="F796" s="23">
        <f t="shared" ca="1" si="63"/>
        <v>29</v>
      </c>
      <c r="G796" s="40">
        <f t="shared" ca="1" si="64"/>
        <v>0</v>
      </c>
    </row>
    <row r="797" spans="1:7" x14ac:dyDescent="0.25">
      <c r="A797" s="17">
        <f t="shared" si="60"/>
        <v>81</v>
      </c>
      <c r="B797" t="str">
        <f ca="1">TEXT(DATE(YEAR(Invoer!$A$5),1,1)+INT((ROWS(B$2:B797)-1)/3),"jjjjmmdd")</f>
        <v>19400922</v>
      </c>
      <c r="C797" s="35" t="str">
        <f>INDEX(Data,2,2+MOD(ROWS(C$2:C797)-1,3))</f>
        <v>07.45</v>
      </c>
      <c r="D797" s="23">
        <f t="shared" ca="1" si="61"/>
        <v>748</v>
      </c>
      <c r="E797" s="40">
        <f t="shared" ca="1" si="62"/>
        <v>0</v>
      </c>
      <c r="F797" s="23">
        <f t="shared" ca="1" si="63"/>
        <v>28</v>
      </c>
      <c r="G797" s="40">
        <f t="shared" ca="1" si="64"/>
        <v>0</v>
      </c>
    </row>
    <row r="798" spans="1:7" x14ac:dyDescent="0.25">
      <c r="A798" s="17">
        <f t="shared" si="60"/>
        <v>81</v>
      </c>
      <c r="B798" t="str">
        <f ca="1">TEXT(DATE(YEAR(Invoer!$A$5),1,1)+INT((ROWS(B$2:B798)-1)/3),"jjjjmmdd")</f>
        <v>19400922</v>
      </c>
      <c r="C798" s="35" t="str">
        <f>INDEX(Data,2,2+MOD(ROWS(C$2:C798)-1,3))</f>
        <v>13.45</v>
      </c>
      <c r="D798" s="23">
        <f t="shared" ca="1" si="61"/>
        <v>747</v>
      </c>
      <c r="E798" s="40">
        <f t="shared" ca="1" si="62"/>
        <v>0</v>
      </c>
      <c r="F798" s="23">
        <f t="shared" ca="1" si="63"/>
        <v>30</v>
      </c>
      <c r="G798" s="40">
        <f t="shared" ca="1" si="64"/>
        <v>0</v>
      </c>
    </row>
    <row r="799" spans="1:7" x14ac:dyDescent="0.25">
      <c r="A799" s="17">
        <f t="shared" si="60"/>
        <v>81</v>
      </c>
      <c r="B799" t="str">
        <f ca="1">TEXT(DATE(YEAR(Invoer!$A$5),1,1)+INT((ROWS(B$2:B799)-1)/3),"jjjjmmdd")</f>
        <v>19400922</v>
      </c>
      <c r="C799" s="35" t="str">
        <f>INDEX(Data,2,2+MOD(ROWS(C$2:C799)-1,3))</f>
        <v>19.45</v>
      </c>
      <c r="D799" s="23">
        <f t="shared" ca="1" si="61"/>
        <v>748</v>
      </c>
      <c r="E799" s="40">
        <f t="shared" ca="1" si="62"/>
        <v>0</v>
      </c>
      <c r="F799" s="23">
        <f t="shared" ca="1" si="63"/>
        <v>29</v>
      </c>
      <c r="G799" s="40">
        <f t="shared" ca="1" si="64"/>
        <v>0</v>
      </c>
    </row>
    <row r="800" spans="1:7" x14ac:dyDescent="0.25">
      <c r="A800" s="17">
        <f t="shared" si="60"/>
        <v>81</v>
      </c>
      <c r="B800" t="str">
        <f ca="1">TEXT(DATE(YEAR(Invoer!$A$5),1,1)+INT((ROWS(B$2:B800)-1)/3),"jjjjmmdd")</f>
        <v>19400923</v>
      </c>
      <c r="C800" s="35" t="str">
        <f>INDEX(Data,2,2+MOD(ROWS(C$2:C800)-1,3))</f>
        <v>07.45</v>
      </c>
      <c r="D800" s="23">
        <f t="shared" ca="1" si="61"/>
        <v>748</v>
      </c>
      <c r="E800" s="40">
        <f t="shared" ca="1" si="62"/>
        <v>0</v>
      </c>
      <c r="F800" s="23">
        <f t="shared" ca="1" si="63"/>
        <v>28</v>
      </c>
      <c r="G800" s="40">
        <f t="shared" ca="1" si="64"/>
        <v>0</v>
      </c>
    </row>
    <row r="801" spans="1:7" x14ac:dyDescent="0.25">
      <c r="A801" s="17">
        <f t="shared" si="60"/>
        <v>81</v>
      </c>
      <c r="B801" t="str">
        <f ca="1">TEXT(DATE(YEAR(Invoer!$A$5),1,1)+INT((ROWS(B$2:B801)-1)/3),"jjjjmmdd")</f>
        <v>19400923</v>
      </c>
      <c r="C801" s="35" t="str">
        <f>INDEX(Data,2,2+MOD(ROWS(C$2:C801)-1,3))</f>
        <v>13.45</v>
      </c>
      <c r="D801" s="23">
        <f t="shared" ca="1" si="61"/>
        <v>748</v>
      </c>
      <c r="E801" s="40">
        <f t="shared" ca="1" si="62"/>
        <v>0</v>
      </c>
      <c r="F801" s="23">
        <f t="shared" ca="1" si="63"/>
        <v>31</v>
      </c>
      <c r="G801" s="40">
        <f t="shared" ca="1" si="64"/>
        <v>0</v>
      </c>
    </row>
    <row r="802" spans="1:7" x14ac:dyDescent="0.25">
      <c r="A802" s="17">
        <f t="shared" si="60"/>
        <v>81</v>
      </c>
      <c r="B802" t="str">
        <f ca="1">TEXT(DATE(YEAR(Invoer!$A$5),1,1)+INT((ROWS(B$2:B802)-1)/3),"jjjjmmdd")</f>
        <v>19400923</v>
      </c>
      <c r="C802" s="35" t="str">
        <f>INDEX(Data,2,2+MOD(ROWS(C$2:C802)-1,3))</f>
        <v>19.45</v>
      </c>
      <c r="D802" s="23">
        <f t="shared" ca="1" si="61"/>
        <v>749</v>
      </c>
      <c r="E802" s="40">
        <f t="shared" ca="1" si="62"/>
        <v>0</v>
      </c>
      <c r="F802" s="23">
        <f t="shared" ca="1" si="63"/>
        <v>30</v>
      </c>
      <c r="G802" s="40">
        <f t="shared" ca="1" si="64"/>
        <v>0</v>
      </c>
    </row>
    <row r="803" spans="1:7" x14ac:dyDescent="0.25">
      <c r="A803" s="17">
        <f t="shared" si="60"/>
        <v>81</v>
      </c>
      <c r="B803" t="str">
        <f ca="1">TEXT(DATE(YEAR(Invoer!$A$5),1,1)+INT((ROWS(B$2:B803)-1)/3),"jjjjmmdd")</f>
        <v>19400924</v>
      </c>
      <c r="C803" s="35" t="str">
        <f>INDEX(Data,2,2+MOD(ROWS(C$2:C803)-1,3))</f>
        <v>07.45</v>
      </c>
      <c r="D803" s="23">
        <f t="shared" ca="1" si="61"/>
        <v>750</v>
      </c>
      <c r="E803" s="40">
        <f t="shared" ca="1" si="62"/>
        <v>0</v>
      </c>
      <c r="F803" s="23">
        <f t="shared" ca="1" si="63"/>
        <v>28</v>
      </c>
      <c r="G803" s="40">
        <f t="shared" ca="1" si="64"/>
        <v>0</v>
      </c>
    </row>
    <row r="804" spans="1:7" x14ac:dyDescent="0.25">
      <c r="A804" s="17">
        <f t="shared" si="60"/>
        <v>81</v>
      </c>
      <c r="B804" t="str">
        <f ca="1">TEXT(DATE(YEAR(Invoer!$A$5),1,1)+INT((ROWS(B$2:B804)-1)/3),"jjjjmmdd")</f>
        <v>19400924</v>
      </c>
      <c r="C804" s="35" t="str">
        <f>INDEX(Data,2,2+MOD(ROWS(C$2:C804)-1,3))</f>
        <v>13.45</v>
      </c>
      <c r="D804" s="23">
        <f t="shared" ca="1" si="61"/>
        <v>750</v>
      </c>
      <c r="E804" s="40">
        <f t="shared" ca="1" si="62"/>
        <v>0</v>
      </c>
      <c r="F804" s="23">
        <f t="shared" ca="1" si="63"/>
        <v>31</v>
      </c>
      <c r="G804" s="40">
        <f t="shared" ca="1" si="64"/>
        <v>0</v>
      </c>
    </row>
    <row r="805" spans="1:7" x14ac:dyDescent="0.25">
      <c r="A805" s="17">
        <f t="shared" si="60"/>
        <v>81</v>
      </c>
      <c r="B805" t="str">
        <f ca="1">TEXT(DATE(YEAR(Invoer!$A$5),1,1)+INT((ROWS(B$2:B805)-1)/3),"jjjjmmdd")</f>
        <v>19400924</v>
      </c>
      <c r="C805" s="35" t="str">
        <f>INDEX(Data,2,2+MOD(ROWS(C$2:C805)-1,3))</f>
        <v>19.45</v>
      </c>
      <c r="D805" s="23">
        <f t="shared" ca="1" si="61"/>
        <v>749</v>
      </c>
      <c r="E805" s="40">
        <f t="shared" ca="1" si="62"/>
        <v>0</v>
      </c>
      <c r="F805" s="23">
        <f t="shared" ca="1" si="63"/>
        <v>30</v>
      </c>
      <c r="G805" s="40">
        <f t="shared" ca="1" si="64"/>
        <v>0</v>
      </c>
    </row>
    <row r="806" spans="1:7" x14ac:dyDescent="0.25">
      <c r="A806" s="17">
        <f t="shared" si="60"/>
        <v>81</v>
      </c>
      <c r="B806" t="str">
        <f ca="1">TEXT(DATE(YEAR(Invoer!$A$5),1,1)+INT((ROWS(B$2:B806)-1)/3),"jjjjmmdd")</f>
        <v>19400925</v>
      </c>
      <c r="C806" s="35" t="str">
        <f>INDEX(Data,2,2+MOD(ROWS(C$2:C806)-1,3))</f>
        <v>07.45</v>
      </c>
      <c r="D806" s="23">
        <f t="shared" ca="1" si="61"/>
        <v>749</v>
      </c>
      <c r="E806" s="40">
        <f t="shared" ca="1" si="62"/>
        <v>0</v>
      </c>
      <c r="F806" s="23">
        <f t="shared" ca="1" si="63"/>
        <v>29</v>
      </c>
      <c r="G806" s="40">
        <f t="shared" ca="1" si="64"/>
        <v>0</v>
      </c>
    </row>
    <row r="807" spans="1:7" x14ac:dyDescent="0.25">
      <c r="A807" s="17">
        <f t="shared" si="60"/>
        <v>81</v>
      </c>
      <c r="B807" t="str">
        <f ca="1">TEXT(DATE(YEAR(Invoer!$A$5),1,1)+INT((ROWS(B$2:B807)-1)/3),"jjjjmmdd")</f>
        <v>19400925</v>
      </c>
      <c r="C807" s="35" t="str">
        <f>INDEX(Data,2,2+MOD(ROWS(C$2:C807)-1,3))</f>
        <v>13.45</v>
      </c>
      <c r="D807" s="23">
        <f t="shared" ca="1" si="61"/>
        <v>748</v>
      </c>
      <c r="E807" s="40">
        <f t="shared" ca="1" si="62"/>
        <v>0</v>
      </c>
      <c r="F807" s="23">
        <f t="shared" ca="1" si="63"/>
        <v>31</v>
      </c>
      <c r="G807" s="40">
        <f t="shared" ca="1" si="64"/>
        <v>0</v>
      </c>
    </row>
    <row r="808" spans="1:7" x14ac:dyDescent="0.25">
      <c r="A808" s="17">
        <f t="shared" si="60"/>
        <v>81</v>
      </c>
      <c r="B808" t="str">
        <f ca="1">TEXT(DATE(YEAR(Invoer!$A$5),1,1)+INT((ROWS(B$2:B808)-1)/3),"jjjjmmdd")</f>
        <v>19400925</v>
      </c>
      <c r="C808" s="35" t="str">
        <f>INDEX(Data,2,2+MOD(ROWS(C$2:C808)-1,3))</f>
        <v>19.45</v>
      </c>
      <c r="D808" s="23">
        <f t="shared" ca="1" si="61"/>
        <v>748</v>
      </c>
      <c r="E808" s="40">
        <f t="shared" ca="1" si="62"/>
        <v>0</v>
      </c>
      <c r="F808" s="23">
        <f t="shared" ca="1" si="63"/>
        <v>30</v>
      </c>
      <c r="G808" s="40">
        <f t="shared" ca="1" si="64"/>
        <v>0</v>
      </c>
    </row>
    <row r="809" spans="1:7" x14ac:dyDescent="0.25">
      <c r="A809" s="17">
        <f t="shared" si="60"/>
        <v>81</v>
      </c>
      <c r="B809" t="str">
        <f ca="1">TEXT(DATE(YEAR(Invoer!$A$5),1,1)+INT((ROWS(B$2:B809)-1)/3),"jjjjmmdd")</f>
        <v>19400926</v>
      </c>
      <c r="C809" s="35" t="str">
        <f>INDEX(Data,2,2+MOD(ROWS(C$2:C809)-1,3))</f>
        <v>07.45</v>
      </c>
      <c r="D809" s="23">
        <f t="shared" ca="1" si="61"/>
        <v>747</v>
      </c>
      <c r="E809" s="40">
        <f t="shared" ca="1" si="62"/>
        <v>0</v>
      </c>
      <c r="F809" s="23">
        <f t="shared" ca="1" si="63"/>
        <v>29</v>
      </c>
      <c r="G809" s="40">
        <f t="shared" ca="1" si="64"/>
        <v>0</v>
      </c>
    </row>
    <row r="810" spans="1:7" x14ac:dyDescent="0.25">
      <c r="A810" s="17">
        <f t="shared" si="60"/>
        <v>81</v>
      </c>
      <c r="B810" t="str">
        <f ca="1">TEXT(DATE(YEAR(Invoer!$A$5),1,1)+INT((ROWS(B$2:B810)-1)/3),"jjjjmmdd")</f>
        <v>19400926</v>
      </c>
      <c r="C810" s="35" t="str">
        <f>INDEX(Data,2,2+MOD(ROWS(C$2:C810)-1,3))</f>
        <v>13.45</v>
      </c>
      <c r="D810" s="23">
        <f t="shared" ca="1" si="61"/>
        <v>746</v>
      </c>
      <c r="E810" s="40">
        <f t="shared" ca="1" si="62"/>
        <v>0</v>
      </c>
      <c r="F810" s="23">
        <f t="shared" ca="1" si="63"/>
        <v>31</v>
      </c>
      <c r="G810" s="40">
        <f t="shared" ca="1" si="64"/>
        <v>0</v>
      </c>
    </row>
    <row r="811" spans="1:7" x14ac:dyDescent="0.25">
      <c r="A811" s="17">
        <f t="shared" si="60"/>
        <v>81</v>
      </c>
      <c r="B811" t="str">
        <f ca="1">TEXT(DATE(YEAR(Invoer!$A$5),1,1)+INT((ROWS(B$2:B811)-1)/3),"jjjjmmdd")</f>
        <v>19400926</v>
      </c>
      <c r="C811" s="35" t="str">
        <f>INDEX(Data,2,2+MOD(ROWS(C$2:C811)-1,3))</f>
        <v>19.45</v>
      </c>
      <c r="D811" s="23">
        <f t="shared" ca="1" si="61"/>
        <v>746</v>
      </c>
      <c r="E811" s="40">
        <f t="shared" ca="1" si="62"/>
        <v>0</v>
      </c>
      <c r="F811" s="23">
        <f t="shared" ca="1" si="63"/>
        <v>30</v>
      </c>
      <c r="G811" s="40">
        <f t="shared" ca="1" si="64"/>
        <v>0</v>
      </c>
    </row>
    <row r="812" spans="1:7" x14ac:dyDescent="0.25">
      <c r="A812" s="17">
        <f t="shared" si="60"/>
        <v>81</v>
      </c>
      <c r="B812" t="str">
        <f ca="1">TEXT(DATE(YEAR(Invoer!$A$5),1,1)+INT((ROWS(B$2:B812)-1)/3),"jjjjmmdd")</f>
        <v>19400927</v>
      </c>
      <c r="C812" s="35" t="str">
        <f>INDEX(Data,2,2+MOD(ROWS(C$2:C812)-1,3))</f>
        <v>07.45</v>
      </c>
      <c r="D812" s="23">
        <f t="shared" ca="1" si="61"/>
        <v>746</v>
      </c>
      <c r="E812" s="40">
        <f t="shared" ca="1" si="62"/>
        <v>0</v>
      </c>
      <c r="F812" s="23">
        <f t="shared" ca="1" si="63"/>
        <v>28</v>
      </c>
      <c r="G812" s="40">
        <f t="shared" ca="1" si="64"/>
        <v>0</v>
      </c>
    </row>
    <row r="813" spans="1:7" x14ac:dyDescent="0.25">
      <c r="A813" s="17">
        <f t="shared" si="60"/>
        <v>81</v>
      </c>
      <c r="B813" t="str">
        <f ca="1">TEXT(DATE(YEAR(Invoer!$A$5),1,1)+INT((ROWS(B$2:B813)-1)/3),"jjjjmmdd")</f>
        <v>19400927</v>
      </c>
      <c r="C813" s="35" t="str">
        <f>INDEX(Data,2,2+MOD(ROWS(C$2:C813)-1,3))</f>
        <v>13.45</v>
      </c>
      <c r="D813" s="23">
        <f t="shared" ca="1" si="61"/>
        <v>746</v>
      </c>
      <c r="E813" s="40">
        <f t="shared" ca="1" si="62"/>
        <v>0</v>
      </c>
      <c r="F813" s="23">
        <f t="shared" ca="1" si="63"/>
        <v>31</v>
      </c>
      <c r="G813" s="40">
        <f t="shared" ca="1" si="64"/>
        <v>0</v>
      </c>
    </row>
    <row r="814" spans="1:7" x14ac:dyDescent="0.25">
      <c r="A814" s="17">
        <f t="shared" si="60"/>
        <v>81</v>
      </c>
      <c r="B814" t="str">
        <f ca="1">TEXT(DATE(YEAR(Invoer!$A$5),1,1)+INT((ROWS(B$2:B814)-1)/3),"jjjjmmdd")</f>
        <v>19400927</v>
      </c>
      <c r="C814" s="35" t="str">
        <f>INDEX(Data,2,2+MOD(ROWS(C$2:C814)-1,3))</f>
        <v>19.45</v>
      </c>
      <c r="D814" s="23">
        <f t="shared" ca="1" si="61"/>
        <v>746</v>
      </c>
      <c r="E814" s="40">
        <f t="shared" ca="1" si="62"/>
        <v>0</v>
      </c>
      <c r="F814" s="23">
        <f t="shared" ca="1" si="63"/>
        <v>29</v>
      </c>
      <c r="G814" s="40">
        <f t="shared" ca="1" si="64"/>
        <v>0</v>
      </c>
    </row>
    <row r="815" spans="1:7" x14ac:dyDescent="0.25">
      <c r="A815" s="17">
        <f t="shared" si="60"/>
        <v>81</v>
      </c>
      <c r="B815" t="str">
        <f ca="1">TEXT(DATE(YEAR(Invoer!$A$5),1,1)+INT((ROWS(B$2:B815)-1)/3),"jjjjmmdd")</f>
        <v>19400928</v>
      </c>
      <c r="C815" s="35" t="str">
        <f>INDEX(Data,2,2+MOD(ROWS(C$2:C815)-1,3))</f>
        <v>07.45</v>
      </c>
      <c r="D815" s="23">
        <f t="shared" ca="1" si="61"/>
        <v>747</v>
      </c>
      <c r="E815" s="40">
        <f t="shared" ca="1" si="62"/>
        <v>0</v>
      </c>
      <c r="F815" s="23">
        <f t="shared" ca="1" si="63"/>
        <v>28</v>
      </c>
      <c r="G815" s="40">
        <f t="shared" ca="1" si="64"/>
        <v>0</v>
      </c>
    </row>
    <row r="816" spans="1:7" x14ac:dyDescent="0.25">
      <c r="A816" s="17">
        <f t="shared" si="60"/>
        <v>81</v>
      </c>
      <c r="B816" t="str">
        <f ca="1">TEXT(DATE(YEAR(Invoer!$A$5),1,1)+INT((ROWS(B$2:B816)-1)/3),"jjjjmmdd")</f>
        <v>19400928</v>
      </c>
      <c r="C816" s="35" t="str">
        <f>INDEX(Data,2,2+MOD(ROWS(C$2:C816)-1,3))</f>
        <v>13.45</v>
      </c>
      <c r="D816" s="23">
        <f t="shared" ca="1" si="61"/>
        <v>746</v>
      </c>
      <c r="E816" s="40">
        <f t="shared" ca="1" si="62"/>
        <v>0</v>
      </c>
      <c r="F816" s="23">
        <f t="shared" ca="1" si="63"/>
        <v>31</v>
      </c>
      <c r="G816" s="40">
        <f t="shared" ca="1" si="64"/>
        <v>0</v>
      </c>
    </row>
    <row r="817" spans="1:7" x14ac:dyDescent="0.25">
      <c r="A817" s="17">
        <f t="shared" si="60"/>
        <v>81</v>
      </c>
      <c r="B817" t="str">
        <f ca="1">TEXT(DATE(YEAR(Invoer!$A$5),1,1)+INT((ROWS(B$2:B817)-1)/3),"jjjjmmdd")</f>
        <v>19400928</v>
      </c>
      <c r="C817" s="35" t="str">
        <f>INDEX(Data,2,2+MOD(ROWS(C$2:C817)-1,3))</f>
        <v>19.45</v>
      </c>
      <c r="D817" s="23">
        <f t="shared" ca="1" si="61"/>
        <v>747</v>
      </c>
      <c r="E817" s="40">
        <f t="shared" ca="1" si="62"/>
        <v>0</v>
      </c>
      <c r="F817" s="23">
        <f t="shared" ca="1" si="63"/>
        <v>27</v>
      </c>
      <c r="G817" s="40">
        <f t="shared" ca="1" si="64"/>
        <v>0</v>
      </c>
    </row>
    <row r="818" spans="1:7" x14ac:dyDescent="0.25">
      <c r="A818" s="17">
        <f t="shared" si="60"/>
        <v>81</v>
      </c>
      <c r="B818" t="str">
        <f ca="1">TEXT(DATE(YEAR(Invoer!$A$5),1,1)+INT((ROWS(B$2:B818)-1)/3),"jjjjmmdd")</f>
        <v>19400929</v>
      </c>
      <c r="C818" s="35" t="str">
        <f>INDEX(Data,2,2+MOD(ROWS(C$2:C818)-1,3))</f>
        <v>07.45</v>
      </c>
      <c r="D818" s="23">
        <f t="shared" ca="1" si="61"/>
        <v>748</v>
      </c>
      <c r="E818" s="40">
        <f t="shared" ca="1" si="62"/>
        <v>0</v>
      </c>
      <c r="F818" s="23">
        <f t="shared" ca="1" si="63"/>
        <v>27</v>
      </c>
      <c r="G818" s="40">
        <f t="shared" ca="1" si="64"/>
        <v>0</v>
      </c>
    </row>
    <row r="819" spans="1:7" x14ac:dyDescent="0.25">
      <c r="A819" s="17">
        <f t="shared" si="60"/>
        <v>81</v>
      </c>
      <c r="B819" t="str">
        <f ca="1">TEXT(DATE(YEAR(Invoer!$A$5),1,1)+INT((ROWS(B$2:B819)-1)/3),"jjjjmmdd")</f>
        <v>19400929</v>
      </c>
      <c r="C819" s="35" t="str">
        <f>INDEX(Data,2,2+MOD(ROWS(C$2:C819)-1,3))</f>
        <v>13.45</v>
      </c>
      <c r="D819" s="23">
        <f t="shared" ca="1" si="61"/>
        <v>748</v>
      </c>
      <c r="E819" s="40">
        <f t="shared" ca="1" si="62"/>
        <v>0</v>
      </c>
      <c r="F819" s="23">
        <f t="shared" ca="1" si="63"/>
        <v>30</v>
      </c>
      <c r="G819" s="40">
        <f t="shared" ca="1" si="64"/>
        <v>0</v>
      </c>
    </row>
    <row r="820" spans="1:7" x14ac:dyDescent="0.25">
      <c r="A820" s="17">
        <f t="shared" si="60"/>
        <v>81</v>
      </c>
      <c r="B820" t="str">
        <f ca="1">TEXT(DATE(YEAR(Invoer!$A$5),1,1)+INT((ROWS(B$2:B820)-1)/3),"jjjjmmdd")</f>
        <v>19400929</v>
      </c>
      <c r="C820" s="35" t="str">
        <f>INDEX(Data,2,2+MOD(ROWS(C$2:C820)-1,3))</f>
        <v>19.45</v>
      </c>
      <c r="D820" s="23">
        <f t="shared" ca="1" si="61"/>
        <v>748</v>
      </c>
      <c r="E820" s="40">
        <f t="shared" ca="1" si="62"/>
        <v>0</v>
      </c>
      <c r="F820" s="23">
        <f t="shared" ca="1" si="63"/>
        <v>29</v>
      </c>
      <c r="G820" s="40">
        <f t="shared" ca="1" si="64"/>
        <v>0</v>
      </c>
    </row>
    <row r="821" spans="1:7" x14ac:dyDescent="0.25">
      <c r="A821" s="17">
        <f t="shared" si="60"/>
        <v>81</v>
      </c>
      <c r="B821" t="str">
        <f ca="1">TEXT(DATE(YEAR(Invoer!$A$5),1,1)+INT((ROWS(B$2:B821)-1)/3),"jjjjmmdd")</f>
        <v>19400930</v>
      </c>
      <c r="C821" s="35" t="str">
        <f>INDEX(Data,2,2+MOD(ROWS(C$2:C821)-1,3))</f>
        <v>07.45</v>
      </c>
      <c r="D821" s="23">
        <f t="shared" ca="1" si="61"/>
        <v>748</v>
      </c>
      <c r="E821" s="40">
        <f t="shared" ca="1" si="62"/>
        <v>0</v>
      </c>
      <c r="F821" s="23">
        <f t="shared" ca="1" si="63"/>
        <v>28</v>
      </c>
      <c r="G821" s="40">
        <f t="shared" ca="1" si="64"/>
        <v>0</v>
      </c>
    </row>
    <row r="822" spans="1:7" x14ac:dyDescent="0.25">
      <c r="A822" s="17">
        <f t="shared" si="60"/>
        <v>81</v>
      </c>
      <c r="B822" t="str">
        <f ca="1">TEXT(DATE(YEAR(Invoer!$A$5),1,1)+INT((ROWS(B$2:B822)-1)/3),"jjjjmmdd")</f>
        <v>19400930</v>
      </c>
      <c r="C822" s="35" t="str">
        <f>INDEX(Data,2,2+MOD(ROWS(C$2:C822)-1,3))</f>
        <v>13.45</v>
      </c>
      <c r="D822" s="23">
        <f t="shared" ca="1" si="61"/>
        <v>748</v>
      </c>
      <c r="E822" s="40">
        <f t="shared" ca="1" si="62"/>
        <v>0</v>
      </c>
      <c r="F822" s="23">
        <f t="shared" ca="1" si="63"/>
        <v>31</v>
      </c>
      <c r="G822" s="40">
        <f t="shared" ca="1" si="64"/>
        <v>0</v>
      </c>
    </row>
    <row r="823" spans="1:7" x14ac:dyDescent="0.25">
      <c r="A823" s="17">
        <f t="shared" si="60"/>
        <v>81</v>
      </c>
      <c r="B823" t="str">
        <f ca="1">TEXT(DATE(YEAR(Invoer!$A$5),1,1)+INT((ROWS(B$2:B823)-1)/3),"jjjjmmdd")</f>
        <v>19400930</v>
      </c>
      <c r="C823" s="35" t="str">
        <f>INDEX(Data,2,2+MOD(ROWS(C$2:C823)-1,3))</f>
        <v>19.45</v>
      </c>
      <c r="D823" s="23">
        <f t="shared" ca="1" si="61"/>
        <v>748</v>
      </c>
      <c r="E823" s="40">
        <f t="shared" ca="1" si="62"/>
        <v>0</v>
      </c>
      <c r="F823" s="23">
        <f t="shared" ca="1" si="63"/>
        <v>29</v>
      </c>
      <c r="G823" s="40">
        <f t="shared" ca="1" si="64"/>
        <v>0</v>
      </c>
    </row>
    <row r="824" spans="1:7" x14ac:dyDescent="0.25">
      <c r="A824" s="17">
        <f t="shared" si="60"/>
        <v>81</v>
      </c>
      <c r="B824" t="str">
        <f ca="1">TEXT(DATE(YEAR(Invoer!$A$5),1,1)+INT((ROWS(B$2:B824)-1)/3),"jjjjmmdd")</f>
        <v>19401001</v>
      </c>
      <c r="C824" s="35" t="str">
        <f>INDEX(Data,2,2+MOD(ROWS(C$2:C824)-1,3))</f>
        <v>07.45</v>
      </c>
      <c r="D824" s="23">
        <f t="shared" ca="1" si="61"/>
        <v>748</v>
      </c>
      <c r="E824" s="40">
        <f t="shared" ca="1" si="62"/>
        <v>0</v>
      </c>
      <c r="F824" s="23">
        <f t="shared" ca="1" si="63"/>
        <v>28</v>
      </c>
      <c r="G824" s="40">
        <f t="shared" ca="1" si="64"/>
        <v>0</v>
      </c>
    </row>
    <row r="825" spans="1:7" x14ac:dyDescent="0.25">
      <c r="A825" s="17">
        <f t="shared" si="60"/>
        <v>81</v>
      </c>
      <c r="B825" t="str">
        <f ca="1">TEXT(DATE(YEAR(Invoer!$A$5),1,1)+INT((ROWS(B$2:B825)-1)/3),"jjjjmmdd")</f>
        <v>19401001</v>
      </c>
      <c r="C825" s="35" t="str">
        <f>INDEX(Data,2,2+MOD(ROWS(C$2:C825)-1,3))</f>
        <v>13.45</v>
      </c>
      <c r="D825" s="23">
        <f t="shared" ca="1" si="61"/>
        <v>748</v>
      </c>
      <c r="E825" s="40">
        <f t="shared" ca="1" si="62"/>
        <v>0</v>
      </c>
      <c r="F825" s="23">
        <f t="shared" ca="1" si="63"/>
        <v>30</v>
      </c>
      <c r="G825" s="40">
        <f t="shared" ca="1" si="64"/>
        <v>0</v>
      </c>
    </row>
    <row r="826" spans="1:7" x14ac:dyDescent="0.25">
      <c r="A826" s="17">
        <f t="shared" si="60"/>
        <v>81</v>
      </c>
      <c r="B826" t="str">
        <f ca="1">TEXT(DATE(YEAR(Invoer!$A$5),1,1)+INT((ROWS(B$2:B826)-1)/3),"jjjjmmdd")</f>
        <v>19401001</v>
      </c>
      <c r="C826" s="35" t="str">
        <f>INDEX(Data,2,2+MOD(ROWS(C$2:C826)-1,3))</f>
        <v>19.45</v>
      </c>
      <c r="D826" s="23">
        <f t="shared" ca="1" si="61"/>
        <v>748</v>
      </c>
      <c r="E826" s="40">
        <f t="shared" ca="1" si="62"/>
        <v>0</v>
      </c>
      <c r="F826" s="23">
        <f t="shared" ca="1" si="63"/>
        <v>29</v>
      </c>
      <c r="G826" s="40">
        <f t="shared" ca="1" si="64"/>
        <v>0</v>
      </c>
    </row>
    <row r="827" spans="1:7" x14ac:dyDescent="0.25">
      <c r="A827" s="17">
        <f t="shared" si="60"/>
        <v>81</v>
      </c>
      <c r="B827" t="str">
        <f ca="1">TEXT(DATE(YEAR(Invoer!$A$5),1,1)+INT((ROWS(B$2:B827)-1)/3),"jjjjmmdd")</f>
        <v>19401002</v>
      </c>
      <c r="C827" s="35" t="str">
        <f>INDEX(Data,2,2+MOD(ROWS(C$2:C827)-1,3))</f>
        <v>07.45</v>
      </c>
      <c r="D827" s="23">
        <f t="shared" ca="1" si="61"/>
        <v>748</v>
      </c>
      <c r="E827" s="40">
        <f t="shared" ca="1" si="62"/>
        <v>0</v>
      </c>
      <c r="F827" s="23">
        <f t="shared" ca="1" si="63"/>
        <v>28</v>
      </c>
      <c r="G827" s="40">
        <f t="shared" ca="1" si="64"/>
        <v>0</v>
      </c>
    </row>
    <row r="828" spans="1:7" x14ac:dyDescent="0.25">
      <c r="A828" s="17">
        <f t="shared" si="60"/>
        <v>81</v>
      </c>
      <c r="B828" t="str">
        <f ca="1">TEXT(DATE(YEAR(Invoer!$A$5),1,1)+INT((ROWS(B$2:B828)-1)/3),"jjjjmmdd")</f>
        <v>19401002</v>
      </c>
      <c r="C828" s="35" t="str">
        <f>INDEX(Data,2,2+MOD(ROWS(C$2:C828)-1,3))</f>
        <v>13.45</v>
      </c>
      <c r="D828" s="23">
        <f t="shared" ca="1" si="61"/>
        <v>748</v>
      </c>
      <c r="E828" s="40">
        <f t="shared" ca="1" si="62"/>
        <v>0</v>
      </c>
      <c r="F828" s="23">
        <f t="shared" ca="1" si="63"/>
        <v>30</v>
      </c>
      <c r="G828" s="40">
        <f t="shared" ca="1" si="64"/>
        <v>0</v>
      </c>
    </row>
    <row r="829" spans="1:7" x14ac:dyDescent="0.25">
      <c r="A829" s="17">
        <f t="shared" si="60"/>
        <v>81</v>
      </c>
      <c r="B829" t="str">
        <f ca="1">TEXT(DATE(YEAR(Invoer!$A$5),1,1)+INT((ROWS(B$2:B829)-1)/3),"jjjjmmdd")</f>
        <v>19401002</v>
      </c>
      <c r="C829" s="35" t="str">
        <f>INDEX(Data,2,2+MOD(ROWS(C$2:C829)-1,3))</f>
        <v>19.45</v>
      </c>
      <c r="D829" s="23">
        <f t="shared" ca="1" si="61"/>
        <v>748</v>
      </c>
      <c r="E829" s="40">
        <f t="shared" ca="1" si="62"/>
        <v>0</v>
      </c>
      <c r="F829" s="23">
        <f t="shared" ca="1" si="63"/>
        <v>29</v>
      </c>
      <c r="G829" s="40">
        <f t="shared" ca="1" si="64"/>
        <v>0</v>
      </c>
    </row>
    <row r="830" spans="1:7" x14ac:dyDescent="0.25">
      <c r="A830" s="17">
        <f t="shared" si="60"/>
        <v>81</v>
      </c>
      <c r="B830" t="str">
        <f ca="1">TEXT(DATE(YEAR(Invoer!$A$5),1,1)+INT((ROWS(B$2:B830)-1)/3),"jjjjmmdd")</f>
        <v>19401003</v>
      </c>
      <c r="C830" s="35" t="str">
        <f>INDEX(Data,2,2+MOD(ROWS(C$2:C830)-1,3))</f>
        <v>07.45</v>
      </c>
      <c r="D830" s="23">
        <f t="shared" ca="1" si="61"/>
        <v>748</v>
      </c>
      <c r="E830" s="40">
        <f t="shared" ca="1" si="62"/>
        <v>0</v>
      </c>
      <c r="F830" s="23">
        <f t="shared" ca="1" si="63"/>
        <v>28</v>
      </c>
      <c r="G830" s="40">
        <f t="shared" ca="1" si="64"/>
        <v>0</v>
      </c>
    </row>
    <row r="831" spans="1:7" x14ac:dyDescent="0.25">
      <c r="A831" s="17">
        <f t="shared" si="60"/>
        <v>81</v>
      </c>
      <c r="B831" t="str">
        <f ca="1">TEXT(DATE(YEAR(Invoer!$A$5),1,1)+INT((ROWS(B$2:B831)-1)/3),"jjjjmmdd")</f>
        <v>19401003</v>
      </c>
      <c r="C831" s="35" t="str">
        <f>INDEX(Data,2,2+MOD(ROWS(C$2:C831)-1,3))</f>
        <v>13.45</v>
      </c>
      <c r="D831" s="23">
        <f t="shared" ca="1" si="61"/>
        <v>748</v>
      </c>
      <c r="E831" s="40">
        <f t="shared" ca="1" si="62"/>
        <v>0</v>
      </c>
      <c r="F831" s="23">
        <f t="shared" ca="1" si="63"/>
        <v>30</v>
      </c>
      <c r="G831" s="40">
        <f t="shared" ca="1" si="64"/>
        <v>0</v>
      </c>
    </row>
    <row r="832" spans="1:7" x14ac:dyDescent="0.25">
      <c r="A832" s="17">
        <f t="shared" si="60"/>
        <v>81</v>
      </c>
      <c r="B832" t="str">
        <f ca="1">TEXT(DATE(YEAR(Invoer!$A$5),1,1)+INT((ROWS(B$2:B832)-1)/3),"jjjjmmdd")</f>
        <v>19401003</v>
      </c>
      <c r="C832" s="35" t="str">
        <f>INDEX(Data,2,2+MOD(ROWS(C$2:C832)-1,3))</f>
        <v>19.45</v>
      </c>
      <c r="D832" s="23">
        <f t="shared" ca="1" si="61"/>
        <v>748</v>
      </c>
      <c r="E832" s="40">
        <f t="shared" ca="1" si="62"/>
        <v>0</v>
      </c>
      <c r="F832" s="23">
        <f t="shared" ca="1" si="63"/>
        <v>29</v>
      </c>
      <c r="G832" s="40">
        <f t="shared" ca="1" si="64"/>
        <v>0</v>
      </c>
    </row>
    <row r="833" spans="1:7" x14ac:dyDescent="0.25">
      <c r="A833" s="17">
        <f t="shared" si="60"/>
        <v>81</v>
      </c>
      <c r="B833" t="str">
        <f ca="1">TEXT(DATE(YEAR(Invoer!$A$5),1,1)+INT((ROWS(B$2:B833)-1)/3),"jjjjmmdd")</f>
        <v>19401004</v>
      </c>
      <c r="C833" s="35" t="str">
        <f>INDEX(Data,2,2+MOD(ROWS(C$2:C833)-1,3))</f>
        <v>07.45</v>
      </c>
      <c r="D833" s="23">
        <f t="shared" ca="1" si="61"/>
        <v>748</v>
      </c>
      <c r="E833" s="40">
        <f t="shared" ca="1" si="62"/>
        <v>0</v>
      </c>
      <c r="F833" s="23">
        <f t="shared" ca="1" si="63"/>
        <v>28</v>
      </c>
      <c r="G833" s="40">
        <f t="shared" ca="1" si="64"/>
        <v>0</v>
      </c>
    </row>
    <row r="834" spans="1:7" x14ac:dyDescent="0.25">
      <c r="A834" s="17">
        <f t="shared" ref="A834:A897" si="65">INDEX(Stations,2,1)</f>
        <v>81</v>
      </c>
      <c r="B834" t="str">
        <f ca="1">TEXT(DATE(YEAR(Invoer!$A$5),1,1)+INT((ROWS(B$2:B834)-1)/3),"jjjjmmdd")</f>
        <v>19401004</v>
      </c>
      <c r="C834" s="35" t="str">
        <f>INDEX(Data,2,2+MOD(ROWS(C$2:C834)-1,3))</f>
        <v>13.45</v>
      </c>
      <c r="D834" s="23">
        <f t="shared" ref="D834:D897" ca="1" si="66">IF(OR(ISBLANK(VLOOKUP(DATEVALUE(LEFT($B834,4)&amp;"-"&amp;MID($B834,5,2)&amp;"-"&amp;RIGHT($B834,2)),Data,MATCH(LEFT(VLOOKUP(D$1,Parameters,2,FALSE()),4)&amp;"*",OFFSET(Data,0,0,1),0)+MATCH($C834,OFFSET(Data,1,0,1),0)-2,FALSE())),ISTEXT(VLOOKUP(DATEVALUE(LEFT($B834,4)&amp;"-"&amp;MID($B834,5,2)&amp;"-"&amp;RIGHT($B834,2)),Data,MATCH(LEFT(VLOOKUP(D$1,Parameters,2,FALSE()),4)&amp;"*",OFFSET(Data,0,0,1),0)+MATCH($C834,OFFSET(Data,1,0,1),0)-2,FALSE()))),"—",VLOOKUP(DATEVALUE(LEFT($B834,4)&amp;"-"&amp;MID($B834,5,2)&amp;"-"&amp;RIGHT($B834,2)),Data,MATCH(LEFT(VLOOKUP(D$1,Parameters,2,FALSE()),4)&amp;"*",OFFSET(Data,0,0,1),0)+MATCH($C834,OFFSET(Data,1,0,1),0)-2,FALSE()))</f>
        <v>748</v>
      </c>
      <c r="E834" s="40">
        <f t="shared" ref="E834:E897" ca="1" si="67">IF(OR(ISBLANK(VLOOKUP(DATEVALUE(LEFT($B834,4)&amp;"-"&amp;MID($B834,5,2)&amp;"-"&amp;RIGHT($B834,2)),Data,MATCH(LEFT(VLOOKUP(MID(E$1,2,LEN(E$1)-1),Parameters,2,FALSE()),4)&amp;"*",OFFSET(Data,0,0,1),0)+MATCH($C834,OFFSET(Data,1,0,1),0)-2,FALSE())),ISTEXT(VLOOKUP(DATEVALUE(LEFT($B834,4)&amp;"-"&amp;MID($B834,5,2)&amp;"-"&amp;RIGHT($B834,2)),Data,MATCH(LEFT(VLOOKUP(MID(E$1,2,LEN(E$1)-1),Parameters,2,FALSE()),4)&amp;"*",OFFSET(Data,0,0,1),0)+MATCH($C834,OFFSET(Data,1,0,1),0)-2,FALSE()))),Lacking,IF(ISNA(MATCH(DATEVALUE(LEFT($B834,4)&amp;"-"&amp;MID($B834,5,2)&amp;"-"&amp;RIGHT($B834,2)),OFFSET(Catalogus,0,0,,1),0)),Ok,VLOOKUP(DATEVALUE(LEFT($B834,4)&amp;"-"&amp;MID($B834,5,2)&amp;"-"&amp;RIGHT($B834,2)),Catalogus,MATCH(LEFT(VLOOKUP(MID(E$1,2,LEN(E$1)-1),Parameters,2,FALSE()),4)&amp;"*",OFFSET(Catalogus,0,0,1),0)+MATCH($C834,OFFSET(Catalogus,1,0,1),0)-2,FALSE())))</f>
        <v>0</v>
      </c>
      <c r="F834" s="23">
        <f t="shared" ref="F834:F897" ca="1" si="68">IF(OR(ISBLANK(VLOOKUP(DATEVALUE(LEFT($B834,4)&amp;"-"&amp;MID($B834,5,2)&amp;"-"&amp;RIGHT($B834,2)),Data,MATCH(LEFT(VLOOKUP(F$1,Parameters,2,FALSE()),4)&amp;"*",OFFSET(Data,0,0,1),0)+MATCH($C834,OFFSET(Data,1,0,1),0)-2,FALSE())),ISTEXT(VLOOKUP(DATEVALUE(LEFT($B834,4)&amp;"-"&amp;MID($B834,5,2)&amp;"-"&amp;RIGHT($B834,2)),Data,MATCH(LEFT(VLOOKUP(F$1,Parameters,2,FALSE()),4)&amp;"*",OFFSET(Data,0,0,1),0)+MATCH($C834,OFFSET(Data,1,0,1),0)-2,FALSE()))),"—",VLOOKUP(DATEVALUE(LEFT($B834,4)&amp;"-"&amp;MID($B834,5,2)&amp;"-"&amp;RIGHT($B834,2)),Data,MATCH(LEFT(VLOOKUP(F$1,Parameters,2,FALSE()),4)&amp;"*",OFFSET(Data,0,0,1),0)+MATCH($C834,OFFSET(Data,1,0,1),0)-2,FALSE()))</f>
        <v>30</v>
      </c>
      <c r="G834" s="40">
        <f t="shared" ref="G834:G897" ca="1" si="69">IF(OR(ISBLANK(VLOOKUP(DATEVALUE(LEFT($B834,4)&amp;"-"&amp;MID($B834,5,2)&amp;"-"&amp;RIGHT($B834,2)),Data,MATCH(LEFT(VLOOKUP(MID(G$1,2,LEN(G$1)-1),Parameters,2,FALSE()),4)&amp;"*",OFFSET(Data,0,0,1),0)+MATCH($C834,OFFSET(Data,1,0,1),0)-2,FALSE())),ISTEXT(VLOOKUP(DATEVALUE(LEFT($B834,4)&amp;"-"&amp;MID($B834,5,2)&amp;"-"&amp;RIGHT($B834,2)),Data,MATCH(LEFT(VLOOKUP(MID(G$1,2,LEN(G$1)-1),Parameters,2,FALSE()),4)&amp;"*",OFFSET(Data,0,0,1),0)+MATCH($C834,OFFSET(Data,1,0,1),0)-2,FALSE()))),Lacking,IF(ISNA(MATCH(DATEVALUE(LEFT($B834,4)&amp;"-"&amp;MID($B834,5,2)&amp;"-"&amp;RIGHT($B834,2)),OFFSET(Catalogus,0,0,,1),0)),Ok,VLOOKUP(DATEVALUE(LEFT($B834,4)&amp;"-"&amp;MID($B834,5,2)&amp;"-"&amp;RIGHT($B834,2)),Catalogus,MATCH(LEFT(VLOOKUP(MID(G$1,2,LEN(G$1)-1),Parameters,2,FALSE()),4)&amp;"*",OFFSET(Catalogus,0,0,1),0)+MATCH($C834,OFFSET(Catalogus,1,0,1),0)-2,FALSE())))</f>
        <v>0</v>
      </c>
    </row>
    <row r="835" spans="1:7" x14ac:dyDescent="0.25">
      <c r="A835" s="17">
        <f t="shared" si="65"/>
        <v>81</v>
      </c>
      <c r="B835" t="str">
        <f ca="1">TEXT(DATE(YEAR(Invoer!$A$5),1,1)+INT((ROWS(B$2:B835)-1)/3),"jjjjmmdd")</f>
        <v>19401004</v>
      </c>
      <c r="C835" s="35" t="str">
        <f>INDEX(Data,2,2+MOD(ROWS(C$2:C835)-1,3))</f>
        <v>19.45</v>
      </c>
      <c r="D835" s="23">
        <f t="shared" ca="1" si="66"/>
        <v>748</v>
      </c>
      <c r="E835" s="40">
        <f t="shared" ca="1" si="67"/>
        <v>0</v>
      </c>
      <c r="F835" s="23">
        <f t="shared" ca="1" si="68"/>
        <v>29</v>
      </c>
      <c r="G835" s="40">
        <f t="shared" ca="1" si="69"/>
        <v>0</v>
      </c>
    </row>
    <row r="836" spans="1:7" x14ac:dyDescent="0.25">
      <c r="A836" s="17">
        <f t="shared" si="65"/>
        <v>81</v>
      </c>
      <c r="B836" t="str">
        <f ca="1">TEXT(DATE(YEAR(Invoer!$A$5),1,1)+INT((ROWS(B$2:B836)-1)/3),"jjjjmmdd")</f>
        <v>19401005</v>
      </c>
      <c r="C836" s="35" t="str">
        <f>INDEX(Data,2,2+MOD(ROWS(C$2:C836)-1,3))</f>
        <v>07.45</v>
      </c>
      <c r="D836" s="23">
        <f t="shared" ca="1" si="66"/>
        <v>748</v>
      </c>
      <c r="E836" s="40">
        <f t="shared" ca="1" si="67"/>
        <v>0</v>
      </c>
      <c r="F836" s="23">
        <f t="shared" ca="1" si="68"/>
        <v>28</v>
      </c>
      <c r="G836" s="40">
        <f t="shared" ca="1" si="69"/>
        <v>0</v>
      </c>
    </row>
    <row r="837" spans="1:7" x14ac:dyDescent="0.25">
      <c r="A837" s="17">
        <f t="shared" si="65"/>
        <v>81</v>
      </c>
      <c r="B837" t="str">
        <f ca="1">TEXT(DATE(YEAR(Invoer!$A$5),1,1)+INT((ROWS(B$2:B837)-1)/3),"jjjjmmdd")</f>
        <v>19401005</v>
      </c>
      <c r="C837" s="35" t="str">
        <f>INDEX(Data,2,2+MOD(ROWS(C$2:C837)-1,3))</f>
        <v>13.45</v>
      </c>
      <c r="D837" s="23">
        <f t="shared" ca="1" si="66"/>
        <v>748</v>
      </c>
      <c r="E837" s="40">
        <f t="shared" ca="1" si="67"/>
        <v>0</v>
      </c>
      <c r="F837" s="23">
        <f t="shared" ca="1" si="68"/>
        <v>30</v>
      </c>
      <c r="G837" s="40">
        <f t="shared" ca="1" si="69"/>
        <v>0</v>
      </c>
    </row>
    <row r="838" spans="1:7" x14ac:dyDescent="0.25">
      <c r="A838" s="17">
        <f t="shared" si="65"/>
        <v>81</v>
      </c>
      <c r="B838" t="str">
        <f ca="1">TEXT(DATE(YEAR(Invoer!$A$5),1,1)+INT((ROWS(B$2:B838)-1)/3),"jjjjmmdd")</f>
        <v>19401005</v>
      </c>
      <c r="C838" s="35" t="str">
        <f>INDEX(Data,2,2+MOD(ROWS(C$2:C838)-1,3))</f>
        <v>19.45</v>
      </c>
      <c r="D838" s="23">
        <f t="shared" ca="1" si="66"/>
        <v>748</v>
      </c>
      <c r="E838" s="40">
        <f t="shared" ca="1" si="67"/>
        <v>0</v>
      </c>
      <c r="F838" s="23">
        <f t="shared" ca="1" si="68"/>
        <v>29</v>
      </c>
      <c r="G838" s="40">
        <f t="shared" ca="1" si="69"/>
        <v>0</v>
      </c>
    </row>
    <row r="839" spans="1:7" x14ac:dyDescent="0.25">
      <c r="A839" s="17">
        <f t="shared" si="65"/>
        <v>81</v>
      </c>
      <c r="B839" t="str">
        <f ca="1">TEXT(DATE(YEAR(Invoer!$A$5),1,1)+INT((ROWS(B$2:B839)-1)/3),"jjjjmmdd")</f>
        <v>19401006</v>
      </c>
      <c r="C839" s="35" t="str">
        <f>INDEX(Data,2,2+MOD(ROWS(C$2:C839)-1,3))</f>
        <v>07.45</v>
      </c>
      <c r="D839" s="23">
        <f t="shared" ca="1" si="66"/>
        <v>748</v>
      </c>
      <c r="E839" s="40">
        <f t="shared" ca="1" si="67"/>
        <v>0</v>
      </c>
      <c r="F839" s="23">
        <f t="shared" ca="1" si="68"/>
        <v>28</v>
      </c>
      <c r="G839" s="40">
        <f t="shared" ca="1" si="69"/>
        <v>0</v>
      </c>
    </row>
    <row r="840" spans="1:7" x14ac:dyDescent="0.25">
      <c r="A840" s="17">
        <f t="shared" si="65"/>
        <v>81</v>
      </c>
      <c r="B840" t="str">
        <f ca="1">TEXT(DATE(YEAR(Invoer!$A$5),1,1)+INT((ROWS(B$2:B840)-1)/3),"jjjjmmdd")</f>
        <v>19401006</v>
      </c>
      <c r="C840" s="35" t="str">
        <f>INDEX(Data,2,2+MOD(ROWS(C$2:C840)-1,3))</f>
        <v>13.45</v>
      </c>
      <c r="D840" s="23">
        <f t="shared" ca="1" si="66"/>
        <v>748</v>
      </c>
      <c r="E840" s="40">
        <f t="shared" ca="1" si="67"/>
        <v>0</v>
      </c>
      <c r="F840" s="23">
        <f t="shared" ca="1" si="68"/>
        <v>30</v>
      </c>
      <c r="G840" s="40">
        <f t="shared" ca="1" si="69"/>
        <v>0</v>
      </c>
    </row>
    <row r="841" spans="1:7" x14ac:dyDescent="0.25">
      <c r="A841" s="17">
        <f t="shared" si="65"/>
        <v>81</v>
      </c>
      <c r="B841" t="str">
        <f ca="1">TEXT(DATE(YEAR(Invoer!$A$5),1,1)+INT((ROWS(B$2:B841)-1)/3),"jjjjmmdd")</f>
        <v>19401006</v>
      </c>
      <c r="C841" s="35" t="str">
        <f>INDEX(Data,2,2+MOD(ROWS(C$2:C841)-1,3))</f>
        <v>19.45</v>
      </c>
      <c r="D841" s="23">
        <f t="shared" ca="1" si="66"/>
        <v>748</v>
      </c>
      <c r="E841" s="40">
        <f t="shared" ca="1" si="67"/>
        <v>0</v>
      </c>
      <c r="F841" s="23">
        <f t="shared" ca="1" si="68"/>
        <v>29</v>
      </c>
      <c r="G841" s="40">
        <f t="shared" ca="1" si="69"/>
        <v>0</v>
      </c>
    </row>
    <row r="842" spans="1:7" x14ac:dyDescent="0.25">
      <c r="A842" s="17">
        <f t="shared" si="65"/>
        <v>81</v>
      </c>
      <c r="B842" t="str">
        <f ca="1">TEXT(DATE(YEAR(Invoer!$A$5),1,1)+INT((ROWS(B$2:B842)-1)/3),"jjjjmmdd")</f>
        <v>19401007</v>
      </c>
      <c r="C842" s="35" t="str">
        <f>INDEX(Data,2,2+MOD(ROWS(C$2:C842)-1,3))</f>
        <v>07.45</v>
      </c>
      <c r="D842" s="23">
        <f t="shared" ca="1" si="66"/>
        <v>748</v>
      </c>
      <c r="E842" s="40">
        <f t="shared" ca="1" si="67"/>
        <v>0</v>
      </c>
      <c r="F842" s="23">
        <f t="shared" ca="1" si="68"/>
        <v>28</v>
      </c>
      <c r="G842" s="40">
        <f t="shared" ca="1" si="69"/>
        <v>0</v>
      </c>
    </row>
    <row r="843" spans="1:7" x14ac:dyDescent="0.25">
      <c r="A843" s="17">
        <f t="shared" si="65"/>
        <v>81</v>
      </c>
      <c r="B843" t="str">
        <f ca="1">TEXT(DATE(YEAR(Invoer!$A$5),1,1)+INT((ROWS(B$2:B843)-1)/3),"jjjjmmdd")</f>
        <v>19401007</v>
      </c>
      <c r="C843" s="35" t="str">
        <f>INDEX(Data,2,2+MOD(ROWS(C$2:C843)-1,3))</f>
        <v>13.45</v>
      </c>
      <c r="D843" s="23">
        <f t="shared" ca="1" si="66"/>
        <v>748</v>
      </c>
      <c r="E843" s="40">
        <f t="shared" ca="1" si="67"/>
        <v>0</v>
      </c>
      <c r="F843" s="23">
        <f t="shared" ca="1" si="68"/>
        <v>30</v>
      </c>
      <c r="G843" s="40">
        <f t="shared" ca="1" si="69"/>
        <v>0</v>
      </c>
    </row>
    <row r="844" spans="1:7" x14ac:dyDescent="0.25">
      <c r="A844" s="17">
        <f t="shared" si="65"/>
        <v>81</v>
      </c>
      <c r="B844" t="str">
        <f ca="1">TEXT(DATE(YEAR(Invoer!$A$5),1,1)+INT((ROWS(B$2:B844)-1)/3),"jjjjmmdd")</f>
        <v>19401007</v>
      </c>
      <c r="C844" s="35" t="str">
        <f>INDEX(Data,2,2+MOD(ROWS(C$2:C844)-1,3))</f>
        <v>19.45</v>
      </c>
      <c r="D844" s="23">
        <f t="shared" ca="1" si="66"/>
        <v>748</v>
      </c>
      <c r="E844" s="40">
        <f t="shared" ca="1" si="67"/>
        <v>0</v>
      </c>
      <c r="F844" s="23">
        <f t="shared" ca="1" si="68"/>
        <v>29</v>
      </c>
      <c r="G844" s="40">
        <f t="shared" ca="1" si="69"/>
        <v>0</v>
      </c>
    </row>
    <row r="845" spans="1:7" x14ac:dyDescent="0.25">
      <c r="A845" s="17">
        <f t="shared" si="65"/>
        <v>81</v>
      </c>
      <c r="B845" t="str">
        <f ca="1">TEXT(DATE(YEAR(Invoer!$A$5),1,1)+INT((ROWS(B$2:B845)-1)/3),"jjjjmmdd")</f>
        <v>19401008</v>
      </c>
      <c r="C845" s="35" t="str">
        <f>INDEX(Data,2,2+MOD(ROWS(C$2:C845)-1,3))</f>
        <v>07.45</v>
      </c>
      <c r="D845" s="23">
        <f t="shared" ca="1" si="66"/>
        <v>748</v>
      </c>
      <c r="E845" s="40">
        <f t="shared" ca="1" si="67"/>
        <v>0</v>
      </c>
      <c r="F845" s="23">
        <f t="shared" ca="1" si="68"/>
        <v>28</v>
      </c>
      <c r="G845" s="40">
        <f t="shared" ca="1" si="69"/>
        <v>0</v>
      </c>
    </row>
    <row r="846" spans="1:7" x14ac:dyDescent="0.25">
      <c r="A846" s="17">
        <f t="shared" si="65"/>
        <v>81</v>
      </c>
      <c r="B846" t="str">
        <f ca="1">TEXT(DATE(YEAR(Invoer!$A$5),1,1)+INT((ROWS(B$2:B846)-1)/3),"jjjjmmdd")</f>
        <v>19401008</v>
      </c>
      <c r="C846" s="35" t="str">
        <f>INDEX(Data,2,2+MOD(ROWS(C$2:C846)-1,3))</f>
        <v>13.45</v>
      </c>
      <c r="D846" s="23">
        <f t="shared" ca="1" si="66"/>
        <v>748</v>
      </c>
      <c r="E846" s="40">
        <f t="shared" ca="1" si="67"/>
        <v>0</v>
      </c>
      <c r="F846" s="23">
        <f t="shared" ca="1" si="68"/>
        <v>31</v>
      </c>
      <c r="G846" s="40">
        <f t="shared" ca="1" si="69"/>
        <v>0</v>
      </c>
    </row>
    <row r="847" spans="1:7" x14ac:dyDescent="0.25">
      <c r="A847" s="17">
        <f t="shared" si="65"/>
        <v>81</v>
      </c>
      <c r="B847" t="str">
        <f ca="1">TEXT(DATE(YEAR(Invoer!$A$5),1,1)+INT((ROWS(B$2:B847)-1)/3),"jjjjmmdd")</f>
        <v>19401008</v>
      </c>
      <c r="C847" s="35" t="str">
        <f>INDEX(Data,2,2+MOD(ROWS(C$2:C847)-1,3))</f>
        <v>19.45</v>
      </c>
      <c r="D847" s="23">
        <f t="shared" ca="1" si="66"/>
        <v>748</v>
      </c>
      <c r="E847" s="40">
        <f t="shared" ca="1" si="67"/>
        <v>0</v>
      </c>
      <c r="F847" s="23">
        <f t="shared" ca="1" si="68"/>
        <v>29</v>
      </c>
      <c r="G847" s="40">
        <f t="shared" ca="1" si="69"/>
        <v>0</v>
      </c>
    </row>
    <row r="848" spans="1:7" x14ac:dyDescent="0.25">
      <c r="A848" s="17">
        <f t="shared" si="65"/>
        <v>81</v>
      </c>
      <c r="B848" t="str">
        <f ca="1">TEXT(DATE(YEAR(Invoer!$A$5),1,1)+INT((ROWS(B$2:B848)-1)/3),"jjjjmmdd")</f>
        <v>19401009</v>
      </c>
      <c r="C848" s="35" t="str">
        <f>INDEX(Data,2,2+MOD(ROWS(C$2:C848)-1,3))</f>
        <v>07.45</v>
      </c>
      <c r="D848" s="23">
        <f t="shared" ca="1" si="66"/>
        <v>748</v>
      </c>
      <c r="E848" s="40">
        <f t="shared" ca="1" si="67"/>
        <v>0</v>
      </c>
      <c r="F848" s="23">
        <f t="shared" ca="1" si="68"/>
        <v>28</v>
      </c>
      <c r="G848" s="40">
        <f t="shared" ca="1" si="69"/>
        <v>0</v>
      </c>
    </row>
    <row r="849" spans="1:7" x14ac:dyDescent="0.25">
      <c r="A849" s="17">
        <f t="shared" si="65"/>
        <v>81</v>
      </c>
      <c r="B849" t="str">
        <f ca="1">TEXT(DATE(YEAR(Invoer!$A$5),1,1)+INT((ROWS(B$2:B849)-1)/3),"jjjjmmdd")</f>
        <v>19401009</v>
      </c>
      <c r="C849" s="35" t="str">
        <f>INDEX(Data,2,2+MOD(ROWS(C$2:C849)-1,3))</f>
        <v>13.45</v>
      </c>
      <c r="D849" s="23">
        <f t="shared" ca="1" si="66"/>
        <v>748</v>
      </c>
      <c r="E849" s="40">
        <f t="shared" ca="1" si="67"/>
        <v>0</v>
      </c>
      <c r="F849" s="23">
        <f t="shared" ca="1" si="68"/>
        <v>31</v>
      </c>
      <c r="G849" s="40">
        <f t="shared" ca="1" si="69"/>
        <v>0</v>
      </c>
    </row>
    <row r="850" spans="1:7" x14ac:dyDescent="0.25">
      <c r="A850" s="17">
        <f t="shared" si="65"/>
        <v>81</v>
      </c>
      <c r="B850" t="str">
        <f ca="1">TEXT(DATE(YEAR(Invoer!$A$5),1,1)+INT((ROWS(B$2:B850)-1)/3),"jjjjmmdd")</f>
        <v>19401009</v>
      </c>
      <c r="C850" s="35" t="str">
        <f>INDEX(Data,2,2+MOD(ROWS(C$2:C850)-1,3))</f>
        <v>19.45</v>
      </c>
      <c r="D850" s="23">
        <f t="shared" ca="1" si="66"/>
        <v>748</v>
      </c>
      <c r="E850" s="40">
        <f t="shared" ca="1" si="67"/>
        <v>0</v>
      </c>
      <c r="F850" s="23">
        <f t="shared" ca="1" si="68"/>
        <v>29</v>
      </c>
      <c r="G850" s="40">
        <f t="shared" ca="1" si="69"/>
        <v>0</v>
      </c>
    </row>
    <row r="851" spans="1:7" x14ac:dyDescent="0.25">
      <c r="A851" s="17">
        <f t="shared" si="65"/>
        <v>81</v>
      </c>
      <c r="B851" t="str">
        <f ca="1">TEXT(DATE(YEAR(Invoer!$A$5),1,1)+INT((ROWS(B$2:B851)-1)/3),"jjjjmmdd")</f>
        <v>19401010</v>
      </c>
      <c r="C851" s="35" t="str">
        <f>INDEX(Data,2,2+MOD(ROWS(C$2:C851)-1,3))</f>
        <v>07.45</v>
      </c>
      <c r="D851" s="23">
        <f t="shared" ca="1" si="66"/>
        <v>748</v>
      </c>
      <c r="E851" s="40">
        <f t="shared" ca="1" si="67"/>
        <v>0</v>
      </c>
      <c r="F851" s="23">
        <f t="shared" ca="1" si="68"/>
        <v>28</v>
      </c>
      <c r="G851" s="40">
        <f t="shared" ca="1" si="69"/>
        <v>0</v>
      </c>
    </row>
    <row r="852" spans="1:7" x14ac:dyDescent="0.25">
      <c r="A852" s="17">
        <f t="shared" si="65"/>
        <v>81</v>
      </c>
      <c r="B852" t="str">
        <f ca="1">TEXT(DATE(YEAR(Invoer!$A$5),1,1)+INT((ROWS(B$2:B852)-1)/3),"jjjjmmdd")</f>
        <v>19401010</v>
      </c>
      <c r="C852" s="35" t="str">
        <f>INDEX(Data,2,2+MOD(ROWS(C$2:C852)-1,3))</f>
        <v>13.45</v>
      </c>
      <c r="D852" s="23">
        <f t="shared" ca="1" si="66"/>
        <v>748</v>
      </c>
      <c r="E852" s="40">
        <f t="shared" ca="1" si="67"/>
        <v>0</v>
      </c>
      <c r="F852" s="23">
        <f t="shared" ca="1" si="68"/>
        <v>31</v>
      </c>
      <c r="G852" s="40">
        <f t="shared" ca="1" si="69"/>
        <v>0</v>
      </c>
    </row>
    <row r="853" spans="1:7" x14ac:dyDescent="0.25">
      <c r="A853" s="17">
        <f t="shared" si="65"/>
        <v>81</v>
      </c>
      <c r="B853" t="str">
        <f ca="1">TEXT(DATE(YEAR(Invoer!$A$5),1,1)+INT((ROWS(B$2:B853)-1)/3),"jjjjmmdd")</f>
        <v>19401010</v>
      </c>
      <c r="C853" s="35" t="str">
        <f>INDEX(Data,2,2+MOD(ROWS(C$2:C853)-1,3))</f>
        <v>19.45</v>
      </c>
      <c r="D853" s="23">
        <f t="shared" ca="1" si="66"/>
        <v>748</v>
      </c>
      <c r="E853" s="40">
        <f t="shared" ca="1" si="67"/>
        <v>0</v>
      </c>
      <c r="F853" s="23">
        <f t="shared" ca="1" si="68"/>
        <v>29</v>
      </c>
      <c r="G853" s="40">
        <f t="shared" ca="1" si="69"/>
        <v>0</v>
      </c>
    </row>
    <row r="854" spans="1:7" x14ac:dyDescent="0.25">
      <c r="A854" s="17">
        <f t="shared" si="65"/>
        <v>81</v>
      </c>
      <c r="B854" t="str">
        <f ca="1">TEXT(DATE(YEAR(Invoer!$A$5),1,1)+INT((ROWS(B$2:B854)-1)/3),"jjjjmmdd")</f>
        <v>19401011</v>
      </c>
      <c r="C854" s="35" t="str">
        <f>INDEX(Data,2,2+MOD(ROWS(C$2:C854)-1,3))</f>
        <v>07.45</v>
      </c>
      <c r="D854" s="23">
        <f t="shared" ca="1" si="66"/>
        <v>747</v>
      </c>
      <c r="E854" s="40">
        <f t="shared" ca="1" si="67"/>
        <v>0</v>
      </c>
      <c r="F854" s="23">
        <f t="shared" ca="1" si="68"/>
        <v>28</v>
      </c>
      <c r="G854" s="40">
        <f t="shared" ca="1" si="69"/>
        <v>0</v>
      </c>
    </row>
    <row r="855" spans="1:7" x14ac:dyDescent="0.25">
      <c r="A855" s="17">
        <f t="shared" si="65"/>
        <v>81</v>
      </c>
      <c r="B855" t="str">
        <f ca="1">TEXT(DATE(YEAR(Invoer!$A$5),1,1)+INT((ROWS(B$2:B855)-1)/3),"jjjjmmdd")</f>
        <v>19401011</v>
      </c>
      <c r="C855" s="35" t="str">
        <f>INDEX(Data,2,2+MOD(ROWS(C$2:C855)-1,3))</f>
        <v>13.45</v>
      </c>
      <c r="D855" s="23">
        <f t="shared" ca="1" si="66"/>
        <v>748</v>
      </c>
      <c r="E855" s="40">
        <f t="shared" ca="1" si="67"/>
        <v>0</v>
      </c>
      <c r="F855" s="23">
        <f t="shared" ca="1" si="68"/>
        <v>31</v>
      </c>
      <c r="G855" s="40">
        <f t="shared" ca="1" si="69"/>
        <v>0</v>
      </c>
    </row>
    <row r="856" spans="1:7" x14ac:dyDescent="0.25">
      <c r="A856" s="17">
        <f t="shared" si="65"/>
        <v>81</v>
      </c>
      <c r="B856" t="str">
        <f ca="1">TEXT(DATE(YEAR(Invoer!$A$5),1,1)+INT((ROWS(B$2:B856)-1)/3),"jjjjmmdd")</f>
        <v>19401011</v>
      </c>
      <c r="C856" s="35" t="str">
        <f>INDEX(Data,2,2+MOD(ROWS(C$2:C856)-1,3))</f>
        <v>19.45</v>
      </c>
      <c r="D856" s="23">
        <f t="shared" ca="1" si="66"/>
        <v>748</v>
      </c>
      <c r="E856" s="40">
        <f t="shared" ca="1" si="67"/>
        <v>0</v>
      </c>
      <c r="F856" s="23">
        <f t="shared" ca="1" si="68"/>
        <v>29</v>
      </c>
      <c r="G856" s="40">
        <f t="shared" ca="1" si="69"/>
        <v>0</v>
      </c>
    </row>
    <row r="857" spans="1:7" x14ac:dyDescent="0.25">
      <c r="A857" s="17">
        <f t="shared" si="65"/>
        <v>81</v>
      </c>
      <c r="B857" t="str">
        <f ca="1">TEXT(DATE(YEAR(Invoer!$A$5),1,1)+INT((ROWS(B$2:B857)-1)/3),"jjjjmmdd")</f>
        <v>19401012</v>
      </c>
      <c r="C857" s="35" t="str">
        <f>INDEX(Data,2,2+MOD(ROWS(C$2:C857)-1,3))</f>
        <v>07.45</v>
      </c>
      <c r="D857" s="23">
        <f t="shared" ca="1" si="66"/>
        <v>748</v>
      </c>
      <c r="E857" s="40">
        <f t="shared" ca="1" si="67"/>
        <v>0</v>
      </c>
      <c r="F857" s="23">
        <f t="shared" ca="1" si="68"/>
        <v>28</v>
      </c>
      <c r="G857" s="40">
        <f t="shared" ca="1" si="69"/>
        <v>0</v>
      </c>
    </row>
    <row r="858" spans="1:7" x14ac:dyDescent="0.25">
      <c r="A858" s="17">
        <f t="shared" si="65"/>
        <v>81</v>
      </c>
      <c r="B858" t="str">
        <f ca="1">TEXT(DATE(YEAR(Invoer!$A$5),1,1)+INT((ROWS(B$2:B858)-1)/3),"jjjjmmdd")</f>
        <v>19401012</v>
      </c>
      <c r="C858" s="35" t="str">
        <f>INDEX(Data,2,2+MOD(ROWS(C$2:C858)-1,3))</f>
        <v>13.45</v>
      </c>
      <c r="D858" s="23">
        <f t="shared" ca="1" si="66"/>
        <v>748</v>
      </c>
      <c r="E858" s="40">
        <f t="shared" ca="1" si="67"/>
        <v>0</v>
      </c>
      <c r="F858" s="23">
        <f t="shared" ca="1" si="68"/>
        <v>31</v>
      </c>
      <c r="G858" s="40">
        <f t="shared" ca="1" si="69"/>
        <v>0</v>
      </c>
    </row>
    <row r="859" spans="1:7" x14ac:dyDescent="0.25">
      <c r="A859" s="17">
        <f t="shared" si="65"/>
        <v>81</v>
      </c>
      <c r="B859" t="str">
        <f ca="1">TEXT(DATE(YEAR(Invoer!$A$5),1,1)+INT((ROWS(B$2:B859)-1)/3),"jjjjmmdd")</f>
        <v>19401012</v>
      </c>
      <c r="C859" s="35" t="str">
        <f>INDEX(Data,2,2+MOD(ROWS(C$2:C859)-1,3))</f>
        <v>19.45</v>
      </c>
      <c r="D859" s="23">
        <f t="shared" ca="1" si="66"/>
        <v>748</v>
      </c>
      <c r="E859" s="40">
        <f t="shared" ca="1" si="67"/>
        <v>0</v>
      </c>
      <c r="F859" s="23">
        <f t="shared" ca="1" si="68"/>
        <v>29</v>
      </c>
      <c r="G859" s="40">
        <f t="shared" ca="1" si="69"/>
        <v>0</v>
      </c>
    </row>
    <row r="860" spans="1:7" x14ac:dyDescent="0.25">
      <c r="A860" s="17">
        <f t="shared" si="65"/>
        <v>81</v>
      </c>
      <c r="B860" t="str">
        <f ca="1">TEXT(DATE(YEAR(Invoer!$A$5),1,1)+INT((ROWS(B$2:B860)-1)/3),"jjjjmmdd")</f>
        <v>19401013</v>
      </c>
      <c r="C860" s="35" t="str">
        <f>INDEX(Data,2,2+MOD(ROWS(C$2:C860)-1,3))</f>
        <v>07.45</v>
      </c>
      <c r="D860" s="23">
        <f t="shared" ca="1" si="66"/>
        <v>748</v>
      </c>
      <c r="E860" s="40">
        <f t="shared" ca="1" si="67"/>
        <v>0</v>
      </c>
      <c r="F860" s="23">
        <f t="shared" ca="1" si="68"/>
        <v>28</v>
      </c>
      <c r="G860" s="40">
        <f t="shared" ca="1" si="69"/>
        <v>0</v>
      </c>
    </row>
    <row r="861" spans="1:7" x14ac:dyDescent="0.25">
      <c r="A861" s="17">
        <f t="shared" si="65"/>
        <v>81</v>
      </c>
      <c r="B861" t="str">
        <f ca="1">TEXT(DATE(YEAR(Invoer!$A$5),1,1)+INT((ROWS(B$2:B861)-1)/3),"jjjjmmdd")</f>
        <v>19401013</v>
      </c>
      <c r="C861" s="35" t="str">
        <f>INDEX(Data,2,2+MOD(ROWS(C$2:C861)-1,3))</f>
        <v>13.45</v>
      </c>
      <c r="D861" s="23">
        <f t="shared" ca="1" si="66"/>
        <v>748</v>
      </c>
      <c r="E861" s="40">
        <f t="shared" ca="1" si="67"/>
        <v>0</v>
      </c>
      <c r="F861" s="23">
        <f t="shared" ca="1" si="68"/>
        <v>30</v>
      </c>
      <c r="G861" s="40">
        <f t="shared" ca="1" si="69"/>
        <v>0</v>
      </c>
    </row>
    <row r="862" spans="1:7" x14ac:dyDescent="0.25">
      <c r="A862" s="17">
        <f t="shared" si="65"/>
        <v>81</v>
      </c>
      <c r="B862" t="str">
        <f ca="1">TEXT(DATE(YEAR(Invoer!$A$5),1,1)+INT((ROWS(B$2:B862)-1)/3),"jjjjmmdd")</f>
        <v>19401013</v>
      </c>
      <c r="C862" s="35" t="str">
        <f>INDEX(Data,2,2+MOD(ROWS(C$2:C862)-1,3))</f>
        <v>19.45</v>
      </c>
      <c r="D862" s="23">
        <f t="shared" ca="1" si="66"/>
        <v>748</v>
      </c>
      <c r="E862" s="40">
        <f t="shared" ca="1" si="67"/>
        <v>0</v>
      </c>
      <c r="F862" s="23">
        <f t="shared" ca="1" si="68"/>
        <v>29</v>
      </c>
      <c r="G862" s="40">
        <f t="shared" ca="1" si="69"/>
        <v>0</v>
      </c>
    </row>
    <row r="863" spans="1:7" x14ac:dyDescent="0.25">
      <c r="A863" s="17">
        <f t="shared" si="65"/>
        <v>81</v>
      </c>
      <c r="B863" t="str">
        <f ca="1">TEXT(DATE(YEAR(Invoer!$A$5),1,1)+INT((ROWS(B$2:B863)-1)/3),"jjjjmmdd")</f>
        <v>19401014</v>
      </c>
      <c r="C863" s="35" t="str">
        <f>INDEX(Data,2,2+MOD(ROWS(C$2:C863)-1,3))</f>
        <v>07.45</v>
      </c>
      <c r="D863" s="23">
        <f t="shared" ca="1" si="66"/>
        <v>748</v>
      </c>
      <c r="E863" s="40">
        <f t="shared" ca="1" si="67"/>
        <v>0</v>
      </c>
      <c r="F863" s="23">
        <f t="shared" ca="1" si="68"/>
        <v>28</v>
      </c>
      <c r="G863" s="40">
        <f t="shared" ca="1" si="69"/>
        <v>0</v>
      </c>
    </row>
    <row r="864" spans="1:7" x14ac:dyDescent="0.25">
      <c r="A864" s="17">
        <f t="shared" si="65"/>
        <v>81</v>
      </c>
      <c r="B864" t="str">
        <f ca="1">TEXT(DATE(YEAR(Invoer!$A$5),1,1)+INT((ROWS(B$2:B864)-1)/3),"jjjjmmdd")</f>
        <v>19401014</v>
      </c>
      <c r="C864" s="35" t="str">
        <f>INDEX(Data,2,2+MOD(ROWS(C$2:C864)-1,3))</f>
        <v>13.45</v>
      </c>
      <c r="D864" s="23">
        <f t="shared" ca="1" si="66"/>
        <v>748</v>
      </c>
      <c r="E864" s="40">
        <f t="shared" ca="1" si="67"/>
        <v>0</v>
      </c>
      <c r="F864" s="23">
        <f t="shared" ca="1" si="68"/>
        <v>30</v>
      </c>
      <c r="G864" s="40">
        <f t="shared" ca="1" si="69"/>
        <v>0</v>
      </c>
    </row>
    <row r="865" spans="1:7" x14ac:dyDescent="0.25">
      <c r="A865" s="17">
        <f t="shared" si="65"/>
        <v>81</v>
      </c>
      <c r="B865" t="str">
        <f ca="1">TEXT(DATE(YEAR(Invoer!$A$5),1,1)+INT((ROWS(B$2:B865)-1)/3),"jjjjmmdd")</f>
        <v>19401014</v>
      </c>
      <c r="C865" s="35" t="str">
        <f>INDEX(Data,2,2+MOD(ROWS(C$2:C865)-1,3))</f>
        <v>19.45</v>
      </c>
      <c r="D865" s="23">
        <f t="shared" ca="1" si="66"/>
        <v>748</v>
      </c>
      <c r="E865" s="40">
        <f t="shared" ca="1" si="67"/>
        <v>0</v>
      </c>
      <c r="F865" s="23">
        <f t="shared" ca="1" si="68"/>
        <v>29</v>
      </c>
      <c r="G865" s="40">
        <f t="shared" ca="1" si="69"/>
        <v>0</v>
      </c>
    </row>
    <row r="866" spans="1:7" x14ac:dyDescent="0.25">
      <c r="A866" s="17">
        <f t="shared" si="65"/>
        <v>81</v>
      </c>
      <c r="B866" t="str">
        <f ca="1">TEXT(DATE(YEAR(Invoer!$A$5),1,1)+INT((ROWS(B$2:B866)-1)/3),"jjjjmmdd")</f>
        <v>19401015</v>
      </c>
      <c r="C866" s="35" t="str">
        <f>INDEX(Data,2,2+MOD(ROWS(C$2:C866)-1,3))</f>
        <v>07.45</v>
      </c>
      <c r="D866" s="23">
        <f t="shared" ca="1" si="66"/>
        <v>748</v>
      </c>
      <c r="E866" s="40">
        <f t="shared" ca="1" si="67"/>
        <v>0</v>
      </c>
      <c r="F866" s="23">
        <f t="shared" ca="1" si="68"/>
        <v>28</v>
      </c>
      <c r="G866" s="40">
        <f t="shared" ca="1" si="69"/>
        <v>0</v>
      </c>
    </row>
    <row r="867" spans="1:7" x14ac:dyDescent="0.25">
      <c r="A867" s="17">
        <f t="shared" si="65"/>
        <v>81</v>
      </c>
      <c r="B867" t="str">
        <f ca="1">TEXT(DATE(YEAR(Invoer!$A$5),1,1)+INT((ROWS(B$2:B867)-1)/3),"jjjjmmdd")</f>
        <v>19401015</v>
      </c>
      <c r="C867" s="35" t="str">
        <f>INDEX(Data,2,2+MOD(ROWS(C$2:C867)-1,3))</f>
        <v>13.45</v>
      </c>
      <c r="D867" s="23">
        <f t="shared" ca="1" si="66"/>
        <v>748</v>
      </c>
      <c r="E867" s="40">
        <f t="shared" ca="1" si="67"/>
        <v>0</v>
      </c>
      <c r="F867" s="23">
        <f t="shared" ca="1" si="68"/>
        <v>31</v>
      </c>
      <c r="G867" s="40">
        <f t="shared" ca="1" si="69"/>
        <v>0</v>
      </c>
    </row>
    <row r="868" spans="1:7" x14ac:dyDescent="0.25">
      <c r="A868" s="17">
        <f t="shared" si="65"/>
        <v>81</v>
      </c>
      <c r="B868" t="str">
        <f ca="1">TEXT(DATE(YEAR(Invoer!$A$5),1,1)+INT((ROWS(B$2:B868)-1)/3),"jjjjmmdd")</f>
        <v>19401015</v>
      </c>
      <c r="C868" s="35" t="str">
        <f>INDEX(Data,2,2+MOD(ROWS(C$2:C868)-1,3))</f>
        <v>19.45</v>
      </c>
      <c r="D868" s="23">
        <f t="shared" ca="1" si="66"/>
        <v>748</v>
      </c>
      <c r="E868" s="40">
        <f t="shared" ca="1" si="67"/>
        <v>0</v>
      </c>
      <c r="F868" s="23">
        <f t="shared" ca="1" si="68"/>
        <v>30</v>
      </c>
      <c r="G868" s="40">
        <f t="shared" ca="1" si="69"/>
        <v>0</v>
      </c>
    </row>
    <row r="869" spans="1:7" x14ac:dyDescent="0.25">
      <c r="A869" s="17">
        <f t="shared" si="65"/>
        <v>81</v>
      </c>
      <c r="B869" t="str">
        <f ca="1">TEXT(DATE(YEAR(Invoer!$A$5),1,1)+INT((ROWS(B$2:B869)-1)/3),"jjjjmmdd")</f>
        <v>19401016</v>
      </c>
      <c r="C869" s="35" t="str">
        <f>INDEX(Data,2,2+MOD(ROWS(C$2:C869)-1,3))</f>
        <v>07.45</v>
      </c>
      <c r="D869" s="23">
        <f t="shared" ca="1" si="66"/>
        <v>748</v>
      </c>
      <c r="E869" s="40">
        <f t="shared" ca="1" si="67"/>
        <v>0</v>
      </c>
      <c r="F869" s="23">
        <f t="shared" ca="1" si="68"/>
        <v>28</v>
      </c>
      <c r="G869" s="40">
        <f t="shared" ca="1" si="69"/>
        <v>0</v>
      </c>
    </row>
    <row r="870" spans="1:7" x14ac:dyDescent="0.25">
      <c r="A870" s="17">
        <f t="shared" si="65"/>
        <v>81</v>
      </c>
      <c r="B870" t="str">
        <f ca="1">TEXT(DATE(YEAR(Invoer!$A$5),1,1)+INT((ROWS(B$2:B870)-1)/3),"jjjjmmdd")</f>
        <v>19401016</v>
      </c>
      <c r="C870" s="35" t="str">
        <f>INDEX(Data,2,2+MOD(ROWS(C$2:C870)-1,3))</f>
        <v>13.45</v>
      </c>
      <c r="D870" s="23">
        <f t="shared" ca="1" si="66"/>
        <v>748</v>
      </c>
      <c r="E870" s="40">
        <f t="shared" ca="1" si="67"/>
        <v>0</v>
      </c>
      <c r="F870" s="23">
        <f t="shared" ca="1" si="68"/>
        <v>30</v>
      </c>
      <c r="G870" s="40">
        <f t="shared" ca="1" si="69"/>
        <v>0</v>
      </c>
    </row>
    <row r="871" spans="1:7" x14ac:dyDescent="0.25">
      <c r="A871" s="17">
        <f t="shared" si="65"/>
        <v>81</v>
      </c>
      <c r="B871" t="str">
        <f ca="1">TEXT(DATE(YEAR(Invoer!$A$5),1,1)+INT((ROWS(B$2:B871)-1)/3),"jjjjmmdd")</f>
        <v>19401016</v>
      </c>
      <c r="C871" s="35" t="str">
        <f>INDEX(Data,2,2+MOD(ROWS(C$2:C871)-1,3))</f>
        <v>19.45</v>
      </c>
      <c r="D871" s="23">
        <f t="shared" ca="1" si="66"/>
        <v>748</v>
      </c>
      <c r="E871" s="40">
        <f t="shared" ca="1" si="67"/>
        <v>0</v>
      </c>
      <c r="F871" s="23">
        <f t="shared" ca="1" si="68"/>
        <v>28</v>
      </c>
      <c r="G871" s="40">
        <f t="shared" ca="1" si="69"/>
        <v>0</v>
      </c>
    </row>
    <row r="872" spans="1:7" x14ac:dyDescent="0.25">
      <c r="A872" s="17">
        <f t="shared" si="65"/>
        <v>81</v>
      </c>
      <c r="B872" t="str">
        <f ca="1">TEXT(DATE(YEAR(Invoer!$A$5),1,1)+INT((ROWS(B$2:B872)-1)/3),"jjjjmmdd")</f>
        <v>19401017</v>
      </c>
      <c r="C872" s="35" t="str">
        <f>INDEX(Data,2,2+MOD(ROWS(C$2:C872)-1,3))</f>
        <v>07.45</v>
      </c>
      <c r="D872" s="23">
        <f t="shared" ca="1" si="66"/>
        <v>749</v>
      </c>
      <c r="E872" s="40">
        <f t="shared" ca="1" si="67"/>
        <v>0</v>
      </c>
      <c r="F872" s="23">
        <f t="shared" ca="1" si="68"/>
        <v>27</v>
      </c>
      <c r="G872" s="40">
        <f t="shared" ca="1" si="69"/>
        <v>0</v>
      </c>
    </row>
    <row r="873" spans="1:7" x14ac:dyDescent="0.25">
      <c r="A873" s="17">
        <f t="shared" si="65"/>
        <v>81</v>
      </c>
      <c r="B873" t="str">
        <f ca="1">TEXT(DATE(YEAR(Invoer!$A$5),1,1)+INT((ROWS(B$2:B873)-1)/3),"jjjjmmdd")</f>
        <v>19401017</v>
      </c>
      <c r="C873" s="35" t="str">
        <f>INDEX(Data,2,2+MOD(ROWS(C$2:C873)-1,3))</f>
        <v>13.45</v>
      </c>
      <c r="D873" s="23">
        <f t="shared" ca="1" si="66"/>
        <v>748</v>
      </c>
      <c r="E873" s="40">
        <f t="shared" ca="1" si="67"/>
        <v>0</v>
      </c>
      <c r="F873" s="23">
        <f t="shared" ca="1" si="68"/>
        <v>31</v>
      </c>
      <c r="G873" s="40">
        <f t="shared" ca="1" si="69"/>
        <v>0</v>
      </c>
    </row>
    <row r="874" spans="1:7" x14ac:dyDescent="0.25">
      <c r="A874" s="17">
        <f t="shared" si="65"/>
        <v>81</v>
      </c>
      <c r="B874" t="str">
        <f ca="1">TEXT(DATE(YEAR(Invoer!$A$5),1,1)+INT((ROWS(B$2:B874)-1)/3),"jjjjmmdd")</f>
        <v>19401017</v>
      </c>
      <c r="C874" s="35" t="str">
        <f>INDEX(Data,2,2+MOD(ROWS(C$2:C874)-1,3))</f>
        <v>19.45</v>
      </c>
      <c r="D874" s="23">
        <f t="shared" ca="1" si="66"/>
        <v>749</v>
      </c>
      <c r="E874" s="40">
        <f t="shared" ca="1" si="67"/>
        <v>0</v>
      </c>
      <c r="F874" s="23">
        <f t="shared" ca="1" si="68"/>
        <v>30</v>
      </c>
      <c r="G874" s="40">
        <f t="shared" ca="1" si="69"/>
        <v>0</v>
      </c>
    </row>
    <row r="875" spans="1:7" x14ac:dyDescent="0.25">
      <c r="A875" s="17">
        <f t="shared" si="65"/>
        <v>81</v>
      </c>
      <c r="B875" t="str">
        <f ca="1">TEXT(DATE(YEAR(Invoer!$A$5),1,1)+INT((ROWS(B$2:B875)-1)/3),"jjjjmmdd")</f>
        <v>19401018</v>
      </c>
      <c r="C875" s="35" t="str">
        <f>INDEX(Data,2,2+MOD(ROWS(C$2:C875)-1,3))</f>
        <v>07.45</v>
      </c>
      <c r="D875" s="23">
        <f t="shared" ca="1" si="66"/>
        <v>748</v>
      </c>
      <c r="E875" s="40">
        <f t="shared" ca="1" si="67"/>
        <v>0</v>
      </c>
      <c r="F875" s="23">
        <f t="shared" ca="1" si="68"/>
        <v>28</v>
      </c>
      <c r="G875" s="40">
        <f t="shared" ca="1" si="69"/>
        <v>0</v>
      </c>
    </row>
    <row r="876" spans="1:7" x14ac:dyDescent="0.25">
      <c r="A876" s="17">
        <f t="shared" si="65"/>
        <v>81</v>
      </c>
      <c r="B876" t="str">
        <f ca="1">TEXT(DATE(YEAR(Invoer!$A$5),1,1)+INT((ROWS(B$2:B876)-1)/3),"jjjjmmdd")</f>
        <v>19401018</v>
      </c>
      <c r="C876" s="35" t="str">
        <f>INDEX(Data,2,2+MOD(ROWS(C$2:C876)-1,3))</f>
        <v>13.45</v>
      </c>
      <c r="D876" s="23">
        <f t="shared" ca="1" si="66"/>
        <v>748</v>
      </c>
      <c r="E876" s="40">
        <f t="shared" ca="1" si="67"/>
        <v>0</v>
      </c>
      <c r="F876" s="23">
        <f t="shared" ca="1" si="68"/>
        <v>31</v>
      </c>
      <c r="G876" s="40">
        <f t="shared" ca="1" si="69"/>
        <v>0</v>
      </c>
    </row>
    <row r="877" spans="1:7" x14ac:dyDescent="0.25">
      <c r="A877" s="17">
        <f t="shared" si="65"/>
        <v>81</v>
      </c>
      <c r="B877" t="str">
        <f ca="1">TEXT(DATE(YEAR(Invoer!$A$5),1,1)+INT((ROWS(B$2:B877)-1)/3),"jjjjmmdd")</f>
        <v>19401018</v>
      </c>
      <c r="C877" s="35" t="str">
        <f>INDEX(Data,2,2+MOD(ROWS(C$2:C877)-1,3))</f>
        <v>19.45</v>
      </c>
      <c r="D877" s="23">
        <f t="shared" ca="1" si="66"/>
        <v>748</v>
      </c>
      <c r="E877" s="40">
        <f t="shared" ca="1" si="67"/>
        <v>0</v>
      </c>
      <c r="F877" s="23">
        <f t="shared" ca="1" si="68"/>
        <v>30</v>
      </c>
      <c r="G877" s="40">
        <f t="shared" ca="1" si="69"/>
        <v>0</v>
      </c>
    </row>
    <row r="878" spans="1:7" x14ac:dyDescent="0.25">
      <c r="A878" s="17">
        <f t="shared" si="65"/>
        <v>81</v>
      </c>
      <c r="B878" t="str">
        <f ca="1">TEXT(DATE(YEAR(Invoer!$A$5),1,1)+INT((ROWS(B$2:B878)-1)/3),"jjjjmmdd")</f>
        <v>19401019</v>
      </c>
      <c r="C878" s="35" t="str">
        <f>INDEX(Data,2,2+MOD(ROWS(C$2:C878)-1,3))</f>
        <v>07.45</v>
      </c>
      <c r="D878" s="23">
        <f t="shared" ca="1" si="66"/>
        <v>748</v>
      </c>
      <c r="E878" s="40">
        <f t="shared" ca="1" si="67"/>
        <v>0</v>
      </c>
      <c r="F878" s="23">
        <f t="shared" ca="1" si="68"/>
        <v>28</v>
      </c>
      <c r="G878" s="40">
        <f t="shared" ca="1" si="69"/>
        <v>0</v>
      </c>
    </row>
    <row r="879" spans="1:7" x14ac:dyDescent="0.25">
      <c r="A879" s="17">
        <f t="shared" si="65"/>
        <v>81</v>
      </c>
      <c r="B879" t="str">
        <f ca="1">TEXT(DATE(YEAR(Invoer!$A$5),1,1)+INT((ROWS(B$2:B879)-1)/3),"jjjjmmdd")</f>
        <v>19401019</v>
      </c>
      <c r="C879" s="35" t="str">
        <f>INDEX(Data,2,2+MOD(ROWS(C$2:C879)-1,3))</f>
        <v>13.45</v>
      </c>
      <c r="D879" s="23">
        <f t="shared" ca="1" si="66"/>
        <v>747</v>
      </c>
      <c r="E879" s="40">
        <f t="shared" ca="1" si="67"/>
        <v>0</v>
      </c>
      <c r="F879" s="23">
        <f t="shared" ca="1" si="68"/>
        <v>31</v>
      </c>
      <c r="G879" s="40">
        <f t="shared" ca="1" si="69"/>
        <v>0</v>
      </c>
    </row>
    <row r="880" spans="1:7" x14ac:dyDescent="0.25">
      <c r="A880" s="17">
        <f t="shared" si="65"/>
        <v>81</v>
      </c>
      <c r="B880" t="str">
        <f ca="1">TEXT(DATE(YEAR(Invoer!$A$5),1,1)+INT((ROWS(B$2:B880)-1)/3),"jjjjmmdd")</f>
        <v>19401019</v>
      </c>
      <c r="C880" s="35" t="str">
        <f>INDEX(Data,2,2+MOD(ROWS(C$2:C880)-1,3))</f>
        <v>19.45</v>
      </c>
      <c r="D880" s="23">
        <f t="shared" ca="1" si="66"/>
        <v>748</v>
      </c>
      <c r="E880" s="40">
        <f t="shared" ca="1" si="67"/>
        <v>0</v>
      </c>
      <c r="F880" s="23">
        <f t="shared" ca="1" si="68"/>
        <v>30</v>
      </c>
      <c r="G880" s="40">
        <f t="shared" ca="1" si="69"/>
        <v>0</v>
      </c>
    </row>
    <row r="881" spans="1:7" x14ac:dyDescent="0.25">
      <c r="A881" s="17">
        <f t="shared" si="65"/>
        <v>81</v>
      </c>
      <c r="B881" t="str">
        <f ca="1">TEXT(DATE(YEAR(Invoer!$A$5),1,1)+INT((ROWS(B$2:B881)-1)/3),"jjjjmmdd")</f>
        <v>19401020</v>
      </c>
      <c r="C881" s="35" t="str">
        <f>INDEX(Data,2,2+MOD(ROWS(C$2:C881)-1,3))</f>
        <v>07.45</v>
      </c>
      <c r="D881" s="23">
        <f t="shared" ca="1" si="66"/>
        <v>748</v>
      </c>
      <c r="E881" s="40">
        <f t="shared" ca="1" si="67"/>
        <v>0</v>
      </c>
      <c r="F881" s="23">
        <f t="shared" ca="1" si="68"/>
        <v>28</v>
      </c>
      <c r="G881" s="40">
        <f t="shared" ca="1" si="69"/>
        <v>0</v>
      </c>
    </row>
    <row r="882" spans="1:7" x14ac:dyDescent="0.25">
      <c r="A882" s="17">
        <f t="shared" si="65"/>
        <v>81</v>
      </c>
      <c r="B882" t="str">
        <f ca="1">TEXT(DATE(YEAR(Invoer!$A$5),1,1)+INT((ROWS(B$2:B882)-1)/3),"jjjjmmdd")</f>
        <v>19401020</v>
      </c>
      <c r="C882" s="35" t="str">
        <f>INDEX(Data,2,2+MOD(ROWS(C$2:C882)-1,3))</f>
        <v>13.45</v>
      </c>
      <c r="D882" s="23">
        <f t="shared" ca="1" si="66"/>
        <v>748</v>
      </c>
      <c r="E882" s="40">
        <f t="shared" ca="1" si="67"/>
        <v>0</v>
      </c>
      <c r="F882" s="23">
        <f t="shared" ca="1" si="68"/>
        <v>30</v>
      </c>
      <c r="G882" s="40">
        <f t="shared" ca="1" si="69"/>
        <v>0</v>
      </c>
    </row>
    <row r="883" spans="1:7" x14ac:dyDescent="0.25">
      <c r="A883" s="17">
        <f t="shared" si="65"/>
        <v>81</v>
      </c>
      <c r="B883" t="str">
        <f ca="1">TEXT(DATE(YEAR(Invoer!$A$5),1,1)+INT((ROWS(B$2:B883)-1)/3),"jjjjmmdd")</f>
        <v>19401020</v>
      </c>
      <c r="C883" s="35" t="str">
        <f>INDEX(Data,2,2+MOD(ROWS(C$2:C883)-1,3))</f>
        <v>19.45</v>
      </c>
      <c r="D883" s="23">
        <f t="shared" ca="1" si="66"/>
        <v>748</v>
      </c>
      <c r="E883" s="40">
        <f t="shared" ca="1" si="67"/>
        <v>0</v>
      </c>
      <c r="F883" s="23">
        <f t="shared" ca="1" si="68"/>
        <v>29</v>
      </c>
      <c r="G883" s="40">
        <f t="shared" ca="1" si="69"/>
        <v>0</v>
      </c>
    </row>
    <row r="884" spans="1:7" x14ac:dyDescent="0.25">
      <c r="A884" s="17">
        <f t="shared" si="65"/>
        <v>81</v>
      </c>
      <c r="B884" t="str">
        <f ca="1">TEXT(DATE(YEAR(Invoer!$A$5),1,1)+INT((ROWS(B$2:B884)-1)/3),"jjjjmmdd")</f>
        <v>19401021</v>
      </c>
      <c r="C884" s="35" t="str">
        <f>INDEX(Data,2,2+MOD(ROWS(C$2:C884)-1,3))</f>
        <v>07.45</v>
      </c>
      <c r="D884" s="23">
        <f t="shared" ca="1" si="66"/>
        <v>747</v>
      </c>
      <c r="E884" s="40">
        <f t="shared" ca="1" si="67"/>
        <v>0</v>
      </c>
      <c r="F884" s="23">
        <f t="shared" ca="1" si="68"/>
        <v>28</v>
      </c>
      <c r="G884" s="40">
        <f t="shared" ca="1" si="69"/>
        <v>0</v>
      </c>
    </row>
    <row r="885" spans="1:7" x14ac:dyDescent="0.25">
      <c r="A885" s="17">
        <f t="shared" si="65"/>
        <v>81</v>
      </c>
      <c r="B885" t="str">
        <f ca="1">TEXT(DATE(YEAR(Invoer!$A$5),1,1)+INT((ROWS(B$2:B885)-1)/3),"jjjjmmdd")</f>
        <v>19401021</v>
      </c>
      <c r="C885" s="35" t="str">
        <f>INDEX(Data,2,2+MOD(ROWS(C$2:C885)-1,3))</f>
        <v>13.45</v>
      </c>
      <c r="D885" s="23">
        <f t="shared" ca="1" si="66"/>
        <v>748</v>
      </c>
      <c r="E885" s="40">
        <f t="shared" ca="1" si="67"/>
        <v>0</v>
      </c>
      <c r="F885" s="23">
        <f t="shared" ca="1" si="68"/>
        <v>31</v>
      </c>
      <c r="G885" s="40">
        <f t="shared" ca="1" si="69"/>
        <v>0</v>
      </c>
    </row>
    <row r="886" spans="1:7" x14ac:dyDescent="0.25">
      <c r="A886" s="17">
        <f t="shared" si="65"/>
        <v>81</v>
      </c>
      <c r="B886" t="str">
        <f ca="1">TEXT(DATE(YEAR(Invoer!$A$5),1,1)+INT((ROWS(B$2:B886)-1)/3),"jjjjmmdd")</f>
        <v>19401021</v>
      </c>
      <c r="C886" s="35" t="str">
        <f>INDEX(Data,2,2+MOD(ROWS(C$2:C886)-1,3))</f>
        <v>19.45</v>
      </c>
      <c r="D886" s="23">
        <f t="shared" ca="1" si="66"/>
        <v>748</v>
      </c>
      <c r="E886" s="40">
        <f t="shared" ca="1" si="67"/>
        <v>0</v>
      </c>
      <c r="F886" s="23">
        <f t="shared" ca="1" si="68"/>
        <v>29</v>
      </c>
      <c r="G886" s="40">
        <f t="shared" ca="1" si="69"/>
        <v>0</v>
      </c>
    </row>
    <row r="887" spans="1:7" x14ac:dyDescent="0.25">
      <c r="A887" s="17">
        <f t="shared" si="65"/>
        <v>81</v>
      </c>
      <c r="B887" t="str">
        <f ca="1">TEXT(DATE(YEAR(Invoer!$A$5),1,1)+INT((ROWS(B$2:B887)-1)/3),"jjjjmmdd")</f>
        <v>19401022</v>
      </c>
      <c r="C887" s="35" t="str">
        <f>INDEX(Data,2,2+MOD(ROWS(C$2:C887)-1,3))</f>
        <v>07.45</v>
      </c>
      <c r="D887" s="23">
        <f t="shared" ca="1" si="66"/>
        <v>748</v>
      </c>
      <c r="E887" s="40">
        <f t="shared" ca="1" si="67"/>
        <v>0</v>
      </c>
      <c r="F887" s="23">
        <f t="shared" ca="1" si="68"/>
        <v>28</v>
      </c>
      <c r="G887" s="40">
        <f t="shared" ca="1" si="69"/>
        <v>0</v>
      </c>
    </row>
    <row r="888" spans="1:7" x14ac:dyDescent="0.25">
      <c r="A888" s="17">
        <f t="shared" si="65"/>
        <v>81</v>
      </c>
      <c r="B888" t="str">
        <f ca="1">TEXT(DATE(YEAR(Invoer!$A$5),1,1)+INT((ROWS(B$2:B888)-1)/3),"jjjjmmdd")</f>
        <v>19401022</v>
      </c>
      <c r="C888" s="35" t="str">
        <f>INDEX(Data,2,2+MOD(ROWS(C$2:C888)-1,3))</f>
        <v>13.45</v>
      </c>
      <c r="D888" s="23">
        <f t="shared" ca="1" si="66"/>
        <v>748</v>
      </c>
      <c r="E888" s="40">
        <f t="shared" ca="1" si="67"/>
        <v>0</v>
      </c>
      <c r="F888" s="23">
        <f t="shared" ca="1" si="68"/>
        <v>30</v>
      </c>
      <c r="G888" s="40">
        <f t="shared" ca="1" si="69"/>
        <v>0</v>
      </c>
    </row>
    <row r="889" spans="1:7" x14ac:dyDescent="0.25">
      <c r="A889" s="17">
        <f t="shared" si="65"/>
        <v>81</v>
      </c>
      <c r="B889" t="str">
        <f ca="1">TEXT(DATE(YEAR(Invoer!$A$5),1,1)+INT((ROWS(B$2:B889)-1)/3),"jjjjmmdd")</f>
        <v>19401022</v>
      </c>
      <c r="C889" s="35" t="str">
        <f>INDEX(Data,2,2+MOD(ROWS(C$2:C889)-1,3))</f>
        <v>19.45</v>
      </c>
      <c r="D889" s="23">
        <f t="shared" ca="1" si="66"/>
        <v>747</v>
      </c>
      <c r="E889" s="40">
        <f t="shared" ca="1" si="67"/>
        <v>0</v>
      </c>
      <c r="F889" s="23">
        <f t="shared" ca="1" si="68"/>
        <v>29</v>
      </c>
      <c r="G889" s="40">
        <f t="shared" ca="1" si="69"/>
        <v>0</v>
      </c>
    </row>
    <row r="890" spans="1:7" x14ac:dyDescent="0.25">
      <c r="A890" s="17">
        <f t="shared" si="65"/>
        <v>81</v>
      </c>
      <c r="B890" t="str">
        <f ca="1">TEXT(DATE(YEAR(Invoer!$A$5),1,1)+INT((ROWS(B$2:B890)-1)/3),"jjjjmmdd")</f>
        <v>19401023</v>
      </c>
      <c r="C890" s="35" t="str">
        <f>INDEX(Data,2,2+MOD(ROWS(C$2:C890)-1,3))</f>
        <v>07.45</v>
      </c>
      <c r="D890" s="23">
        <f t="shared" ca="1" si="66"/>
        <v>747</v>
      </c>
      <c r="E890" s="40">
        <f t="shared" ca="1" si="67"/>
        <v>0</v>
      </c>
      <c r="F890" s="23">
        <f t="shared" ca="1" si="68"/>
        <v>28</v>
      </c>
      <c r="G890" s="40">
        <f t="shared" ca="1" si="69"/>
        <v>0</v>
      </c>
    </row>
    <row r="891" spans="1:7" x14ac:dyDescent="0.25">
      <c r="A891" s="17">
        <f t="shared" si="65"/>
        <v>81</v>
      </c>
      <c r="B891" t="str">
        <f ca="1">TEXT(DATE(YEAR(Invoer!$A$5),1,1)+INT((ROWS(B$2:B891)-1)/3),"jjjjmmdd")</f>
        <v>19401023</v>
      </c>
      <c r="C891" s="35" t="str">
        <f>INDEX(Data,2,2+MOD(ROWS(C$2:C891)-1,3))</f>
        <v>13.45</v>
      </c>
      <c r="D891" s="23">
        <f t="shared" ca="1" si="66"/>
        <v>747</v>
      </c>
      <c r="E891" s="40">
        <f t="shared" ca="1" si="67"/>
        <v>0</v>
      </c>
      <c r="F891" s="23">
        <f t="shared" ca="1" si="68"/>
        <v>30</v>
      </c>
      <c r="G891" s="40">
        <f t="shared" ca="1" si="69"/>
        <v>0</v>
      </c>
    </row>
    <row r="892" spans="1:7" x14ac:dyDescent="0.25">
      <c r="A892" s="17">
        <f t="shared" si="65"/>
        <v>81</v>
      </c>
      <c r="B892" t="str">
        <f ca="1">TEXT(DATE(YEAR(Invoer!$A$5),1,1)+INT((ROWS(B$2:B892)-1)/3),"jjjjmmdd")</f>
        <v>19401023</v>
      </c>
      <c r="C892" s="35" t="str">
        <f>INDEX(Data,2,2+MOD(ROWS(C$2:C892)-1,3))</f>
        <v>19.45</v>
      </c>
      <c r="D892" s="23">
        <f t="shared" ca="1" si="66"/>
        <v>748</v>
      </c>
      <c r="E892" s="40">
        <f t="shared" ca="1" si="67"/>
        <v>0</v>
      </c>
      <c r="F892" s="23">
        <f t="shared" ca="1" si="68"/>
        <v>29</v>
      </c>
      <c r="G892" s="40">
        <f t="shared" ca="1" si="69"/>
        <v>0</v>
      </c>
    </row>
    <row r="893" spans="1:7" x14ac:dyDescent="0.25">
      <c r="A893" s="17">
        <f t="shared" si="65"/>
        <v>81</v>
      </c>
      <c r="B893" t="str">
        <f ca="1">TEXT(DATE(YEAR(Invoer!$A$5),1,1)+INT((ROWS(B$2:B893)-1)/3),"jjjjmmdd")</f>
        <v>19401024</v>
      </c>
      <c r="C893" s="35" t="str">
        <f>INDEX(Data,2,2+MOD(ROWS(C$2:C893)-1,3))</f>
        <v>07.45</v>
      </c>
      <c r="D893" s="23">
        <f t="shared" ca="1" si="66"/>
        <v>747</v>
      </c>
      <c r="E893" s="40">
        <f t="shared" ca="1" si="67"/>
        <v>0</v>
      </c>
      <c r="F893" s="23">
        <f t="shared" ca="1" si="68"/>
        <v>28</v>
      </c>
      <c r="G893" s="40">
        <f t="shared" ca="1" si="69"/>
        <v>0</v>
      </c>
    </row>
    <row r="894" spans="1:7" x14ac:dyDescent="0.25">
      <c r="A894" s="17">
        <f t="shared" si="65"/>
        <v>81</v>
      </c>
      <c r="B894" t="str">
        <f ca="1">TEXT(DATE(YEAR(Invoer!$A$5),1,1)+INT((ROWS(B$2:B894)-1)/3),"jjjjmmdd")</f>
        <v>19401024</v>
      </c>
      <c r="C894" s="35" t="str">
        <f>INDEX(Data,2,2+MOD(ROWS(C$2:C894)-1,3))</f>
        <v>13.45</v>
      </c>
      <c r="D894" s="23">
        <f t="shared" ca="1" si="66"/>
        <v>748</v>
      </c>
      <c r="E894" s="40">
        <f t="shared" ca="1" si="67"/>
        <v>0</v>
      </c>
      <c r="F894" s="23">
        <f t="shared" ca="1" si="68"/>
        <v>30</v>
      </c>
      <c r="G894" s="40">
        <f t="shared" ca="1" si="69"/>
        <v>0</v>
      </c>
    </row>
    <row r="895" spans="1:7" x14ac:dyDescent="0.25">
      <c r="A895" s="17">
        <f t="shared" si="65"/>
        <v>81</v>
      </c>
      <c r="B895" t="str">
        <f ca="1">TEXT(DATE(YEAR(Invoer!$A$5),1,1)+INT((ROWS(B$2:B895)-1)/3),"jjjjmmdd")</f>
        <v>19401024</v>
      </c>
      <c r="C895" s="35" t="str">
        <f>INDEX(Data,2,2+MOD(ROWS(C$2:C895)-1,3))</f>
        <v>19.45</v>
      </c>
      <c r="D895" s="23">
        <f t="shared" ca="1" si="66"/>
        <v>748</v>
      </c>
      <c r="E895" s="40">
        <f t="shared" ca="1" si="67"/>
        <v>0</v>
      </c>
      <c r="F895" s="23">
        <f t="shared" ca="1" si="68"/>
        <v>29</v>
      </c>
      <c r="G895" s="40">
        <f t="shared" ca="1" si="69"/>
        <v>0</v>
      </c>
    </row>
    <row r="896" spans="1:7" x14ac:dyDescent="0.25">
      <c r="A896" s="17">
        <f t="shared" si="65"/>
        <v>81</v>
      </c>
      <c r="B896" t="str">
        <f ca="1">TEXT(DATE(YEAR(Invoer!$A$5),1,1)+INT((ROWS(B$2:B896)-1)/3),"jjjjmmdd")</f>
        <v>19401025</v>
      </c>
      <c r="C896" s="35" t="str">
        <f>INDEX(Data,2,2+MOD(ROWS(C$2:C896)-1,3))</f>
        <v>07.45</v>
      </c>
      <c r="D896" s="23">
        <f t="shared" ca="1" si="66"/>
        <v>748</v>
      </c>
      <c r="E896" s="40">
        <f t="shared" ca="1" si="67"/>
        <v>0</v>
      </c>
      <c r="F896" s="23">
        <f t="shared" ca="1" si="68"/>
        <v>28</v>
      </c>
      <c r="G896" s="40">
        <f t="shared" ca="1" si="69"/>
        <v>0</v>
      </c>
    </row>
    <row r="897" spans="1:7" x14ac:dyDescent="0.25">
      <c r="A897" s="17">
        <f t="shared" si="65"/>
        <v>81</v>
      </c>
      <c r="B897" t="str">
        <f ca="1">TEXT(DATE(YEAR(Invoer!$A$5),1,1)+INT((ROWS(B$2:B897)-1)/3),"jjjjmmdd")</f>
        <v>19401025</v>
      </c>
      <c r="C897" s="35" t="str">
        <f>INDEX(Data,2,2+MOD(ROWS(C$2:C897)-1,3))</f>
        <v>13.45</v>
      </c>
      <c r="D897" s="23">
        <f t="shared" ca="1" si="66"/>
        <v>748</v>
      </c>
      <c r="E897" s="40">
        <f t="shared" ca="1" si="67"/>
        <v>0</v>
      </c>
      <c r="F897" s="23">
        <f t="shared" ca="1" si="68"/>
        <v>31</v>
      </c>
      <c r="G897" s="40">
        <f t="shared" ca="1" si="69"/>
        <v>0</v>
      </c>
    </row>
    <row r="898" spans="1:7" x14ac:dyDescent="0.25">
      <c r="A898" s="17">
        <f t="shared" ref="A898:A961" si="70">INDEX(Stations,2,1)</f>
        <v>81</v>
      </c>
      <c r="B898" t="str">
        <f ca="1">TEXT(DATE(YEAR(Invoer!$A$5),1,1)+INT((ROWS(B$2:B898)-1)/3),"jjjjmmdd")</f>
        <v>19401025</v>
      </c>
      <c r="C898" s="35" t="str">
        <f>INDEX(Data,2,2+MOD(ROWS(C$2:C898)-1,3))</f>
        <v>19.45</v>
      </c>
      <c r="D898" s="23">
        <f t="shared" ref="D898:D961" ca="1" si="71">IF(OR(ISBLANK(VLOOKUP(DATEVALUE(LEFT($B898,4)&amp;"-"&amp;MID($B898,5,2)&amp;"-"&amp;RIGHT($B898,2)),Data,MATCH(LEFT(VLOOKUP(D$1,Parameters,2,FALSE()),4)&amp;"*",OFFSET(Data,0,0,1),0)+MATCH($C898,OFFSET(Data,1,0,1),0)-2,FALSE())),ISTEXT(VLOOKUP(DATEVALUE(LEFT($B898,4)&amp;"-"&amp;MID($B898,5,2)&amp;"-"&amp;RIGHT($B898,2)),Data,MATCH(LEFT(VLOOKUP(D$1,Parameters,2,FALSE()),4)&amp;"*",OFFSET(Data,0,0,1),0)+MATCH($C898,OFFSET(Data,1,0,1),0)-2,FALSE()))),"—",VLOOKUP(DATEVALUE(LEFT($B898,4)&amp;"-"&amp;MID($B898,5,2)&amp;"-"&amp;RIGHT($B898,2)),Data,MATCH(LEFT(VLOOKUP(D$1,Parameters,2,FALSE()),4)&amp;"*",OFFSET(Data,0,0,1),0)+MATCH($C898,OFFSET(Data,1,0,1),0)-2,FALSE()))</f>
        <v>748</v>
      </c>
      <c r="E898" s="40">
        <f t="shared" ref="E898:E961" ca="1" si="72">IF(OR(ISBLANK(VLOOKUP(DATEVALUE(LEFT($B898,4)&amp;"-"&amp;MID($B898,5,2)&amp;"-"&amp;RIGHT($B898,2)),Data,MATCH(LEFT(VLOOKUP(MID(E$1,2,LEN(E$1)-1),Parameters,2,FALSE()),4)&amp;"*",OFFSET(Data,0,0,1),0)+MATCH($C898,OFFSET(Data,1,0,1),0)-2,FALSE())),ISTEXT(VLOOKUP(DATEVALUE(LEFT($B898,4)&amp;"-"&amp;MID($B898,5,2)&amp;"-"&amp;RIGHT($B898,2)),Data,MATCH(LEFT(VLOOKUP(MID(E$1,2,LEN(E$1)-1),Parameters,2,FALSE()),4)&amp;"*",OFFSET(Data,0,0,1),0)+MATCH($C898,OFFSET(Data,1,0,1),0)-2,FALSE()))),Lacking,IF(ISNA(MATCH(DATEVALUE(LEFT($B898,4)&amp;"-"&amp;MID($B898,5,2)&amp;"-"&amp;RIGHT($B898,2)),OFFSET(Catalogus,0,0,,1),0)),Ok,VLOOKUP(DATEVALUE(LEFT($B898,4)&amp;"-"&amp;MID($B898,5,2)&amp;"-"&amp;RIGHT($B898,2)),Catalogus,MATCH(LEFT(VLOOKUP(MID(E$1,2,LEN(E$1)-1),Parameters,2,FALSE()),4)&amp;"*",OFFSET(Catalogus,0,0,1),0)+MATCH($C898,OFFSET(Catalogus,1,0,1),0)-2,FALSE())))</f>
        <v>0</v>
      </c>
      <c r="F898" s="23">
        <f t="shared" ref="F898:F961" ca="1" si="73">IF(OR(ISBLANK(VLOOKUP(DATEVALUE(LEFT($B898,4)&amp;"-"&amp;MID($B898,5,2)&amp;"-"&amp;RIGHT($B898,2)),Data,MATCH(LEFT(VLOOKUP(F$1,Parameters,2,FALSE()),4)&amp;"*",OFFSET(Data,0,0,1),0)+MATCH($C898,OFFSET(Data,1,0,1),0)-2,FALSE())),ISTEXT(VLOOKUP(DATEVALUE(LEFT($B898,4)&amp;"-"&amp;MID($B898,5,2)&amp;"-"&amp;RIGHT($B898,2)),Data,MATCH(LEFT(VLOOKUP(F$1,Parameters,2,FALSE()),4)&amp;"*",OFFSET(Data,0,0,1),0)+MATCH($C898,OFFSET(Data,1,0,1),0)-2,FALSE()))),"—",VLOOKUP(DATEVALUE(LEFT($B898,4)&amp;"-"&amp;MID($B898,5,2)&amp;"-"&amp;RIGHT($B898,2)),Data,MATCH(LEFT(VLOOKUP(F$1,Parameters,2,FALSE()),4)&amp;"*",OFFSET(Data,0,0,1),0)+MATCH($C898,OFFSET(Data,1,0,1),0)-2,FALSE()))</f>
        <v>30</v>
      </c>
      <c r="G898" s="40">
        <f t="shared" ref="G898:G961" ca="1" si="74">IF(OR(ISBLANK(VLOOKUP(DATEVALUE(LEFT($B898,4)&amp;"-"&amp;MID($B898,5,2)&amp;"-"&amp;RIGHT($B898,2)),Data,MATCH(LEFT(VLOOKUP(MID(G$1,2,LEN(G$1)-1),Parameters,2,FALSE()),4)&amp;"*",OFFSET(Data,0,0,1),0)+MATCH($C898,OFFSET(Data,1,0,1),0)-2,FALSE())),ISTEXT(VLOOKUP(DATEVALUE(LEFT($B898,4)&amp;"-"&amp;MID($B898,5,2)&amp;"-"&amp;RIGHT($B898,2)),Data,MATCH(LEFT(VLOOKUP(MID(G$1,2,LEN(G$1)-1),Parameters,2,FALSE()),4)&amp;"*",OFFSET(Data,0,0,1),0)+MATCH($C898,OFFSET(Data,1,0,1),0)-2,FALSE()))),Lacking,IF(ISNA(MATCH(DATEVALUE(LEFT($B898,4)&amp;"-"&amp;MID($B898,5,2)&amp;"-"&amp;RIGHT($B898,2)),OFFSET(Catalogus,0,0,,1),0)),Ok,VLOOKUP(DATEVALUE(LEFT($B898,4)&amp;"-"&amp;MID($B898,5,2)&amp;"-"&amp;RIGHT($B898,2)),Catalogus,MATCH(LEFT(VLOOKUP(MID(G$1,2,LEN(G$1)-1),Parameters,2,FALSE()),4)&amp;"*",OFFSET(Catalogus,0,0,1),0)+MATCH($C898,OFFSET(Catalogus,1,0,1),0)-2,FALSE())))</f>
        <v>0</v>
      </c>
    </row>
    <row r="899" spans="1:7" x14ac:dyDescent="0.25">
      <c r="A899" s="17">
        <f t="shared" si="70"/>
        <v>81</v>
      </c>
      <c r="B899" t="str">
        <f ca="1">TEXT(DATE(YEAR(Invoer!$A$5),1,1)+INT((ROWS(B$2:B899)-1)/3),"jjjjmmdd")</f>
        <v>19401026</v>
      </c>
      <c r="C899" s="35" t="str">
        <f>INDEX(Data,2,2+MOD(ROWS(C$2:C899)-1,3))</f>
        <v>07.45</v>
      </c>
      <c r="D899" s="23">
        <f t="shared" ca="1" si="71"/>
        <v>748</v>
      </c>
      <c r="E899" s="40">
        <f t="shared" ca="1" si="72"/>
        <v>0</v>
      </c>
      <c r="F899" s="23">
        <f t="shared" ca="1" si="73"/>
        <v>28</v>
      </c>
      <c r="G899" s="40">
        <f t="shared" ca="1" si="74"/>
        <v>0</v>
      </c>
    </row>
    <row r="900" spans="1:7" x14ac:dyDescent="0.25">
      <c r="A900" s="17">
        <f t="shared" si="70"/>
        <v>81</v>
      </c>
      <c r="B900" t="str">
        <f ca="1">TEXT(DATE(YEAR(Invoer!$A$5),1,1)+INT((ROWS(B$2:B900)-1)/3),"jjjjmmdd")</f>
        <v>19401026</v>
      </c>
      <c r="C900" s="35" t="str">
        <f>INDEX(Data,2,2+MOD(ROWS(C$2:C900)-1,3))</f>
        <v>13.45</v>
      </c>
      <c r="D900" s="23">
        <f t="shared" ca="1" si="71"/>
        <v>748</v>
      </c>
      <c r="E900" s="40">
        <f t="shared" ca="1" si="72"/>
        <v>0</v>
      </c>
      <c r="F900" s="23">
        <f t="shared" ca="1" si="73"/>
        <v>31</v>
      </c>
      <c r="G900" s="40">
        <f t="shared" ca="1" si="74"/>
        <v>0</v>
      </c>
    </row>
    <row r="901" spans="1:7" x14ac:dyDescent="0.25">
      <c r="A901" s="17">
        <f t="shared" si="70"/>
        <v>81</v>
      </c>
      <c r="B901" t="str">
        <f ca="1">TEXT(DATE(YEAR(Invoer!$A$5),1,1)+INT((ROWS(B$2:B901)-1)/3),"jjjjmmdd")</f>
        <v>19401026</v>
      </c>
      <c r="C901" s="35" t="str">
        <f>INDEX(Data,2,2+MOD(ROWS(C$2:C901)-1,3))</f>
        <v>19.45</v>
      </c>
      <c r="D901" s="23">
        <f t="shared" ca="1" si="71"/>
        <v>749</v>
      </c>
      <c r="E901" s="40">
        <f t="shared" ca="1" si="72"/>
        <v>0</v>
      </c>
      <c r="F901" s="23">
        <f t="shared" ca="1" si="73"/>
        <v>30</v>
      </c>
      <c r="G901" s="40">
        <f t="shared" ca="1" si="74"/>
        <v>0</v>
      </c>
    </row>
    <row r="902" spans="1:7" x14ac:dyDescent="0.25">
      <c r="A902" s="17">
        <f t="shared" si="70"/>
        <v>81</v>
      </c>
      <c r="B902" t="str">
        <f ca="1">TEXT(DATE(YEAR(Invoer!$A$5),1,1)+INT((ROWS(B$2:B902)-1)/3),"jjjjmmdd")</f>
        <v>19401027</v>
      </c>
      <c r="C902" s="35" t="str">
        <f>INDEX(Data,2,2+MOD(ROWS(C$2:C902)-1,3))</f>
        <v>07.45</v>
      </c>
      <c r="D902" s="23">
        <f t="shared" ca="1" si="71"/>
        <v>749</v>
      </c>
      <c r="E902" s="40">
        <f t="shared" ca="1" si="72"/>
        <v>0</v>
      </c>
      <c r="F902" s="23">
        <f t="shared" ca="1" si="73"/>
        <v>28</v>
      </c>
      <c r="G902" s="40">
        <f t="shared" ca="1" si="74"/>
        <v>0</v>
      </c>
    </row>
    <row r="903" spans="1:7" x14ac:dyDescent="0.25">
      <c r="A903" s="17">
        <f t="shared" si="70"/>
        <v>81</v>
      </c>
      <c r="B903" t="str">
        <f ca="1">TEXT(DATE(YEAR(Invoer!$A$5),1,1)+INT((ROWS(B$2:B903)-1)/3),"jjjjmmdd")</f>
        <v>19401027</v>
      </c>
      <c r="C903" s="35" t="str">
        <f>INDEX(Data,2,2+MOD(ROWS(C$2:C903)-1,3))</f>
        <v>13.45</v>
      </c>
      <c r="D903" s="23">
        <f t="shared" ca="1" si="71"/>
        <v>749</v>
      </c>
      <c r="E903" s="40">
        <f t="shared" ca="1" si="72"/>
        <v>0</v>
      </c>
      <c r="F903" s="23">
        <f t="shared" ca="1" si="73"/>
        <v>31</v>
      </c>
      <c r="G903" s="40">
        <f t="shared" ca="1" si="74"/>
        <v>0</v>
      </c>
    </row>
    <row r="904" spans="1:7" x14ac:dyDescent="0.25">
      <c r="A904" s="17">
        <f t="shared" si="70"/>
        <v>81</v>
      </c>
      <c r="B904" t="str">
        <f ca="1">TEXT(DATE(YEAR(Invoer!$A$5),1,1)+INT((ROWS(B$2:B904)-1)/3),"jjjjmmdd")</f>
        <v>19401027</v>
      </c>
      <c r="C904" s="35" t="str">
        <f>INDEX(Data,2,2+MOD(ROWS(C$2:C904)-1,3))</f>
        <v>19.45</v>
      </c>
      <c r="D904" s="23">
        <f t="shared" ca="1" si="71"/>
        <v>749</v>
      </c>
      <c r="E904" s="40">
        <f t="shared" ca="1" si="72"/>
        <v>0</v>
      </c>
      <c r="F904" s="23">
        <f t="shared" ca="1" si="73"/>
        <v>30</v>
      </c>
      <c r="G904" s="40">
        <f t="shared" ca="1" si="74"/>
        <v>0</v>
      </c>
    </row>
    <row r="905" spans="1:7" x14ac:dyDescent="0.25">
      <c r="A905" s="17">
        <f t="shared" si="70"/>
        <v>81</v>
      </c>
      <c r="B905" t="str">
        <f ca="1">TEXT(DATE(YEAR(Invoer!$A$5),1,1)+INT((ROWS(B$2:B905)-1)/3),"jjjjmmdd")</f>
        <v>19401028</v>
      </c>
      <c r="C905" s="35" t="str">
        <f>INDEX(Data,2,2+MOD(ROWS(C$2:C905)-1,3))</f>
        <v>07.45</v>
      </c>
      <c r="D905" s="23">
        <f t="shared" ca="1" si="71"/>
        <v>749</v>
      </c>
      <c r="E905" s="40">
        <f t="shared" ca="1" si="72"/>
        <v>0</v>
      </c>
      <c r="F905" s="23">
        <f t="shared" ca="1" si="73"/>
        <v>28</v>
      </c>
      <c r="G905" s="40">
        <f t="shared" ca="1" si="74"/>
        <v>0</v>
      </c>
    </row>
    <row r="906" spans="1:7" x14ac:dyDescent="0.25">
      <c r="A906" s="17">
        <f t="shared" si="70"/>
        <v>81</v>
      </c>
      <c r="B906" t="str">
        <f ca="1">TEXT(DATE(YEAR(Invoer!$A$5),1,1)+INT((ROWS(B$2:B906)-1)/3),"jjjjmmdd")</f>
        <v>19401028</v>
      </c>
      <c r="C906" s="35" t="str">
        <f>INDEX(Data,2,2+MOD(ROWS(C$2:C906)-1,3))</f>
        <v>13.45</v>
      </c>
      <c r="D906" s="23">
        <f t="shared" ca="1" si="71"/>
        <v>749</v>
      </c>
      <c r="E906" s="40">
        <f t="shared" ca="1" si="72"/>
        <v>0</v>
      </c>
      <c r="F906" s="23">
        <f t="shared" ca="1" si="73"/>
        <v>31</v>
      </c>
      <c r="G906" s="40">
        <f t="shared" ca="1" si="74"/>
        <v>0</v>
      </c>
    </row>
    <row r="907" spans="1:7" x14ac:dyDescent="0.25">
      <c r="A907" s="17">
        <f t="shared" si="70"/>
        <v>81</v>
      </c>
      <c r="B907" t="str">
        <f ca="1">TEXT(DATE(YEAR(Invoer!$A$5),1,1)+INT((ROWS(B$2:B907)-1)/3),"jjjjmmdd")</f>
        <v>19401028</v>
      </c>
      <c r="C907" s="35" t="str">
        <f>INDEX(Data,2,2+MOD(ROWS(C$2:C907)-1,3))</f>
        <v>19.45</v>
      </c>
      <c r="D907" s="23">
        <f t="shared" ca="1" si="71"/>
        <v>749</v>
      </c>
      <c r="E907" s="40">
        <f t="shared" ca="1" si="72"/>
        <v>0</v>
      </c>
      <c r="F907" s="23">
        <f t="shared" ca="1" si="73"/>
        <v>30</v>
      </c>
      <c r="G907" s="40">
        <f t="shared" ca="1" si="74"/>
        <v>0</v>
      </c>
    </row>
    <row r="908" spans="1:7" x14ac:dyDescent="0.25">
      <c r="A908" s="17">
        <f t="shared" si="70"/>
        <v>81</v>
      </c>
      <c r="B908" t="str">
        <f ca="1">TEXT(DATE(YEAR(Invoer!$A$5),1,1)+INT((ROWS(B$2:B908)-1)/3),"jjjjmmdd")</f>
        <v>19401029</v>
      </c>
      <c r="C908" s="35" t="str">
        <f>INDEX(Data,2,2+MOD(ROWS(C$2:C908)-1,3))</f>
        <v>07.45</v>
      </c>
      <c r="D908" s="23">
        <f t="shared" ca="1" si="71"/>
        <v>749</v>
      </c>
      <c r="E908" s="40">
        <f t="shared" ca="1" si="72"/>
        <v>0</v>
      </c>
      <c r="F908" s="23">
        <f t="shared" ca="1" si="73"/>
        <v>28</v>
      </c>
      <c r="G908" s="40">
        <f t="shared" ca="1" si="74"/>
        <v>0</v>
      </c>
    </row>
    <row r="909" spans="1:7" x14ac:dyDescent="0.25">
      <c r="A909" s="17">
        <f t="shared" si="70"/>
        <v>81</v>
      </c>
      <c r="B909" t="str">
        <f ca="1">TEXT(DATE(YEAR(Invoer!$A$5),1,1)+INT((ROWS(B$2:B909)-1)/3),"jjjjmmdd")</f>
        <v>19401029</v>
      </c>
      <c r="C909" s="35" t="str">
        <f>INDEX(Data,2,2+MOD(ROWS(C$2:C909)-1,3))</f>
        <v>13.45</v>
      </c>
      <c r="D909" s="23">
        <f t="shared" ca="1" si="71"/>
        <v>749</v>
      </c>
      <c r="E909" s="40">
        <f t="shared" ca="1" si="72"/>
        <v>0</v>
      </c>
      <c r="F909" s="23">
        <f t="shared" ca="1" si="73"/>
        <v>31</v>
      </c>
      <c r="G909" s="40">
        <f t="shared" ca="1" si="74"/>
        <v>0</v>
      </c>
    </row>
    <row r="910" spans="1:7" x14ac:dyDescent="0.25">
      <c r="A910" s="17">
        <f t="shared" si="70"/>
        <v>81</v>
      </c>
      <c r="B910" t="str">
        <f ca="1">TEXT(DATE(YEAR(Invoer!$A$5),1,1)+INT((ROWS(B$2:B910)-1)/3),"jjjjmmdd")</f>
        <v>19401029</v>
      </c>
      <c r="C910" s="35" t="str">
        <f>INDEX(Data,2,2+MOD(ROWS(C$2:C910)-1,3))</f>
        <v>19.45</v>
      </c>
      <c r="D910" s="23">
        <f t="shared" ca="1" si="71"/>
        <v>749</v>
      </c>
      <c r="E910" s="40">
        <f t="shared" ca="1" si="72"/>
        <v>0</v>
      </c>
      <c r="F910" s="23">
        <f t="shared" ca="1" si="73"/>
        <v>30</v>
      </c>
      <c r="G910" s="40">
        <f t="shared" ca="1" si="74"/>
        <v>0</v>
      </c>
    </row>
    <row r="911" spans="1:7" x14ac:dyDescent="0.25">
      <c r="A911" s="17">
        <f t="shared" si="70"/>
        <v>81</v>
      </c>
      <c r="B911" t="str">
        <f ca="1">TEXT(DATE(YEAR(Invoer!$A$5),1,1)+INT((ROWS(B$2:B911)-1)/3),"jjjjmmdd")</f>
        <v>19401030</v>
      </c>
      <c r="C911" s="35" t="str">
        <f>INDEX(Data,2,2+MOD(ROWS(C$2:C911)-1,3))</f>
        <v>07.45</v>
      </c>
      <c r="D911" s="23">
        <f t="shared" ca="1" si="71"/>
        <v>749</v>
      </c>
      <c r="E911" s="40">
        <f t="shared" ca="1" si="72"/>
        <v>0</v>
      </c>
      <c r="F911" s="23">
        <f t="shared" ca="1" si="73"/>
        <v>28</v>
      </c>
      <c r="G911" s="40">
        <f t="shared" ca="1" si="74"/>
        <v>0</v>
      </c>
    </row>
    <row r="912" spans="1:7" x14ac:dyDescent="0.25">
      <c r="A912" s="17">
        <f t="shared" si="70"/>
        <v>81</v>
      </c>
      <c r="B912" t="str">
        <f ca="1">TEXT(DATE(YEAR(Invoer!$A$5),1,1)+INT((ROWS(B$2:B912)-1)/3),"jjjjmmdd")</f>
        <v>19401030</v>
      </c>
      <c r="C912" s="35" t="str">
        <f>INDEX(Data,2,2+MOD(ROWS(C$2:C912)-1,3))</f>
        <v>13.45</v>
      </c>
      <c r="D912" s="23">
        <f t="shared" ca="1" si="71"/>
        <v>749</v>
      </c>
      <c r="E912" s="40">
        <f t="shared" ca="1" si="72"/>
        <v>0</v>
      </c>
      <c r="F912" s="23">
        <f t="shared" ca="1" si="73"/>
        <v>31</v>
      </c>
      <c r="G912" s="40">
        <f t="shared" ca="1" si="74"/>
        <v>0</v>
      </c>
    </row>
    <row r="913" spans="1:7" x14ac:dyDescent="0.25">
      <c r="A913" s="17">
        <f t="shared" si="70"/>
        <v>81</v>
      </c>
      <c r="B913" t="str">
        <f ca="1">TEXT(DATE(YEAR(Invoer!$A$5),1,1)+INT((ROWS(B$2:B913)-1)/3),"jjjjmmdd")</f>
        <v>19401030</v>
      </c>
      <c r="C913" s="35" t="str">
        <f>INDEX(Data,2,2+MOD(ROWS(C$2:C913)-1,3))</f>
        <v>19.45</v>
      </c>
      <c r="D913" s="23">
        <f t="shared" ca="1" si="71"/>
        <v>748</v>
      </c>
      <c r="E913" s="40">
        <f t="shared" ca="1" si="72"/>
        <v>0</v>
      </c>
      <c r="F913" s="23">
        <f t="shared" ca="1" si="73"/>
        <v>30</v>
      </c>
      <c r="G913" s="40">
        <f t="shared" ca="1" si="74"/>
        <v>0</v>
      </c>
    </row>
    <row r="914" spans="1:7" x14ac:dyDescent="0.25">
      <c r="A914" s="17">
        <f t="shared" si="70"/>
        <v>81</v>
      </c>
      <c r="B914" t="str">
        <f ca="1">TEXT(DATE(YEAR(Invoer!$A$5),1,1)+INT((ROWS(B$2:B914)-1)/3),"jjjjmmdd")</f>
        <v>19401031</v>
      </c>
      <c r="C914" s="35" t="str">
        <f>INDEX(Data,2,2+MOD(ROWS(C$2:C914)-1,3))</f>
        <v>07.45</v>
      </c>
      <c r="D914" s="23">
        <f t="shared" ca="1" si="71"/>
        <v>747</v>
      </c>
      <c r="E914" s="40">
        <f t="shared" ca="1" si="72"/>
        <v>0</v>
      </c>
      <c r="F914" s="23">
        <f t="shared" ca="1" si="73"/>
        <v>28</v>
      </c>
      <c r="G914" s="40">
        <f t="shared" ca="1" si="74"/>
        <v>0</v>
      </c>
    </row>
    <row r="915" spans="1:7" x14ac:dyDescent="0.25">
      <c r="A915" s="17">
        <f t="shared" si="70"/>
        <v>81</v>
      </c>
      <c r="B915" t="str">
        <f ca="1">TEXT(DATE(YEAR(Invoer!$A$5),1,1)+INT((ROWS(B$2:B915)-1)/3),"jjjjmmdd")</f>
        <v>19401031</v>
      </c>
      <c r="C915" s="35" t="str">
        <f>INDEX(Data,2,2+MOD(ROWS(C$2:C915)-1,3))</f>
        <v>13.45</v>
      </c>
      <c r="D915" s="23">
        <f t="shared" ca="1" si="71"/>
        <v>747</v>
      </c>
      <c r="E915" s="40">
        <f t="shared" ca="1" si="72"/>
        <v>0</v>
      </c>
      <c r="F915" s="23">
        <f t="shared" ca="1" si="73"/>
        <v>31</v>
      </c>
      <c r="G915" s="40">
        <f t="shared" ca="1" si="74"/>
        <v>0</v>
      </c>
    </row>
    <row r="916" spans="1:7" x14ac:dyDescent="0.25">
      <c r="A916" s="17">
        <f t="shared" si="70"/>
        <v>81</v>
      </c>
      <c r="B916" t="str">
        <f ca="1">TEXT(DATE(YEAR(Invoer!$A$5),1,1)+INT((ROWS(B$2:B916)-1)/3),"jjjjmmdd")</f>
        <v>19401031</v>
      </c>
      <c r="C916" s="35" t="str">
        <f>INDEX(Data,2,2+MOD(ROWS(C$2:C916)-1,3))</f>
        <v>19.45</v>
      </c>
      <c r="D916" s="23">
        <f t="shared" ca="1" si="71"/>
        <v>747</v>
      </c>
      <c r="E916" s="40">
        <f t="shared" ca="1" si="72"/>
        <v>0</v>
      </c>
      <c r="F916" s="23">
        <f t="shared" ca="1" si="73"/>
        <v>30</v>
      </c>
      <c r="G916" s="40">
        <f t="shared" ca="1" si="74"/>
        <v>0</v>
      </c>
    </row>
    <row r="917" spans="1:7" x14ac:dyDescent="0.25">
      <c r="A917" s="17">
        <f t="shared" si="70"/>
        <v>81</v>
      </c>
      <c r="B917" t="str">
        <f ca="1">TEXT(DATE(YEAR(Invoer!$A$5),1,1)+INT((ROWS(B$2:B917)-1)/3),"jjjjmmdd")</f>
        <v>19401101</v>
      </c>
      <c r="C917" s="35" t="str">
        <f>INDEX(Data,2,2+MOD(ROWS(C$2:C917)-1,3))</f>
        <v>07.45</v>
      </c>
      <c r="D917" s="23">
        <f t="shared" ca="1" si="71"/>
        <v>747</v>
      </c>
      <c r="E917" s="40">
        <f t="shared" ca="1" si="72"/>
        <v>0</v>
      </c>
      <c r="F917" s="23">
        <f t="shared" ca="1" si="73"/>
        <v>28</v>
      </c>
      <c r="G917" s="40">
        <f t="shared" ca="1" si="74"/>
        <v>0</v>
      </c>
    </row>
    <row r="918" spans="1:7" x14ac:dyDescent="0.25">
      <c r="A918" s="17">
        <f t="shared" si="70"/>
        <v>81</v>
      </c>
      <c r="B918" t="str">
        <f ca="1">TEXT(DATE(YEAR(Invoer!$A$5),1,1)+INT((ROWS(B$2:B918)-1)/3),"jjjjmmdd")</f>
        <v>19401101</v>
      </c>
      <c r="C918" s="35" t="str">
        <f>INDEX(Data,2,2+MOD(ROWS(C$2:C918)-1,3))</f>
        <v>13.45</v>
      </c>
      <c r="D918" s="23">
        <f t="shared" ca="1" si="71"/>
        <v>748</v>
      </c>
      <c r="E918" s="40">
        <f t="shared" ca="1" si="72"/>
        <v>0</v>
      </c>
      <c r="F918" s="23">
        <f t="shared" ca="1" si="73"/>
        <v>31</v>
      </c>
      <c r="G918" s="40">
        <f t="shared" ca="1" si="74"/>
        <v>0</v>
      </c>
    </row>
    <row r="919" spans="1:7" x14ac:dyDescent="0.25">
      <c r="A919" s="17">
        <f t="shared" si="70"/>
        <v>81</v>
      </c>
      <c r="B919" t="str">
        <f ca="1">TEXT(DATE(YEAR(Invoer!$A$5),1,1)+INT((ROWS(B$2:B919)-1)/3),"jjjjmmdd")</f>
        <v>19401101</v>
      </c>
      <c r="C919" s="35" t="str">
        <f>INDEX(Data,2,2+MOD(ROWS(C$2:C919)-1,3))</f>
        <v>19.45</v>
      </c>
      <c r="D919" s="23">
        <f t="shared" ca="1" si="71"/>
        <v>748</v>
      </c>
      <c r="E919" s="40">
        <f t="shared" ca="1" si="72"/>
        <v>0</v>
      </c>
      <c r="F919" s="23">
        <f t="shared" ca="1" si="73"/>
        <v>30</v>
      </c>
      <c r="G919" s="40">
        <f t="shared" ca="1" si="74"/>
        <v>0</v>
      </c>
    </row>
    <row r="920" spans="1:7" x14ac:dyDescent="0.25">
      <c r="A920" s="17">
        <f t="shared" si="70"/>
        <v>81</v>
      </c>
      <c r="B920" t="str">
        <f ca="1">TEXT(DATE(YEAR(Invoer!$A$5),1,1)+INT((ROWS(B$2:B920)-1)/3),"jjjjmmdd")</f>
        <v>19401102</v>
      </c>
      <c r="C920" s="35" t="str">
        <f>INDEX(Data,2,2+MOD(ROWS(C$2:C920)-1,3))</f>
        <v>07.45</v>
      </c>
      <c r="D920" s="23">
        <f t="shared" ca="1" si="71"/>
        <v>748</v>
      </c>
      <c r="E920" s="40">
        <f t="shared" ca="1" si="72"/>
        <v>0</v>
      </c>
      <c r="F920" s="23">
        <f t="shared" ca="1" si="73"/>
        <v>28</v>
      </c>
      <c r="G920" s="40">
        <f t="shared" ca="1" si="74"/>
        <v>0</v>
      </c>
    </row>
    <row r="921" spans="1:7" x14ac:dyDescent="0.25">
      <c r="A921" s="17">
        <f t="shared" si="70"/>
        <v>81</v>
      </c>
      <c r="B921" t="str">
        <f ca="1">TEXT(DATE(YEAR(Invoer!$A$5),1,1)+INT((ROWS(B$2:B921)-1)/3),"jjjjmmdd")</f>
        <v>19401102</v>
      </c>
      <c r="C921" s="35" t="str">
        <f>INDEX(Data,2,2+MOD(ROWS(C$2:C921)-1,3))</f>
        <v>13.45</v>
      </c>
      <c r="D921" s="23">
        <f t="shared" ca="1" si="71"/>
        <v>747</v>
      </c>
      <c r="E921" s="40">
        <f t="shared" ca="1" si="72"/>
        <v>0</v>
      </c>
      <c r="F921" s="23">
        <f t="shared" ca="1" si="73"/>
        <v>31</v>
      </c>
      <c r="G921" s="40">
        <f t="shared" ca="1" si="74"/>
        <v>0</v>
      </c>
    </row>
    <row r="922" spans="1:7" x14ac:dyDescent="0.25">
      <c r="A922" s="17">
        <f t="shared" si="70"/>
        <v>81</v>
      </c>
      <c r="B922" t="str">
        <f ca="1">TEXT(DATE(YEAR(Invoer!$A$5),1,1)+INT((ROWS(B$2:B922)-1)/3),"jjjjmmdd")</f>
        <v>19401102</v>
      </c>
      <c r="C922" s="35" t="str">
        <f>INDEX(Data,2,2+MOD(ROWS(C$2:C922)-1,3))</f>
        <v>19.45</v>
      </c>
      <c r="D922" s="23">
        <f t="shared" ca="1" si="71"/>
        <v>747</v>
      </c>
      <c r="E922" s="40">
        <f t="shared" ca="1" si="72"/>
        <v>0</v>
      </c>
      <c r="F922" s="23">
        <f t="shared" ca="1" si="73"/>
        <v>30</v>
      </c>
      <c r="G922" s="40">
        <f t="shared" ca="1" si="74"/>
        <v>0</v>
      </c>
    </row>
    <row r="923" spans="1:7" x14ac:dyDescent="0.25">
      <c r="A923" s="17">
        <f t="shared" si="70"/>
        <v>81</v>
      </c>
      <c r="B923" t="str">
        <f ca="1">TEXT(DATE(YEAR(Invoer!$A$5),1,1)+INT((ROWS(B$2:B923)-1)/3),"jjjjmmdd")</f>
        <v>19401103</v>
      </c>
      <c r="C923" s="35" t="str">
        <f>INDEX(Data,2,2+MOD(ROWS(C$2:C923)-1,3))</f>
        <v>07.45</v>
      </c>
      <c r="D923" s="23">
        <f t="shared" ca="1" si="71"/>
        <v>747</v>
      </c>
      <c r="E923" s="40">
        <f t="shared" ca="1" si="72"/>
        <v>0</v>
      </c>
      <c r="F923" s="23">
        <f t="shared" ca="1" si="73"/>
        <v>28</v>
      </c>
      <c r="G923" s="40">
        <f t="shared" ca="1" si="74"/>
        <v>0</v>
      </c>
    </row>
    <row r="924" spans="1:7" x14ac:dyDescent="0.25">
      <c r="A924" s="17">
        <f t="shared" si="70"/>
        <v>81</v>
      </c>
      <c r="B924" t="str">
        <f ca="1">TEXT(DATE(YEAR(Invoer!$A$5),1,1)+INT((ROWS(B$2:B924)-1)/3),"jjjjmmdd")</f>
        <v>19401103</v>
      </c>
      <c r="C924" s="35" t="str">
        <f>INDEX(Data,2,2+MOD(ROWS(C$2:C924)-1,3))</f>
        <v>13.45</v>
      </c>
      <c r="D924" s="23">
        <f t="shared" ca="1" si="71"/>
        <v>746</v>
      </c>
      <c r="E924" s="40">
        <f t="shared" ca="1" si="72"/>
        <v>0</v>
      </c>
      <c r="F924" s="23">
        <f t="shared" ca="1" si="73"/>
        <v>30</v>
      </c>
      <c r="G924" s="40">
        <f t="shared" ca="1" si="74"/>
        <v>0</v>
      </c>
    </row>
    <row r="925" spans="1:7" x14ac:dyDescent="0.25">
      <c r="A925" s="17">
        <f t="shared" si="70"/>
        <v>81</v>
      </c>
      <c r="B925" t="str">
        <f ca="1">TEXT(DATE(YEAR(Invoer!$A$5),1,1)+INT((ROWS(B$2:B925)-1)/3),"jjjjmmdd")</f>
        <v>19401103</v>
      </c>
      <c r="C925" s="35" t="str">
        <f>INDEX(Data,2,2+MOD(ROWS(C$2:C925)-1,3))</f>
        <v>19.45</v>
      </c>
      <c r="D925" s="23">
        <f t="shared" ca="1" si="71"/>
        <v>746</v>
      </c>
      <c r="E925" s="40">
        <f t="shared" ca="1" si="72"/>
        <v>0</v>
      </c>
      <c r="F925" s="23">
        <f t="shared" ca="1" si="73"/>
        <v>29</v>
      </c>
      <c r="G925" s="40">
        <f t="shared" ca="1" si="74"/>
        <v>0</v>
      </c>
    </row>
    <row r="926" spans="1:7" x14ac:dyDescent="0.25">
      <c r="A926" s="17">
        <f t="shared" si="70"/>
        <v>81</v>
      </c>
      <c r="B926" t="str">
        <f ca="1">TEXT(DATE(YEAR(Invoer!$A$5),1,1)+INT((ROWS(B$2:B926)-1)/3),"jjjjmmdd")</f>
        <v>19401104</v>
      </c>
      <c r="C926" s="35" t="str">
        <f>INDEX(Data,2,2+MOD(ROWS(C$2:C926)-1,3))</f>
        <v>07.45</v>
      </c>
      <c r="D926" s="23">
        <f t="shared" ca="1" si="71"/>
        <v>745</v>
      </c>
      <c r="E926" s="40">
        <f t="shared" ca="1" si="72"/>
        <v>0</v>
      </c>
      <c r="F926" s="23">
        <f t="shared" ca="1" si="73"/>
        <v>28</v>
      </c>
      <c r="G926" s="40">
        <f t="shared" ca="1" si="74"/>
        <v>0</v>
      </c>
    </row>
    <row r="927" spans="1:7" x14ac:dyDescent="0.25">
      <c r="A927" s="17">
        <f t="shared" si="70"/>
        <v>81</v>
      </c>
      <c r="B927" t="str">
        <f ca="1">TEXT(DATE(YEAR(Invoer!$A$5),1,1)+INT((ROWS(B$2:B927)-1)/3),"jjjjmmdd")</f>
        <v>19401104</v>
      </c>
      <c r="C927" s="35" t="str">
        <f>INDEX(Data,2,2+MOD(ROWS(C$2:C927)-1,3))</f>
        <v>13.45</v>
      </c>
      <c r="D927" s="23">
        <f t="shared" ca="1" si="71"/>
        <v>745</v>
      </c>
      <c r="E927" s="40">
        <f t="shared" ca="1" si="72"/>
        <v>0</v>
      </c>
      <c r="F927" s="23">
        <f t="shared" ca="1" si="73"/>
        <v>29</v>
      </c>
      <c r="G927" s="40">
        <f t="shared" ca="1" si="74"/>
        <v>0</v>
      </c>
    </row>
    <row r="928" spans="1:7" x14ac:dyDescent="0.25">
      <c r="A928" s="17">
        <f t="shared" si="70"/>
        <v>81</v>
      </c>
      <c r="B928" t="str">
        <f ca="1">TEXT(DATE(YEAR(Invoer!$A$5),1,1)+INT((ROWS(B$2:B928)-1)/3),"jjjjmmdd")</f>
        <v>19401104</v>
      </c>
      <c r="C928" s="35" t="str">
        <f>INDEX(Data,2,2+MOD(ROWS(C$2:C928)-1,3))</f>
        <v>19.45</v>
      </c>
      <c r="D928" s="23">
        <f t="shared" ca="1" si="71"/>
        <v>745</v>
      </c>
      <c r="E928" s="40">
        <f t="shared" ca="1" si="72"/>
        <v>0</v>
      </c>
      <c r="F928" s="23">
        <f t="shared" ca="1" si="73"/>
        <v>28</v>
      </c>
      <c r="G928" s="40">
        <f t="shared" ca="1" si="74"/>
        <v>0</v>
      </c>
    </row>
    <row r="929" spans="1:7" x14ac:dyDescent="0.25">
      <c r="A929" s="17">
        <f t="shared" si="70"/>
        <v>81</v>
      </c>
      <c r="B929" t="str">
        <f ca="1">TEXT(DATE(YEAR(Invoer!$A$5),1,1)+INT((ROWS(B$2:B929)-1)/3),"jjjjmmdd")</f>
        <v>19401105</v>
      </c>
      <c r="C929" s="35" t="str">
        <f>INDEX(Data,2,2+MOD(ROWS(C$2:C929)-1,3))</f>
        <v>07.45</v>
      </c>
      <c r="D929" s="23">
        <f t="shared" ca="1" si="71"/>
        <v>745</v>
      </c>
      <c r="E929" s="40">
        <f t="shared" ca="1" si="72"/>
        <v>0</v>
      </c>
      <c r="F929" s="23">
        <f t="shared" ca="1" si="73"/>
        <v>26</v>
      </c>
      <c r="G929" s="40">
        <f t="shared" ca="1" si="74"/>
        <v>0</v>
      </c>
    </row>
    <row r="930" spans="1:7" x14ac:dyDescent="0.25">
      <c r="A930" s="17">
        <f t="shared" si="70"/>
        <v>81</v>
      </c>
      <c r="B930" t="str">
        <f ca="1">TEXT(DATE(YEAR(Invoer!$A$5),1,1)+INT((ROWS(B$2:B930)-1)/3),"jjjjmmdd")</f>
        <v>19401105</v>
      </c>
      <c r="C930" s="35" t="str">
        <f>INDEX(Data,2,2+MOD(ROWS(C$2:C930)-1,3))</f>
        <v>13.45</v>
      </c>
      <c r="D930" s="23">
        <f t="shared" ca="1" si="71"/>
        <v>745</v>
      </c>
      <c r="E930" s="40">
        <f t="shared" ca="1" si="72"/>
        <v>0</v>
      </c>
      <c r="F930" s="23">
        <f t="shared" ca="1" si="73"/>
        <v>30</v>
      </c>
      <c r="G930" s="40">
        <f t="shared" ca="1" si="74"/>
        <v>0</v>
      </c>
    </row>
    <row r="931" spans="1:7" x14ac:dyDescent="0.25">
      <c r="A931" s="17">
        <f t="shared" si="70"/>
        <v>81</v>
      </c>
      <c r="B931" t="str">
        <f ca="1">TEXT(DATE(YEAR(Invoer!$A$5),1,1)+INT((ROWS(B$2:B931)-1)/3),"jjjjmmdd")</f>
        <v>19401105</v>
      </c>
      <c r="C931" s="35" t="str">
        <f>INDEX(Data,2,2+MOD(ROWS(C$2:C931)-1,3))</f>
        <v>19.45</v>
      </c>
      <c r="D931" s="23">
        <f t="shared" ca="1" si="71"/>
        <v>745</v>
      </c>
      <c r="E931" s="40">
        <f t="shared" ca="1" si="72"/>
        <v>0</v>
      </c>
      <c r="F931" s="23">
        <f t="shared" ca="1" si="73"/>
        <v>28</v>
      </c>
      <c r="G931" s="40">
        <f t="shared" ca="1" si="74"/>
        <v>0</v>
      </c>
    </row>
    <row r="932" spans="1:7" x14ac:dyDescent="0.25">
      <c r="A932" s="17">
        <f t="shared" si="70"/>
        <v>81</v>
      </c>
      <c r="B932" t="str">
        <f ca="1">TEXT(DATE(YEAR(Invoer!$A$5),1,1)+INT((ROWS(B$2:B932)-1)/3),"jjjjmmdd")</f>
        <v>19401106</v>
      </c>
      <c r="C932" s="35" t="str">
        <f>INDEX(Data,2,2+MOD(ROWS(C$2:C932)-1,3))</f>
        <v>07.45</v>
      </c>
      <c r="D932" s="23">
        <f t="shared" ca="1" si="71"/>
        <v>745</v>
      </c>
      <c r="E932" s="40">
        <f t="shared" ca="1" si="72"/>
        <v>0</v>
      </c>
      <c r="F932" s="23">
        <f t="shared" ca="1" si="73"/>
        <v>27</v>
      </c>
      <c r="G932" s="40">
        <f t="shared" ca="1" si="74"/>
        <v>0</v>
      </c>
    </row>
    <row r="933" spans="1:7" x14ac:dyDescent="0.25">
      <c r="A933" s="17">
        <f t="shared" si="70"/>
        <v>81</v>
      </c>
      <c r="B933" t="str">
        <f ca="1">TEXT(DATE(YEAR(Invoer!$A$5),1,1)+INT((ROWS(B$2:B933)-1)/3),"jjjjmmdd")</f>
        <v>19401106</v>
      </c>
      <c r="C933" s="35" t="str">
        <f>INDEX(Data,2,2+MOD(ROWS(C$2:C933)-1,3))</f>
        <v>13.45</v>
      </c>
      <c r="D933" s="23">
        <f t="shared" ca="1" si="71"/>
        <v>745</v>
      </c>
      <c r="E933" s="40">
        <f t="shared" ca="1" si="72"/>
        <v>0</v>
      </c>
      <c r="F933" s="23">
        <f t="shared" ca="1" si="73"/>
        <v>31</v>
      </c>
      <c r="G933" s="40">
        <f t="shared" ca="1" si="74"/>
        <v>0</v>
      </c>
    </row>
    <row r="934" spans="1:7" x14ac:dyDescent="0.25">
      <c r="A934" s="17">
        <f t="shared" si="70"/>
        <v>81</v>
      </c>
      <c r="B934" t="str">
        <f ca="1">TEXT(DATE(YEAR(Invoer!$A$5),1,1)+INT((ROWS(B$2:B934)-1)/3),"jjjjmmdd")</f>
        <v>19401106</v>
      </c>
      <c r="C934" s="35" t="str">
        <f>INDEX(Data,2,2+MOD(ROWS(C$2:C934)-1,3))</f>
        <v>19.45</v>
      </c>
      <c r="D934" s="23">
        <f t="shared" ca="1" si="71"/>
        <v>745</v>
      </c>
      <c r="E934" s="40">
        <f t="shared" ca="1" si="72"/>
        <v>0</v>
      </c>
      <c r="F934" s="23">
        <f t="shared" ca="1" si="73"/>
        <v>29</v>
      </c>
      <c r="G934" s="40">
        <f t="shared" ca="1" si="74"/>
        <v>0</v>
      </c>
    </row>
    <row r="935" spans="1:7" x14ac:dyDescent="0.25">
      <c r="A935" s="17">
        <f t="shared" si="70"/>
        <v>81</v>
      </c>
      <c r="B935" t="str">
        <f ca="1">TEXT(DATE(YEAR(Invoer!$A$5),1,1)+INT((ROWS(B$2:B935)-1)/3),"jjjjmmdd")</f>
        <v>19401107</v>
      </c>
      <c r="C935" s="35" t="str">
        <f>INDEX(Data,2,2+MOD(ROWS(C$2:C935)-1,3))</f>
        <v>07.45</v>
      </c>
      <c r="D935" s="23">
        <f t="shared" ca="1" si="71"/>
        <v>746</v>
      </c>
      <c r="E935" s="40">
        <f t="shared" ca="1" si="72"/>
        <v>0</v>
      </c>
      <c r="F935" s="23">
        <f t="shared" ca="1" si="73"/>
        <v>27</v>
      </c>
      <c r="G935" s="40">
        <f t="shared" ca="1" si="74"/>
        <v>0</v>
      </c>
    </row>
    <row r="936" spans="1:7" x14ac:dyDescent="0.25">
      <c r="A936" s="17">
        <f t="shared" si="70"/>
        <v>81</v>
      </c>
      <c r="B936" t="str">
        <f ca="1">TEXT(DATE(YEAR(Invoer!$A$5),1,1)+INT((ROWS(B$2:B936)-1)/3),"jjjjmmdd")</f>
        <v>19401107</v>
      </c>
      <c r="C936" s="35" t="str">
        <f>INDEX(Data,2,2+MOD(ROWS(C$2:C936)-1,3))</f>
        <v>13.45</v>
      </c>
      <c r="D936" s="23">
        <f t="shared" ca="1" si="71"/>
        <v>746</v>
      </c>
      <c r="E936" s="40">
        <f t="shared" ca="1" si="72"/>
        <v>0</v>
      </c>
      <c r="F936" s="23">
        <f t="shared" ca="1" si="73"/>
        <v>30</v>
      </c>
      <c r="G936" s="40">
        <f t="shared" ca="1" si="74"/>
        <v>0</v>
      </c>
    </row>
    <row r="937" spans="1:7" x14ac:dyDescent="0.25">
      <c r="A937" s="17">
        <f t="shared" si="70"/>
        <v>81</v>
      </c>
      <c r="B937" t="str">
        <f ca="1">TEXT(DATE(YEAR(Invoer!$A$5),1,1)+INT((ROWS(B$2:B937)-1)/3),"jjjjmmdd")</f>
        <v>19401107</v>
      </c>
      <c r="C937" s="35" t="str">
        <f>INDEX(Data,2,2+MOD(ROWS(C$2:C937)-1,3))</f>
        <v>19.45</v>
      </c>
      <c r="D937" s="23">
        <f t="shared" ca="1" si="71"/>
        <v>746</v>
      </c>
      <c r="E937" s="40">
        <f t="shared" ca="1" si="72"/>
        <v>0</v>
      </c>
      <c r="F937" s="23">
        <f t="shared" ca="1" si="73"/>
        <v>29</v>
      </c>
      <c r="G937" s="40">
        <f t="shared" ca="1" si="74"/>
        <v>0</v>
      </c>
    </row>
    <row r="938" spans="1:7" x14ac:dyDescent="0.25">
      <c r="A938" s="17">
        <f t="shared" si="70"/>
        <v>81</v>
      </c>
      <c r="B938" t="str">
        <f ca="1">TEXT(DATE(YEAR(Invoer!$A$5),1,1)+INT((ROWS(B$2:B938)-1)/3),"jjjjmmdd")</f>
        <v>19401108</v>
      </c>
      <c r="C938" s="35" t="str">
        <f>INDEX(Data,2,2+MOD(ROWS(C$2:C938)-1,3))</f>
        <v>07.45</v>
      </c>
      <c r="D938" s="23">
        <f t="shared" ca="1" si="71"/>
        <v>746</v>
      </c>
      <c r="E938" s="40">
        <f t="shared" ca="1" si="72"/>
        <v>0</v>
      </c>
      <c r="F938" s="23">
        <f t="shared" ca="1" si="73"/>
        <v>28</v>
      </c>
      <c r="G938" s="40">
        <f t="shared" ca="1" si="74"/>
        <v>0</v>
      </c>
    </row>
    <row r="939" spans="1:7" x14ac:dyDescent="0.25">
      <c r="A939" s="17">
        <f t="shared" si="70"/>
        <v>81</v>
      </c>
      <c r="B939" t="str">
        <f ca="1">TEXT(DATE(YEAR(Invoer!$A$5),1,1)+INT((ROWS(B$2:B939)-1)/3),"jjjjmmdd")</f>
        <v>19401108</v>
      </c>
      <c r="C939" s="35" t="str">
        <f>INDEX(Data,2,2+MOD(ROWS(C$2:C939)-1,3))</f>
        <v>13.45</v>
      </c>
      <c r="D939" s="23">
        <f t="shared" ca="1" si="71"/>
        <v>746</v>
      </c>
      <c r="E939" s="40">
        <f t="shared" ca="1" si="72"/>
        <v>0</v>
      </c>
      <c r="F939" s="23">
        <f t="shared" ca="1" si="73"/>
        <v>31</v>
      </c>
      <c r="G939" s="40">
        <f t="shared" ca="1" si="74"/>
        <v>0</v>
      </c>
    </row>
    <row r="940" spans="1:7" x14ac:dyDescent="0.25">
      <c r="A940" s="17">
        <f t="shared" si="70"/>
        <v>81</v>
      </c>
      <c r="B940" t="str">
        <f ca="1">TEXT(DATE(YEAR(Invoer!$A$5),1,1)+INT((ROWS(B$2:B940)-1)/3),"jjjjmmdd")</f>
        <v>19401108</v>
      </c>
      <c r="C940" s="35" t="str">
        <f>INDEX(Data,2,2+MOD(ROWS(C$2:C940)-1,3))</f>
        <v>19.45</v>
      </c>
      <c r="D940" s="23">
        <f t="shared" ca="1" si="71"/>
        <v>746</v>
      </c>
      <c r="E940" s="40">
        <f t="shared" ca="1" si="72"/>
        <v>0</v>
      </c>
      <c r="F940" s="23">
        <f t="shared" ca="1" si="73"/>
        <v>30</v>
      </c>
      <c r="G940" s="40">
        <f t="shared" ca="1" si="74"/>
        <v>0</v>
      </c>
    </row>
    <row r="941" spans="1:7" x14ac:dyDescent="0.25">
      <c r="A941" s="17">
        <f t="shared" si="70"/>
        <v>81</v>
      </c>
      <c r="B941" t="str">
        <f ca="1">TEXT(DATE(YEAR(Invoer!$A$5),1,1)+INT((ROWS(B$2:B941)-1)/3),"jjjjmmdd")</f>
        <v>19401109</v>
      </c>
      <c r="C941" s="35" t="str">
        <f>INDEX(Data,2,2+MOD(ROWS(C$2:C941)-1,3))</f>
        <v>07.45</v>
      </c>
      <c r="D941" s="23">
        <f t="shared" ca="1" si="71"/>
        <v>746</v>
      </c>
      <c r="E941" s="40">
        <f t="shared" ca="1" si="72"/>
        <v>0</v>
      </c>
      <c r="F941" s="23">
        <f t="shared" ca="1" si="73"/>
        <v>28</v>
      </c>
      <c r="G941" s="40">
        <f t="shared" ca="1" si="74"/>
        <v>0</v>
      </c>
    </row>
    <row r="942" spans="1:7" x14ac:dyDescent="0.25">
      <c r="A942" s="17">
        <f t="shared" si="70"/>
        <v>81</v>
      </c>
      <c r="B942" t="str">
        <f ca="1">TEXT(DATE(YEAR(Invoer!$A$5),1,1)+INT((ROWS(B$2:B942)-1)/3),"jjjjmmdd")</f>
        <v>19401109</v>
      </c>
      <c r="C942" s="35" t="str">
        <f>INDEX(Data,2,2+MOD(ROWS(C$2:C942)-1,3))</f>
        <v>13.45</v>
      </c>
      <c r="D942" s="23">
        <f t="shared" ca="1" si="71"/>
        <v>747</v>
      </c>
      <c r="E942" s="40">
        <f t="shared" ca="1" si="72"/>
        <v>0</v>
      </c>
      <c r="F942" s="23">
        <f t="shared" ca="1" si="73"/>
        <v>31</v>
      </c>
      <c r="G942" s="40">
        <f t="shared" ca="1" si="74"/>
        <v>0</v>
      </c>
    </row>
    <row r="943" spans="1:7" x14ac:dyDescent="0.25">
      <c r="A943" s="17">
        <f t="shared" si="70"/>
        <v>81</v>
      </c>
      <c r="B943" t="str">
        <f ca="1">TEXT(DATE(YEAR(Invoer!$A$5),1,1)+INT((ROWS(B$2:B943)-1)/3),"jjjjmmdd")</f>
        <v>19401109</v>
      </c>
      <c r="C943" s="35" t="str">
        <f>INDEX(Data,2,2+MOD(ROWS(C$2:C943)-1,3))</f>
        <v>19.45</v>
      </c>
      <c r="D943" s="23">
        <f t="shared" ca="1" si="71"/>
        <v>747</v>
      </c>
      <c r="E943" s="40">
        <f t="shared" ca="1" si="72"/>
        <v>0</v>
      </c>
      <c r="F943" s="23">
        <f t="shared" ca="1" si="73"/>
        <v>30</v>
      </c>
      <c r="G943" s="40">
        <f t="shared" ca="1" si="74"/>
        <v>0</v>
      </c>
    </row>
    <row r="944" spans="1:7" x14ac:dyDescent="0.25">
      <c r="A944" s="17">
        <f t="shared" si="70"/>
        <v>81</v>
      </c>
      <c r="B944" t="str">
        <f ca="1">TEXT(DATE(YEAR(Invoer!$A$5),1,1)+INT((ROWS(B$2:B944)-1)/3),"jjjjmmdd")</f>
        <v>19401110</v>
      </c>
      <c r="C944" s="35" t="str">
        <f>INDEX(Data,2,2+MOD(ROWS(C$2:C944)-1,3))</f>
        <v>07.45</v>
      </c>
      <c r="D944" s="23">
        <f t="shared" ca="1" si="71"/>
        <v>748</v>
      </c>
      <c r="E944" s="40">
        <f t="shared" ca="1" si="72"/>
        <v>0</v>
      </c>
      <c r="F944" s="23">
        <f t="shared" ca="1" si="73"/>
        <v>28</v>
      </c>
      <c r="G944" s="40">
        <f t="shared" ca="1" si="74"/>
        <v>0</v>
      </c>
    </row>
    <row r="945" spans="1:7" x14ac:dyDescent="0.25">
      <c r="A945" s="17">
        <f t="shared" si="70"/>
        <v>81</v>
      </c>
      <c r="B945" t="str">
        <f ca="1">TEXT(DATE(YEAR(Invoer!$A$5),1,1)+INT((ROWS(B$2:B945)-1)/3),"jjjjmmdd")</f>
        <v>19401110</v>
      </c>
      <c r="C945" s="35" t="str">
        <f>INDEX(Data,2,2+MOD(ROWS(C$2:C945)-1,3))</f>
        <v>13.45</v>
      </c>
      <c r="D945" s="23">
        <f t="shared" ca="1" si="71"/>
        <v>748</v>
      </c>
      <c r="E945" s="40">
        <f t="shared" ca="1" si="72"/>
        <v>0</v>
      </c>
      <c r="F945" s="23">
        <f t="shared" ca="1" si="73"/>
        <v>30</v>
      </c>
      <c r="G945" s="40">
        <f t="shared" ca="1" si="74"/>
        <v>0</v>
      </c>
    </row>
    <row r="946" spans="1:7" x14ac:dyDescent="0.25">
      <c r="A946" s="17">
        <f t="shared" si="70"/>
        <v>81</v>
      </c>
      <c r="B946" t="str">
        <f ca="1">TEXT(DATE(YEAR(Invoer!$A$5),1,1)+INT((ROWS(B$2:B946)-1)/3),"jjjjmmdd")</f>
        <v>19401110</v>
      </c>
      <c r="C946" s="35" t="str">
        <f>INDEX(Data,2,2+MOD(ROWS(C$2:C946)-1,3))</f>
        <v>19.45</v>
      </c>
      <c r="D946" s="23">
        <f t="shared" ca="1" si="71"/>
        <v>748</v>
      </c>
      <c r="E946" s="40">
        <f t="shared" ca="1" si="72"/>
        <v>0</v>
      </c>
      <c r="F946" s="23">
        <f t="shared" ca="1" si="73"/>
        <v>29</v>
      </c>
      <c r="G946" s="40">
        <f t="shared" ca="1" si="74"/>
        <v>0</v>
      </c>
    </row>
    <row r="947" spans="1:7" x14ac:dyDescent="0.25">
      <c r="A947" s="17">
        <f t="shared" si="70"/>
        <v>81</v>
      </c>
      <c r="B947" t="str">
        <f ca="1">TEXT(DATE(YEAR(Invoer!$A$5),1,1)+INT((ROWS(B$2:B947)-1)/3),"jjjjmmdd")</f>
        <v>19401111</v>
      </c>
      <c r="C947" s="35" t="str">
        <f>INDEX(Data,2,2+MOD(ROWS(C$2:C947)-1,3))</f>
        <v>07.45</v>
      </c>
      <c r="D947" s="23">
        <f t="shared" ca="1" si="71"/>
        <v>748</v>
      </c>
      <c r="E947" s="40">
        <f t="shared" ca="1" si="72"/>
        <v>0</v>
      </c>
      <c r="F947" s="23">
        <f t="shared" ca="1" si="73"/>
        <v>26</v>
      </c>
      <c r="G947" s="40">
        <f t="shared" ca="1" si="74"/>
        <v>0</v>
      </c>
    </row>
    <row r="948" spans="1:7" x14ac:dyDescent="0.25">
      <c r="A948" s="17">
        <f t="shared" si="70"/>
        <v>81</v>
      </c>
      <c r="B948" t="str">
        <f ca="1">TEXT(DATE(YEAR(Invoer!$A$5),1,1)+INT((ROWS(B$2:B948)-1)/3),"jjjjmmdd")</f>
        <v>19401111</v>
      </c>
      <c r="C948" s="35" t="str">
        <f>INDEX(Data,2,2+MOD(ROWS(C$2:C948)-1,3))</f>
        <v>13.45</v>
      </c>
      <c r="D948" s="23">
        <f t="shared" ca="1" si="71"/>
        <v>748</v>
      </c>
      <c r="E948" s="40">
        <f t="shared" ca="1" si="72"/>
        <v>0</v>
      </c>
      <c r="F948" s="23">
        <f t="shared" ca="1" si="73"/>
        <v>29</v>
      </c>
      <c r="G948" s="40">
        <f t="shared" ca="1" si="74"/>
        <v>0</v>
      </c>
    </row>
    <row r="949" spans="1:7" x14ac:dyDescent="0.25">
      <c r="A949" s="17">
        <f t="shared" si="70"/>
        <v>81</v>
      </c>
      <c r="B949" t="str">
        <f ca="1">TEXT(DATE(YEAR(Invoer!$A$5),1,1)+INT((ROWS(B$2:B949)-1)/3),"jjjjmmdd")</f>
        <v>19401111</v>
      </c>
      <c r="C949" s="35" t="str">
        <f>INDEX(Data,2,2+MOD(ROWS(C$2:C949)-1,3))</f>
        <v>19.45</v>
      </c>
      <c r="D949" s="23">
        <f t="shared" ca="1" si="71"/>
        <v>748</v>
      </c>
      <c r="E949" s="40">
        <f t="shared" ca="1" si="72"/>
        <v>0</v>
      </c>
      <c r="F949" s="23">
        <f t="shared" ca="1" si="73"/>
        <v>28</v>
      </c>
      <c r="G949" s="40">
        <f t="shared" ca="1" si="74"/>
        <v>0</v>
      </c>
    </row>
    <row r="950" spans="1:7" x14ac:dyDescent="0.25">
      <c r="A950" s="17">
        <f t="shared" si="70"/>
        <v>81</v>
      </c>
      <c r="B950" t="str">
        <f ca="1">TEXT(DATE(YEAR(Invoer!$A$5),1,1)+INT((ROWS(B$2:B950)-1)/3),"jjjjmmdd")</f>
        <v>19401112</v>
      </c>
      <c r="C950" s="35" t="str">
        <f>INDEX(Data,2,2+MOD(ROWS(C$2:C950)-1,3))</f>
        <v>07.45</v>
      </c>
      <c r="D950" s="23">
        <f t="shared" ca="1" si="71"/>
        <v>747</v>
      </c>
      <c r="E950" s="40">
        <f t="shared" ca="1" si="72"/>
        <v>0</v>
      </c>
      <c r="F950" s="23">
        <f t="shared" ca="1" si="73"/>
        <v>26</v>
      </c>
      <c r="G950" s="40">
        <f t="shared" ca="1" si="74"/>
        <v>0</v>
      </c>
    </row>
    <row r="951" spans="1:7" x14ac:dyDescent="0.25">
      <c r="A951" s="17">
        <f t="shared" si="70"/>
        <v>81</v>
      </c>
      <c r="B951" t="str">
        <f ca="1">TEXT(DATE(YEAR(Invoer!$A$5),1,1)+INT((ROWS(B$2:B951)-1)/3),"jjjjmmdd")</f>
        <v>19401112</v>
      </c>
      <c r="C951" s="35" t="str">
        <f>INDEX(Data,2,2+MOD(ROWS(C$2:C951)-1,3))</f>
        <v>13.45</v>
      </c>
      <c r="D951" s="23">
        <f t="shared" ca="1" si="71"/>
        <v>746</v>
      </c>
      <c r="E951" s="40">
        <f t="shared" ca="1" si="72"/>
        <v>0</v>
      </c>
      <c r="F951" s="23">
        <f t="shared" ca="1" si="73"/>
        <v>29</v>
      </c>
      <c r="G951" s="40">
        <f t="shared" ca="1" si="74"/>
        <v>0</v>
      </c>
    </row>
    <row r="952" spans="1:7" x14ac:dyDescent="0.25">
      <c r="A952" s="17">
        <f t="shared" si="70"/>
        <v>81</v>
      </c>
      <c r="B952" t="str">
        <f ca="1">TEXT(DATE(YEAR(Invoer!$A$5),1,1)+INT((ROWS(B$2:B952)-1)/3),"jjjjmmdd")</f>
        <v>19401112</v>
      </c>
      <c r="C952" s="35" t="str">
        <f>INDEX(Data,2,2+MOD(ROWS(C$2:C952)-1,3))</f>
        <v>19.45</v>
      </c>
      <c r="D952" s="23">
        <f t="shared" ca="1" si="71"/>
        <v>745</v>
      </c>
      <c r="E952" s="40">
        <f t="shared" ca="1" si="72"/>
        <v>0</v>
      </c>
      <c r="F952" s="23">
        <f t="shared" ca="1" si="73"/>
        <v>28</v>
      </c>
      <c r="G952" s="40">
        <f t="shared" ca="1" si="74"/>
        <v>0</v>
      </c>
    </row>
    <row r="953" spans="1:7" x14ac:dyDescent="0.25">
      <c r="A953" s="17">
        <f t="shared" si="70"/>
        <v>81</v>
      </c>
      <c r="B953" t="str">
        <f ca="1">TEXT(DATE(YEAR(Invoer!$A$5),1,1)+INT((ROWS(B$2:B953)-1)/3),"jjjjmmdd")</f>
        <v>19401113</v>
      </c>
      <c r="C953" s="35" t="str">
        <f>INDEX(Data,2,2+MOD(ROWS(C$2:C953)-1,3))</f>
        <v>07.45</v>
      </c>
      <c r="D953" s="23">
        <f t="shared" ca="1" si="71"/>
        <v>745</v>
      </c>
      <c r="E953" s="40">
        <f t="shared" ca="1" si="72"/>
        <v>0</v>
      </c>
      <c r="F953" s="23">
        <f t="shared" ca="1" si="73"/>
        <v>26</v>
      </c>
      <c r="G953" s="40">
        <f t="shared" ca="1" si="74"/>
        <v>0</v>
      </c>
    </row>
    <row r="954" spans="1:7" x14ac:dyDescent="0.25">
      <c r="A954" s="17">
        <f t="shared" si="70"/>
        <v>81</v>
      </c>
      <c r="B954" t="str">
        <f ca="1">TEXT(DATE(YEAR(Invoer!$A$5),1,1)+INT((ROWS(B$2:B954)-1)/3),"jjjjmmdd")</f>
        <v>19401113</v>
      </c>
      <c r="C954" s="35" t="str">
        <f>INDEX(Data,2,2+MOD(ROWS(C$2:C954)-1,3))</f>
        <v>13.45</v>
      </c>
      <c r="D954" s="23">
        <f t="shared" ca="1" si="71"/>
        <v>745</v>
      </c>
      <c r="E954" s="40">
        <f t="shared" ca="1" si="72"/>
        <v>0</v>
      </c>
      <c r="F954" s="23">
        <f t="shared" ca="1" si="73"/>
        <v>29</v>
      </c>
      <c r="G954" s="40">
        <f t="shared" ca="1" si="74"/>
        <v>0</v>
      </c>
    </row>
    <row r="955" spans="1:7" x14ac:dyDescent="0.25">
      <c r="A955" s="17">
        <f t="shared" si="70"/>
        <v>81</v>
      </c>
      <c r="B955" t="str">
        <f ca="1">TEXT(DATE(YEAR(Invoer!$A$5),1,1)+INT((ROWS(B$2:B955)-1)/3),"jjjjmmdd")</f>
        <v>19401113</v>
      </c>
      <c r="C955" s="35" t="str">
        <f>INDEX(Data,2,2+MOD(ROWS(C$2:C955)-1,3))</f>
        <v>19.45</v>
      </c>
      <c r="D955" s="23">
        <f t="shared" ca="1" si="71"/>
        <v>745</v>
      </c>
      <c r="E955" s="40">
        <f t="shared" ca="1" si="72"/>
        <v>0</v>
      </c>
      <c r="F955" s="23">
        <f t="shared" ca="1" si="73"/>
        <v>28</v>
      </c>
      <c r="G955" s="40">
        <f t="shared" ca="1" si="74"/>
        <v>0</v>
      </c>
    </row>
    <row r="956" spans="1:7" x14ac:dyDescent="0.25">
      <c r="A956" s="17">
        <f t="shared" si="70"/>
        <v>81</v>
      </c>
      <c r="B956" t="str">
        <f ca="1">TEXT(DATE(YEAR(Invoer!$A$5),1,1)+INT((ROWS(B$2:B956)-1)/3),"jjjjmmdd")</f>
        <v>19401114</v>
      </c>
      <c r="C956" s="35" t="str">
        <f>INDEX(Data,2,2+MOD(ROWS(C$2:C956)-1,3))</f>
        <v>07.45</v>
      </c>
      <c r="D956" s="23">
        <f t="shared" ca="1" si="71"/>
        <v>746</v>
      </c>
      <c r="E956" s="40">
        <f t="shared" ca="1" si="72"/>
        <v>0</v>
      </c>
      <c r="F956" s="23">
        <f t="shared" ca="1" si="73"/>
        <v>26</v>
      </c>
      <c r="G956" s="40">
        <f t="shared" ca="1" si="74"/>
        <v>0</v>
      </c>
    </row>
    <row r="957" spans="1:7" x14ac:dyDescent="0.25">
      <c r="A957" s="17">
        <f t="shared" si="70"/>
        <v>81</v>
      </c>
      <c r="B957" t="str">
        <f ca="1">TEXT(DATE(YEAR(Invoer!$A$5),1,1)+INT((ROWS(B$2:B957)-1)/3),"jjjjmmdd")</f>
        <v>19401114</v>
      </c>
      <c r="C957" s="35" t="str">
        <f>INDEX(Data,2,2+MOD(ROWS(C$2:C957)-1,3))</f>
        <v>13.45</v>
      </c>
      <c r="D957" s="23">
        <f t="shared" ca="1" si="71"/>
        <v>746</v>
      </c>
      <c r="E957" s="40">
        <f t="shared" ca="1" si="72"/>
        <v>0</v>
      </c>
      <c r="F957" s="23">
        <f t="shared" ca="1" si="73"/>
        <v>29</v>
      </c>
      <c r="G957" s="40">
        <f t="shared" ca="1" si="74"/>
        <v>0</v>
      </c>
    </row>
    <row r="958" spans="1:7" x14ac:dyDescent="0.25">
      <c r="A958" s="17">
        <f t="shared" si="70"/>
        <v>81</v>
      </c>
      <c r="B958" t="str">
        <f ca="1">TEXT(DATE(YEAR(Invoer!$A$5),1,1)+INT((ROWS(B$2:B958)-1)/3),"jjjjmmdd")</f>
        <v>19401114</v>
      </c>
      <c r="C958" s="35" t="str">
        <f>INDEX(Data,2,2+MOD(ROWS(C$2:C958)-1,3))</f>
        <v>19.45</v>
      </c>
      <c r="D958" s="23">
        <f t="shared" ca="1" si="71"/>
        <v>747</v>
      </c>
      <c r="E958" s="40">
        <f t="shared" ca="1" si="72"/>
        <v>0</v>
      </c>
      <c r="F958" s="23">
        <f t="shared" ca="1" si="73"/>
        <v>28</v>
      </c>
      <c r="G958" s="40">
        <f t="shared" ca="1" si="74"/>
        <v>0</v>
      </c>
    </row>
    <row r="959" spans="1:7" x14ac:dyDescent="0.25">
      <c r="A959" s="17">
        <f t="shared" si="70"/>
        <v>81</v>
      </c>
      <c r="B959" t="str">
        <f ca="1">TEXT(DATE(YEAR(Invoer!$A$5),1,1)+INT((ROWS(B$2:B959)-1)/3),"jjjjmmdd")</f>
        <v>19401115</v>
      </c>
      <c r="C959" s="35" t="str">
        <f>INDEX(Data,2,2+MOD(ROWS(C$2:C959)-1,3))</f>
        <v>07.45</v>
      </c>
      <c r="D959" s="23">
        <f t="shared" ca="1" si="71"/>
        <v>747</v>
      </c>
      <c r="E959" s="40">
        <f t="shared" ca="1" si="72"/>
        <v>0</v>
      </c>
      <c r="F959" s="23">
        <f t="shared" ca="1" si="73"/>
        <v>26</v>
      </c>
      <c r="G959" s="40">
        <f t="shared" ca="1" si="74"/>
        <v>0</v>
      </c>
    </row>
    <row r="960" spans="1:7" x14ac:dyDescent="0.25">
      <c r="A960" s="17">
        <f t="shared" si="70"/>
        <v>81</v>
      </c>
      <c r="B960" t="str">
        <f ca="1">TEXT(DATE(YEAR(Invoer!$A$5),1,1)+INT((ROWS(B$2:B960)-1)/3),"jjjjmmdd")</f>
        <v>19401115</v>
      </c>
      <c r="C960" s="35" t="str">
        <f>INDEX(Data,2,2+MOD(ROWS(C$2:C960)-1,3))</f>
        <v>13.45</v>
      </c>
      <c r="D960" s="23">
        <f t="shared" ca="1" si="71"/>
        <v>747</v>
      </c>
      <c r="E960" s="40">
        <f t="shared" ca="1" si="72"/>
        <v>0</v>
      </c>
      <c r="F960" s="23">
        <f t="shared" ca="1" si="73"/>
        <v>29</v>
      </c>
      <c r="G960" s="40">
        <f t="shared" ca="1" si="74"/>
        <v>0</v>
      </c>
    </row>
    <row r="961" spans="1:7" x14ac:dyDescent="0.25">
      <c r="A961" s="17">
        <f t="shared" si="70"/>
        <v>81</v>
      </c>
      <c r="B961" t="str">
        <f ca="1">TEXT(DATE(YEAR(Invoer!$A$5),1,1)+INT((ROWS(B$2:B961)-1)/3),"jjjjmmdd")</f>
        <v>19401115</v>
      </c>
      <c r="C961" s="35" t="str">
        <f>INDEX(Data,2,2+MOD(ROWS(C$2:C961)-1,3))</f>
        <v>19.45</v>
      </c>
      <c r="D961" s="23">
        <f t="shared" ca="1" si="71"/>
        <v>748</v>
      </c>
      <c r="E961" s="40">
        <f t="shared" ca="1" si="72"/>
        <v>0</v>
      </c>
      <c r="F961" s="23">
        <f t="shared" ca="1" si="73"/>
        <v>28</v>
      </c>
      <c r="G961" s="40">
        <f t="shared" ca="1" si="74"/>
        <v>0</v>
      </c>
    </row>
    <row r="962" spans="1:7" x14ac:dyDescent="0.25">
      <c r="A962" s="17">
        <f t="shared" ref="A962:A1025" si="75">INDEX(Stations,2,1)</f>
        <v>81</v>
      </c>
      <c r="B962" t="str">
        <f ca="1">TEXT(DATE(YEAR(Invoer!$A$5),1,1)+INT((ROWS(B$2:B962)-1)/3),"jjjjmmdd")</f>
        <v>19401116</v>
      </c>
      <c r="C962" s="35" t="str">
        <f>INDEX(Data,2,2+MOD(ROWS(C$2:C962)-1,3))</f>
        <v>07.45</v>
      </c>
      <c r="D962" s="23">
        <f t="shared" ref="D962:D1025" ca="1" si="76">IF(OR(ISBLANK(VLOOKUP(DATEVALUE(LEFT($B962,4)&amp;"-"&amp;MID($B962,5,2)&amp;"-"&amp;RIGHT($B962,2)),Data,MATCH(LEFT(VLOOKUP(D$1,Parameters,2,FALSE()),4)&amp;"*",OFFSET(Data,0,0,1),0)+MATCH($C962,OFFSET(Data,1,0,1),0)-2,FALSE())),ISTEXT(VLOOKUP(DATEVALUE(LEFT($B962,4)&amp;"-"&amp;MID($B962,5,2)&amp;"-"&amp;RIGHT($B962,2)),Data,MATCH(LEFT(VLOOKUP(D$1,Parameters,2,FALSE()),4)&amp;"*",OFFSET(Data,0,0,1),0)+MATCH($C962,OFFSET(Data,1,0,1),0)-2,FALSE()))),"—",VLOOKUP(DATEVALUE(LEFT($B962,4)&amp;"-"&amp;MID($B962,5,2)&amp;"-"&amp;RIGHT($B962,2)),Data,MATCH(LEFT(VLOOKUP(D$1,Parameters,2,FALSE()),4)&amp;"*",OFFSET(Data,0,0,1),0)+MATCH($C962,OFFSET(Data,1,0,1),0)-2,FALSE()))</f>
        <v>749</v>
      </c>
      <c r="E962" s="40">
        <f t="shared" ref="E962:E1025" ca="1" si="77">IF(OR(ISBLANK(VLOOKUP(DATEVALUE(LEFT($B962,4)&amp;"-"&amp;MID($B962,5,2)&amp;"-"&amp;RIGHT($B962,2)),Data,MATCH(LEFT(VLOOKUP(MID(E$1,2,LEN(E$1)-1),Parameters,2,FALSE()),4)&amp;"*",OFFSET(Data,0,0,1),0)+MATCH($C962,OFFSET(Data,1,0,1),0)-2,FALSE())),ISTEXT(VLOOKUP(DATEVALUE(LEFT($B962,4)&amp;"-"&amp;MID($B962,5,2)&amp;"-"&amp;RIGHT($B962,2)),Data,MATCH(LEFT(VLOOKUP(MID(E$1,2,LEN(E$1)-1),Parameters,2,FALSE()),4)&amp;"*",OFFSET(Data,0,0,1),0)+MATCH($C962,OFFSET(Data,1,0,1),0)-2,FALSE()))),Lacking,IF(ISNA(MATCH(DATEVALUE(LEFT($B962,4)&amp;"-"&amp;MID($B962,5,2)&amp;"-"&amp;RIGHT($B962,2)),OFFSET(Catalogus,0,0,,1),0)),Ok,VLOOKUP(DATEVALUE(LEFT($B962,4)&amp;"-"&amp;MID($B962,5,2)&amp;"-"&amp;RIGHT($B962,2)),Catalogus,MATCH(LEFT(VLOOKUP(MID(E$1,2,LEN(E$1)-1),Parameters,2,FALSE()),4)&amp;"*",OFFSET(Catalogus,0,0,1),0)+MATCH($C962,OFFSET(Catalogus,1,0,1),0)-2,FALSE())))</f>
        <v>0</v>
      </c>
      <c r="F962" s="23">
        <f t="shared" ref="F962:F1025" ca="1" si="78">IF(OR(ISBLANK(VLOOKUP(DATEVALUE(LEFT($B962,4)&amp;"-"&amp;MID($B962,5,2)&amp;"-"&amp;RIGHT($B962,2)),Data,MATCH(LEFT(VLOOKUP(F$1,Parameters,2,FALSE()),4)&amp;"*",OFFSET(Data,0,0,1),0)+MATCH($C962,OFFSET(Data,1,0,1),0)-2,FALSE())),ISTEXT(VLOOKUP(DATEVALUE(LEFT($B962,4)&amp;"-"&amp;MID($B962,5,2)&amp;"-"&amp;RIGHT($B962,2)),Data,MATCH(LEFT(VLOOKUP(F$1,Parameters,2,FALSE()),4)&amp;"*",OFFSET(Data,0,0,1),0)+MATCH($C962,OFFSET(Data,1,0,1),0)-2,FALSE()))),"—",VLOOKUP(DATEVALUE(LEFT($B962,4)&amp;"-"&amp;MID($B962,5,2)&amp;"-"&amp;RIGHT($B962,2)),Data,MATCH(LEFT(VLOOKUP(F$1,Parameters,2,FALSE()),4)&amp;"*",OFFSET(Data,0,0,1),0)+MATCH($C962,OFFSET(Data,1,0,1),0)-2,FALSE()))</f>
        <v>27</v>
      </c>
      <c r="G962" s="40">
        <f t="shared" ref="G962:G1025" ca="1" si="79">IF(OR(ISBLANK(VLOOKUP(DATEVALUE(LEFT($B962,4)&amp;"-"&amp;MID($B962,5,2)&amp;"-"&amp;RIGHT($B962,2)),Data,MATCH(LEFT(VLOOKUP(MID(G$1,2,LEN(G$1)-1),Parameters,2,FALSE()),4)&amp;"*",OFFSET(Data,0,0,1),0)+MATCH($C962,OFFSET(Data,1,0,1),0)-2,FALSE())),ISTEXT(VLOOKUP(DATEVALUE(LEFT($B962,4)&amp;"-"&amp;MID($B962,5,2)&amp;"-"&amp;RIGHT($B962,2)),Data,MATCH(LEFT(VLOOKUP(MID(G$1,2,LEN(G$1)-1),Parameters,2,FALSE()),4)&amp;"*",OFFSET(Data,0,0,1),0)+MATCH($C962,OFFSET(Data,1,0,1),0)-2,FALSE()))),Lacking,IF(ISNA(MATCH(DATEVALUE(LEFT($B962,4)&amp;"-"&amp;MID($B962,5,2)&amp;"-"&amp;RIGHT($B962,2)),OFFSET(Catalogus,0,0,,1),0)),Ok,VLOOKUP(DATEVALUE(LEFT($B962,4)&amp;"-"&amp;MID($B962,5,2)&amp;"-"&amp;RIGHT($B962,2)),Catalogus,MATCH(LEFT(VLOOKUP(MID(G$1,2,LEN(G$1)-1),Parameters,2,FALSE()),4)&amp;"*",OFFSET(Catalogus,0,0,1),0)+MATCH($C962,OFFSET(Catalogus,1,0,1),0)-2,FALSE())))</f>
        <v>0</v>
      </c>
    </row>
    <row r="963" spans="1:7" x14ac:dyDescent="0.25">
      <c r="A963" s="17">
        <f t="shared" si="75"/>
        <v>81</v>
      </c>
      <c r="B963" t="str">
        <f ca="1">TEXT(DATE(YEAR(Invoer!$A$5),1,1)+INT((ROWS(B$2:B963)-1)/3),"jjjjmmdd")</f>
        <v>19401116</v>
      </c>
      <c r="C963" s="35" t="str">
        <f>INDEX(Data,2,2+MOD(ROWS(C$2:C963)-1,3))</f>
        <v>13.45</v>
      </c>
      <c r="D963" s="23">
        <f t="shared" ca="1" si="76"/>
        <v>749</v>
      </c>
      <c r="E963" s="40">
        <f t="shared" ca="1" si="77"/>
        <v>0</v>
      </c>
      <c r="F963" s="23">
        <f t="shared" ca="1" si="78"/>
        <v>29</v>
      </c>
      <c r="G963" s="40">
        <f t="shared" ca="1" si="79"/>
        <v>0</v>
      </c>
    </row>
    <row r="964" spans="1:7" x14ac:dyDescent="0.25">
      <c r="A964" s="17">
        <f t="shared" si="75"/>
        <v>81</v>
      </c>
      <c r="B964" t="str">
        <f ca="1">TEXT(DATE(YEAR(Invoer!$A$5),1,1)+INT((ROWS(B$2:B964)-1)/3),"jjjjmmdd")</f>
        <v>19401116</v>
      </c>
      <c r="C964" s="35" t="str">
        <f>INDEX(Data,2,2+MOD(ROWS(C$2:C964)-1,3))</f>
        <v>19.45</v>
      </c>
      <c r="D964" s="23">
        <f t="shared" ca="1" si="76"/>
        <v>749</v>
      </c>
      <c r="E964" s="40">
        <f t="shared" ca="1" si="77"/>
        <v>0</v>
      </c>
      <c r="F964" s="23">
        <f t="shared" ca="1" si="78"/>
        <v>28</v>
      </c>
      <c r="G964" s="40">
        <f t="shared" ca="1" si="79"/>
        <v>0</v>
      </c>
    </row>
    <row r="965" spans="1:7" x14ac:dyDescent="0.25">
      <c r="A965" s="17">
        <f t="shared" si="75"/>
        <v>81</v>
      </c>
      <c r="B965" t="str">
        <f ca="1">TEXT(DATE(YEAR(Invoer!$A$5),1,1)+INT((ROWS(B$2:B965)-1)/3),"jjjjmmdd")</f>
        <v>19401117</v>
      </c>
      <c r="C965" s="35" t="str">
        <f>INDEX(Data,2,2+MOD(ROWS(C$2:C965)-1,3))</f>
        <v>07.45</v>
      </c>
      <c r="D965" s="23">
        <f t="shared" ca="1" si="76"/>
        <v>749</v>
      </c>
      <c r="E965" s="40">
        <f t="shared" ca="1" si="77"/>
        <v>0</v>
      </c>
      <c r="F965" s="23">
        <f t="shared" ca="1" si="78"/>
        <v>27</v>
      </c>
      <c r="G965" s="40">
        <f t="shared" ca="1" si="79"/>
        <v>0</v>
      </c>
    </row>
    <row r="966" spans="1:7" x14ac:dyDescent="0.25">
      <c r="A966" s="17">
        <f t="shared" si="75"/>
        <v>81</v>
      </c>
      <c r="B966" t="str">
        <f ca="1">TEXT(DATE(YEAR(Invoer!$A$5),1,1)+INT((ROWS(B$2:B966)-1)/3),"jjjjmmdd")</f>
        <v>19401117</v>
      </c>
      <c r="C966" s="35" t="str">
        <f>INDEX(Data,2,2+MOD(ROWS(C$2:C966)-1,3))</f>
        <v>13.45</v>
      </c>
      <c r="D966" s="23">
        <f t="shared" ca="1" si="76"/>
        <v>749</v>
      </c>
      <c r="E966" s="40">
        <f t="shared" ca="1" si="77"/>
        <v>0</v>
      </c>
      <c r="F966" s="23">
        <f t="shared" ca="1" si="78"/>
        <v>29</v>
      </c>
      <c r="G966" s="40">
        <f t="shared" ca="1" si="79"/>
        <v>0</v>
      </c>
    </row>
    <row r="967" spans="1:7" x14ac:dyDescent="0.25">
      <c r="A967" s="17">
        <f t="shared" si="75"/>
        <v>81</v>
      </c>
      <c r="B967" t="str">
        <f ca="1">TEXT(DATE(YEAR(Invoer!$A$5),1,1)+INT((ROWS(B$2:B967)-1)/3),"jjjjmmdd")</f>
        <v>19401117</v>
      </c>
      <c r="C967" s="35" t="str">
        <f>INDEX(Data,2,2+MOD(ROWS(C$2:C967)-1,3))</f>
        <v>19.45</v>
      </c>
      <c r="D967" s="23">
        <f t="shared" ca="1" si="76"/>
        <v>749</v>
      </c>
      <c r="E967" s="40">
        <f t="shared" ca="1" si="77"/>
        <v>0</v>
      </c>
      <c r="F967" s="23">
        <f t="shared" ca="1" si="78"/>
        <v>28</v>
      </c>
      <c r="G967" s="40">
        <f t="shared" ca="1" si="79"/>
        <v>0</v>
      </c>
    </row>
    <row r="968" spans="1:7" x14ac:dyDescent="0.25">
      <c r="A968" s="17">
        <f t="shared" si="75"/>
        <v>81</v>
      </c>
      <c r="B968" t="str">
        <f ca="1">TEXT(DATE(YEAR(Invoer!$A$5),1,1)+INT((ROWS(B$2:B968)-1)/3),"jjjjmmdd")</f>
        <v>19401118</v>
      </c>
      <c r="C968" s="35" t="str">
        <f>INDEX(Data,2,2+MOD(ROWS(C$2:C968)-1,3))</f>
        <v>07.45</v>
      </c>
      <c r="D968" s="23">
        <f t="shared" ca="1" si="76"/>
        <v>749</v>
      </c>
      <c r="E968" s="40">
        <f t="shared" ca="1" si="77"/>
        <v>0</v>
      </c>
      <c r="F968" s="23">
        <f t="shared" ca="1" si="78"/>
        <v>28</v>
      </c>
      <c r="G968" s="40">
        <f t="shared" ca="1" si="79"/>
        <v>0</v>
      </c>
    </row>
    <row r="969" spans="1:7" x14ac:dyDescent="0.25">
      <c r="A969" s="17">
        <f t="shared" si="75"/>
        <v>81</v>
      </c>
      <c r="B969" t="str">
        <f ca="1">TEXT(DATE(YEAR(Invoer!$A$5),1,1)+INT((ROWS(B$2:B969)-1)/3),"jjjjmmdd")</f>
        <v>19401118</v>
      </c>
      <c r="C969" s="35" t="str">
        <f>INDEX(Data,2,2+MOD(ROWS(C$2:C969)-1,3))</f>
        <v>13.45</v>
      </c>
      <c r="D969" s="23">
        <f t="shared" ca="1" si="76"/>
        <v>750</v>
      </c>
      <c r="E969" s="40">
        <f t="shared" ca="1" si="77"/>
        <v>0</v>
      </c>
      <c r="F969" s="23">
        <f t="shared" ca="1" si="78"/>
        <v>29</v>
      </c>
      <c r="G969" s="40">
        <f t="shared" ca="1" si="79"/>
        <v>0</v>
      </c>
    </row>
    <row r="970" spans="1:7" x14ac:dyDescent="0.25">
      <c r="A970" s="17">
        <f t="shared" si="75"/>
        <v>81</v>
      </c>
      <c r="B970" t="str">
        <f ca="1">TEXT(DATE(YEAR(Invoer!$A$5),1,1)+INT((ROWS(B$2:B970)-1)/3),"jjjjmmdd")</f>
        <v>19401118</v>
      </c>
      <c r="C970" s="35" t="str">
        <f>INDEX(Data,2,2+MOD(ROWS(C$2:C970)-1,3))</f>
        <v>19.45</v>
      </c>
      <c r="D970" s="23">
        <f t="shared" ca="1" si="76"/>
        <v>750</v>
      </c>
      <c r="E970" s="40">
        <f t="shared" ca="1" si="77"/>
        <v>0</v>
      </c>
      <c r="F970" s="23">
        <f t="shared" ca="1" si="78"/>
        <v>28</v>
      </c>
      <c r="G970" s="40">
        <f t="shared" ca="1" si="79"/>
        <v>0</v>
      </c>
    </row>
    <row r="971" spans="1:7" x14ac:dyDescent="0.25">
      <c r="A971" s="17">
        <f t="shared" si="75"/>
        <v>81</v>
      </c>
      <c r="B971" t="str">
        <f ca="1">TEXT(DATE(YEAR(Invoer!$A$5),1,1)+INT((ROWS(B$2:B971)-1)/3),"jjjjmmdd")</f>
        <v>19401119</v>
      </c>
      <c r="C971" s="35" t="str">
        <f>INDEX(Data,2,2+MOD(ROWS(C$2:C971)-1,3))</f>
        <v>07.45</v>
      </c>
      <c r="D971" s="23">
        <f t="shared" ca="1" si="76"/>
        <v>750</v>
      </c>
      <c r="E971" s="40">
        <f t="shared" ca="1" si="77"/>
        <v>0</v>
      </c>
      <c r="F971" s="23">
        <f t="shared" ca="1" si="78"/>
        <v>27</v>
      </c>
      <c r="G971" s="40">
        <f t="shared" ca="1" si="79"/>
        <v>0</v>
      </c>
    </row>
    <row r="972" spans="1:7" x14ac:dyDescent="0.25">
      <c r="A972" s="17">
        <f t="shared" si="75"/>
        <v>81</v>
      </c>
      <c r="B972" t="str">
        <f ca="1">TEXT(DATE(YEAR(Invoer!$A$5),1,1)+INT((ROWS(B$2:B972)-1)/3),"jjjjmmdd")</f>
        <v>19401119</v>
      </c>
      <c r="C972" s="35" t="str">
        <f>INDEX(Data,2,2+MOD(ROWS(C$2:C972)-1,3))</f>
        <v>13.45</v>
      </c>
      <c r="D972" s="23">
        <f t="shared" ca="1" si="76"/>
        <v>750</v>
      </c>
      <c r="E972" s="40">
        <f t="shared" ca="1" si="77"/>
        <v>0</v>
      </c>
      <c r="F972" s="23">
        <f t="shared" ca="1" si="78"/>
        <v>29</v>
      </c>
      <c r="G972" s="40">
        <f t="shared" ca="1" si="79"/>
        <v>0</v>
      </c>
    </row>
    <row r="973" spans="1:7" x14ac:dyDescent="0.25">
      <c r="A973" s="17">
        <f t="shared" si="75"/>
        <v>81</v>
      </c>
      <c r="B973" t="str">
        <f ca="1">TEXT(DATE(YEAR(Invoer!$A$5),1,1)+INT((ROWS(B$2:B973)-1)/3),"jjjjmmdd")</f>
        <v>19401119</v>
      </c>
      <c r="C973" s="35" t="str">
        <f>INDEX(Data,2,2+MOD(ROWS(C$2:C973)-1,3))</f>
        <v>19.45</v>
      </c>
      <c r="D973" s="23">
        <f t="shared" ca="1" si="76"/>
        <v>750</v>
      </c>
      <c r="E973" s="40">
        <f t="shared" ca="1" si="77"/>
        <v>0</v>
      </c>
      <c r="F973" s="23">
        <f t="shared" ca="1" si="78"/>
        <v>28</v>
      </c>
      <c r="G973" s="40">
        <f t="shared" ca="1" si="79"/>
        <v>0</v>
      </c>
    </row>
    <row r="974" spans="1:7" x14ac:dyDescent="0.25">
      <c r="A974" s="17">
        <f t="shared" si="75"/>
        <v>81</v>
      </c>
      <c r="B974" t="str">
        <f ca="1">TEXT(DATE(YEAR(Invoer!$A$5),1,1)+INT((ROWS(B$2:B974)-1)/3),"jjjjmmdd")</f>
        <v>19401120</v>
      </c>
      <c r="C974" s="35" t="str">
        <f>INDEX(Data,2,2+MOD(ROWS(C$2:C974)-1,3))</f>
        <v>07.45</v>
      </c>
      <c r="D974" s="23">
        <f t="shared" ca="1" si="76"/>
        <v>749</v>
      </c>
      <c r="E974" s="40">
        <f t="shared" ca="1" si="77"/>
        <v>0</v>
      </c>
      <c r="F974" s="23">
        <f t="shared" ca="1" si="78"/>
        <v>27</v>
      </c>
      <c r="G974" s="40">
        <f t="shared" ca="1" si="79"/>
        <v>0</v>
      </c>
    </row>
    <row r="975" spans="1:7" x14ac:dyDescent="0.25">
      <c r="A975" s="17">
        <f t="shared" si="75"/>
        <v>81</v>
      </c>
      <c r="B975" t="str">
        <f ca="1">TEXT(DATE(YEAR(Invoer!$A$5),1,1)+INT((ROWS(B$2:B975)-1)/3),"jjjjmmdd")</f>
        <v>19401120</v>
      </c>
      <c r="C975" s="35" t="str">
        <f>INDEX(Data,2,2+MOD(ROWS(C$2:C975)-1,3))</f>
        <v>13.45</v>
      </c>
      <c r="D975" s="23">
        <f t="shared" ca="1" si="76"/>
        <v>749</v>
      </c>
      <c r="E975" s="40">
        <f t="shared" ca="1" si="77"/>
        <v>0</v>
      </c>
      <c r="F975" s="23">
        <f t="shared" ca="1" si="78"/>
        <v>29</v>
      </c>
      <c r="G975" s="40">
        <f t="shared" ca="1" si="79"/>
        <v>0</v>
      </c>
    </row>
    <row r="976" spans="1:7" x14ac:dyDescent="0.25">
      <c r="A976" s="17">
        <f t="shared" si="75"/>
        <v>81</v>
      </c>
      <c r="B976" t="str">
        <f ca="1">TEXT(DATE(YEAR(Invoer!$A$5),1,1)+INT((ROWS(B$2:B976)-1)/3),"jjjjmmdd")</f>
        <v>19401120</v>
      </c>
      <c r="C976" s="35" t="str">
        <f>INDEX(Data,2,2+MOD(ROWS(C$2:C976)-1,3))</f>
        <v>19.45</v>
      </c>
      <c r="D976" s="23">
        <f t="shared" ca="1" si="76"/>
        <v>749</v>
      </c>
      <c r="E976" s="40">
        <f t="shared" ca="1" si="77"/>
        <v>0</v>
      </c>
      <c r="F976" s="23">
        <f t="shared" ca="1" si="78"/>
        <v>28</v>
      </c>
      <c r="G976" s="40">
        <f t="shared" ca="1" si="79"/>
        <v>0</v>
      </c>
    </row>
    <row r="977" spans="1:7" x14ac:dyDescent="0.25">
      <c r="A977" s="17">
        <f t="shared" si="75"/>
        <v>81</v>
      </c>
      <c r="B977" t="str">
        <f ca="1">TEXT(DATE(YEAR(Invoer!$A$5),1,1)+INT((ROWS(B$2:B977)-1)/3),"jjjjmmdd")</f>
        <v>19401121</v>
      </c>
      <c r="C977" s="35" t="str">
        <f>INDEX(Data,2,2+MOD(ROWS(C$2:C977)-1,3))</f>
        <v>07.45</v>
      </c>
      <c r="D977" s="23">
        <f t="shared" ca="1" si="76"/>
        <v>749</v>
      </c>
      <c r="E977" s="40">
        <f t="shared" ca="1" si="77"/>
        <v>0</v>
      </c>
      <c r="F977" s="23">
        <f t="shared" ca="1" si="78"/>
        <v>27</v>
      </c>
      <c r="G977" s="40">
        <f t="shared" ca="1" si="79"/>
        <v>0</v>
      </c>
    </row>
    <row r="978" spans="1:7" x14ac:dyDescent="0.25">
      <c r="A978" s="17">
        <f t="shared" si="75"/>
        <v>81</v>
      </c>
      <c r="B978" t="str">
        <f ca="1">TEXT(DATE(YEAR(Invoer!$A$5),1,1)+INT((ROWS(B$2:B978)-1)/3),"jjjjmmdd")</f>
        <v>19401121</v>
      </c>
      <c r="C978" s="35" t="str">
        <f>INDEX(Data,2,2+MOD(ROWS(C$2:C978)-1,3))</f>
        <v>13.45</v>
      </c>
      <c r="D978" s="23">
        <f t="shared" ca="1" si="76"/>
        <v>749</v>
      </c>
      <c r="E978" s="40">
        <f t="shared" ca="1" si="77"/>
        <v>0</v>
      </c>
      <c r="F978" s="23">
        <f t="shared" ca="1" si="78"/>
        <v>29</v>
      </c>
      <c r="G978" s="40">
        <f t="shared" ca="1" si="79"/>
        <v>0</v>
      </c>
    </row>
    <row r="979" spans="1:7" x14ac:dyDescent="0.25">
      <c r="A979" s="17">
        <f t="shared" si="75"/>
        <v>81</v>
      </c>
      <c r="B979" t="str">
        <f ca="1">TEXT(DATE(YEAR(Invoer!$A$5),1,1)+INT((ROWS(B$2:B979)-1)/3),"jjjjmmdd")</f>
        <v>19401121</v>
      </c>
      <c r="C979" s="35" t="str">
        <f>INDEX(Data,2,2+MOD(ROWS(C$2:C979)-1,3))</f>
        <v>19.45</v>
      </c>
      <c r="D979" s="23">
        <f t="shared" ca="1" si="76"/>
        <v>749</v>
      </c>
      <c r="E979" s="40">
        <f t="shared" ca="1" si="77"/>
        <v>0</v>
      </c>
      <c r="F979" s="23">
        <f t="shared" ca="1" si="78"/>
        <v>28</v>
      </c>
      <c r="G979" s="40">
        <f t="shared" ca="1" si="79"/>
        <v>0</v>
      </c>
    </row>
    <row r="980" spans="1:7" x14ac:dyDescent="0.25">
      <c r="A980" s="17">
        <f t="shared" si="75"/>
        <v>81</v>
      </c>
      <c r="B980" t="str">
        <f ca="1">TEXT(DATE(YEAR(Invoer!$A$5),1,1)+INT((ROWS(B$2:B980)-1)/3),"jjjjmmdd")</f>
        <v>19401122</v>
      </c>
      <c r="C980" s="35" t="str">
        <f>INDEX(Data,2,2+MOD(ROWS(C$2:C980)-1,3))</f>
        <v>07.45</v>
      </c>
      <c r="D980" s="23">
        <f t="shared" ca="1" si="76"/>
        <v>749</v>
      </c>
      <c r="E980" s="40">
        <f t="shared" ca="1" si="77"/>
        <v>0</v>
      </c>
      <c r="F980" s="23">
        <f t="shared" ca="1" si="78"/>
        <v>27</v>
      </c>
      <c r="G980" s="40">
        <f t="shared" ca="1" si="79"/>
        <v>0</v>
      </c>
    </row>
    <row r="981" spans="1:7" x14ac:dyDescent="0.25">
      <c r="A981" s="17">
        <f t="shared" si="75"/>
        <v>81</v>
      </c>
      <c r="B981" t="str">
        <f ca="1">TEXT(DATE(YEAR(Invoer!$A$5),1,1)+INT((ROWS(B$2:B981)-1)/3),"jjjjmmdd")</f>
        <v>19401122</v>
      </c>
      <c r="C981" s="35" t="str">
        <f>INDEX(Data,2,2+MOD(ROWS(C$2:C981)-1,3))</f>
        <v>13.45</v>
      </c>
      <c r="D981" s="23">
        <f t="shared" ca="1" si="76"/>
        <v>749</v>
      </c>
      <c r="E981" s="40">
        <f t="shared" ca="1" si="77"/>
        <v>0</v>
      </c>
      <c r="F981" s="23">
        <f t="shared" ca="1" si="78"/>
        <v>30</v>
      </c>
      <c r="G981" s="40">
        <f t="shared" ca="1" si="79"/>
        <v>0</v>
      </c>
    </row>
    <row r="982" spans="1:7" x14ac:dyDescent="0.25">
      <c r="A982" s="17">
        <f t="shared" si="75"/>
        <v>81</v>
      </c>
      <c r="B982" t="str">
        <f ca="1">TEXT(DATE(YEAR(Invoer!$A$5),1,1)+INT((ROWS(B$2:B982)-1)/3),"jjjjmmdd")</f>
        <v>19401122</v>
      </c>
      <c r="C982" s="35" t="str">
        <f>INDEX(Data,2,2+MOD(ROWS(C$2:C982)-1,3))</f>
        <v>19.45</v>
      </c>
      <c r="D982" s="23">
        <f t="shared" ca="1" si="76"/>
        <v>749</v>
      </c>
      <c r="E982" s="40">
        <f t="shared" ca="1" si="77"/>
        <v>0</v>
      </c>
      <c r="F982" s="23">
        <f t="shared" ca="1" si="78"/>
        <v>29</v>
      </c>
      <c r="G982" s="40">
        <f t="shared" ca="1" si="79"/>
        <v>0</v>
      </c>
    </row>
    <row r="983" spans="1:7" x14ac:dyDescent="0.25">
      <c r="A983" s="17">
        <f t="shared" si="75"/>
        <v>81</v>
      </c>
      <c r="B983" t="str">
        <f ca="1">TEXT(DATE(YEAR(Invoer!$A$5),1,1)+INT((ROWS(B$2:B983)-1)/3),"jjjjmmdd")</f>
        <v>19401123</v>
      </c>
      <c r="C983" s="35" t="str">
        <f>INDEX(Data,2,2+MOD(ROWS(C$2:C983)-1,3))</f>
        <v>07.45</v>
      </c>
      <c r="D983" s="23">
        <f t="shared" ca="1" si="76"/>
        <v>748</v>
      </c>
      <c r="E983" s="40">
        <f t="shared" ca="1" si="77"/>
        <v>0</v>
      </c>
      <c r="F983" s="23">
        <f t="shared" ca="1" si="78"/>
        <v>26</v>
      </c>
      <c r="G983" s="40">
        <f t="shared" ca="1" si="79"/>
        <v>0</v>
      </c>
    </row>
    <row r="984" spans="1:7" x14ac:dyDescent="0.25">
      <c r="A984" s="17">
        <f t="shared" si="75"/>
        <v>81</v>
      </c>
      <c r="B984" t="str">
        <f ca="1">TEXT(DATE(YEAR(Invoer!$A$5),1,1)+INT((ROWS(B$2:B984)-1)/3),"jjjjmmdd")</f>
        <v>19401123</v>
      </c>
      <c r="C984" s="35" t="str">
        <f>INDEX(Data,2,2+MOD(ROWS(C$2:C984)-1,3))</f>
        <v>13.45</v>
      </c>
      <c r="D984" s="23">
        <f t="shared" ca="1" si="76"/>
        <v>748</v>
      </c>
      <c r="E984" s="40">
        <f t="shared" ca="1" si="77"/>
        <v>0</v>
      </c>
      <c r="F984" s="23">
        <f t="shared" ca="1" si="78"/>
        <v>29</v>
      </c>
      <c r="G984" s="40">
        <f t="shared" ca="1" si="79"/>
        <v>0</v>
      </c>
    </row>
    <row r="985" spans="1:7" x14ac:dyDescent="0.25">
      <c r="A985" s="17">
        <f t="shared" si="75"/>
        <v>81</v>
      </c>
      <c r="B985" t="str">
        <f ca="1">TEXT(DATE(YEAR(Invoer!$A$5),1,1)+INT((ROWS(B$2:B985)-1)/3),"jjjjmmdd")</f>
        <v>19401123</v>
      </c>
      <c r="C985" s="35" t="str">
        <f>INDEX(Data,2,2+MOD(ROWS(C$2:C985)-1,3))</f>
        <v>19.45</v>
      </c>
      <c r="D985" s="23">
        <f t="shared" ca="1" si="76"/>
        <v>748</v>
      </c>
      <c r="E985" s="40">
        <f t="shared" ca="1" si="77"/>
        <v>0</v>
      </c>
      <c r="F985" s="23">
        <f t="shared" ca="1" si="78"/>
        <v>27</v>
      </c>
      <c r="G985" s="40">
        <f t="shared" ca="1" si="79"/>
        <v>0</v>
      </c>
    </row>
    <row r="986" spans="1:7" x14ac:dyDescent="0.25">
      <c r="A986" s="17">
        <f t="shared" si="75"/>
        <v>81</v>
      </c>
      <c r="B986" t="str">
        <f ca="1">TEXT(DATE(YEAR(Invoer!$A$5),1,1)+INT((ROWS(B$2:B986)-1)/3),"jjjjmmdd")</f>
        <v>19401124</v>
      </c>
      <c r="C986" s="35" t="str">
        <f>INDEX(Data,2,2+MOD(ROWS(C$2:C986)-1,3))</f>
        <v>07.45</v>
      </c>
      <c r="D986" s="23">
        <f t="shared" ca="1" si="76"/>
        <v>748</v>
      </c>
      <c r="E986" s="40">
        <f t="shared" ca="1" si="77"/>
        <v>0</v>
      </c>
      <c r="F986" s="23">
        <f t="shared" ca="1" si="78"/>
        <v>27</v>
      </c>
      <c r="G986" s="40">
        <f t="shared" ca="1" si="79"/>
        <v>0</v>
      </c>
    </row>
    <row r="987" spans="1:7" x14ac:dyDescent="0.25">
      <c r="A987" s="17">
        <f t="shared" si="75"/>
        <v>81</v>
      </c>
      <c r="B987" t="str">
        <f ca="1">TEXT(DATE(YEAR(Invoer!$A$5),1,1)+INT((ROWS(B$2:B987)-1)/3),"jjjjmmdd")</f>
        <v>19401124</v>
      </c>
      <c r="C987" s="35" t="str">
        <f>INDEX(Data,2,2+MOD(ROWS(C$2:C987)-1,3))</f>
        <v>13.45</v>
      </c>
      <c r="D987" s="23">
        <f t="shared" ca="1" si="76"/>
        <v>748</v>
      </c>
      <c r="E987" s="40">
        <f t="shared" ca="1" si="77"/>
        <v>0</v>
      </c>
      <c r="F987" s="23">
        <f t="shared" ca="1" si="78"/>
        <v>30</v>
      </c>
      <c r="G987" s="40">
        <f t="shared" ca="1" si="79"/>
        <v>0</v>
      </c>
    </row>
    <row r="988" spans="1:7" x14ac:dyDescent="0.25">
      <c r="A988" s="17">
        <f t="shared" si="75"/>
        <v>81</v>
      </c>
      <c r="B988" t="str">
        <f ca="1">TEXT(DATE(YEAR(Invoer!$A$5),1,1)+INT((ROWS(B$2:B988)-1)/3),"jjjjmmdd")</f>
        <v>19401124</v>
      </c>
      <c r="C988" s="35" t="str">
        <f>INDEX(Data,2,2+MOD(ROWS(C$2:C988)-1,3))</f>
        <v>19.45</v>
      </c>
      <c r="D988" s="23">
        <f t="shared" ca="1" si="76"/>
        <v>748</v>
      </c>
      <c r="E988" s="40">
        <f t="shared" ca="1" si="77"/>
        <v>0</v>
      </c>
      <c r="F988" s="23">
        <f t="shared" ca="1" si="78"/>
        <v>29</v>
      </c>
      <c r="G988" s="40">
        <f t="shared" ca="1" si="79"/>
        <v>0</v>
      </c>
    </row>
    <row r="989" spans="1:7" x14ac:dyDescent="0.25">
      <c r="A989" s="17">
        <f t="shared" si="75"/>
        <v>81</v>
      </c>
      <c r="B989" t="str">
        <f ca="1">TEXT(DATE(YEAR(Invoer!$A$5),1,1)+INT((ROWS(B$2:B989)-1)/3),"jjjjmmdd")</f>
        <v>19401125</v>
      </c>
      <c r="C989" s="35" t="str">
        <f>INDEX(Data,2,2+MOD(ROWS(C$2:C989)-1,3))</f>
        <v>07.45</v>
      </c>
      <c r="D989" s="23">
        <f t="shared" ca="1" si="76"/>
        <v>748</v>
      </c>
      <c r="E989" s="40">
        <f t="shared" ca="1" si="77"/>
        <v>0</v>
      </c>
      <c r="F989" s="23">
        <f t="shared" ca="1" si="78"/>
        <v>26</v>
      </c>
      <c r="G989" s="40">
        <f t="shared" ca="1" si="79"/>
        <v>0</v>
      </c>
    </row>
    <row r="990" spans="1:7" x14ac:dyDescent="0.25">
      <c r="A990" s="17">
        <f t="shared" si="75"/>
        <v>81</v>
      </c>
      <c r="B990" t="str">
        <f ca="1">TEXT(DATE(YEAR(Invoer!$A$5),1,1)+INT((ROWS(B$2:B990)-1)/3),"jjjjmmdd")</f>
        <v>19401125</v>
      </c>
      <c r="C990" s="35" t="str">
        <f>INDEX(Data,2,2+MOD(ROWS(C$2:C990)-1,3))</f>
        <v>13.45</v>
      </c>
      <c r="D990" s="23">
        <f t="shared" ca="1" si="76"/>
        <v>748</v>
      </c>
      <c r="E990" s="40">
        <f t="shared" ca="1" si="77"/>
        <v>0</v>
      </c>
      <c r="F990" s="23">
        <f t="shared" ca="1" si="78"/>
        <v>30</v>
      </c>
      <c r="G990" s="40">
        <f t="shared" ca="1" si="79"/>
        <v>0</v>
      </c>
    </row>
    <row r="991" spans="1:7" x14ac:dyDescent="0.25">
      <c r="A991" s="17">
        <f t="shared" si="75"/>
        <v>81</v>
      </c>
      <c r="B991" t="str">
        <f ca="1">TEXT(DATE(YEAR(Invoer!$A$5),1,1)+INT((ROWS(B$2:B991)-1)/3),"jjjjmmdd")</f>
        <v>19401125</v>
      </c>
      <c r="C991" s="35" t="str">
        <f>INDEX(Data,2,2+MOD(ROWS(C$2:C991)-1,3))</f>
        <v>19.45</v>
      </c>
      <c r="D991" s="23">
        <f t="shared" ca="1" si="76"/>
        <v>748</v>
      </c>
      <c r="E991" s="40">
        <f t="shared" ca="1" si="77"/>
        <v>0</v>
      </c>
      <c r="F991" s="23">
        <f t="shared" ca="1" si="78"/>
        <v>29</v>
      </c>
      <c r="G991" s="40">
        <f t="shared" ca="1" si="79"/>
        <v>0</v>
      </c>
    </row>
    <row r="992" spans="1:7" x14ac:dyDescent="0.25">
      <c r="A992" s="17">
        <f t="shared" si="75"/>
        <v>81</v>
      </c>
      <c r="B992" t="str">
        <f ca="1">TEXT(DATE(YEAR(Invoer!$A$5),1,1)+INT((ROWS(B$2:B992)-1)/3),"jjjjmmdd")</f>
        <v>19401126</v>
      </c>
      <c r="C992" s="35" t="str">
        <f>INDEX(Data,2,2+MOD(ROWS(C$2:C992)-1,3))</f>
        <v>07.45</v>
      </c>
      <c r="D992" s="23">
        <f t="shared" ca="1" si="76"/>
        <v>748</v>
      </c>
      <c r="E992" s="40">
        <f t="shared" ca="1" si="77"/>
        <v>0</v>
      </c>
      <c r="F992" s="23">
        <f t="shared" ca="1" si="78"/>
        <v>27</v>
      </c>
      <c r="G992" s="40">
        <f t="shared" ca="1" si="79"/>
        <v>0</v>
      </c>
    </row>
    <row r="993" spans="1:7" x14ac:dyDescent="0.25">
      <c r="A993" s="17">
        <f t="shared" si="75"/>
        <v>81</v>
      </c>
      <c r="B993" t="str">
        <f ca="1">TEXT(DATE(YEAR(Invoer!$A$5),1,1)+INT((ROWS(B$2:B993)-1)/3),"jjjjmmdd")</f>
        <v>19401126</v>
      </c>
      <c r="C993" s="35" t="str">
        <f>INDEX(Data,2,2+MOD(ROWS(C$2:C993)-1,3))</f>
        <v>13.45</v>
      </c>
      <c r="D993" s="23">
        <f t="shared" ca="1" si="76"/>
        <v>748</v>
      </c>
      <c r="E993" s="40">
        <f t="shared" ca="1" si="77"/>
        <v>0</v>
      </c>
      <c r="F993" s="23">
        <f t="shared" ca="1" si="78"/>
        <v>30</v>
      </c>
      <c r="G993" s="40">
        <f t="shared" ca="1" si="79"/>
        <v>0</v>
      </c>
    </row>
    <row r="994" spans="1:7" x14ac:dyDescent="0.25">
      <c r="A994" s="17">
        <f t="shared" si="75"/>
        <v>81</v>
      </c>
      <c r="B994" t="str">
        <f ca="1">TEXT(DATE(YEAR(Invoer!$A$5),1,1)+INT((ROWS(B$2:B994)-1)/3),"jjjjmmdd")</f>
        <v>19401126</v>
      </c>
      <c r="C994" s="35" t="str">
        <f>INDEX(Data,2,2+MOD(ROWS(C$2:C994)-1,3))</f>
        <v>19.45</v>
      </c>
      <c r="D994" s="23">
        <f t="shared" ca="1" si="76"/>
        <v>748</v>
      </c>
      <c r="E994" s="40">
        <f t="shared" ca="1" si="77"/>
        <v>0</v>
      </c>
      <c r="F994" s="23">
        <f t="shared" ca="1" si="78"/>
        <v>29</v>
      </c>
      <c r="G994" s="40">
        <f t="shared" ca="1" si="79"/>
        <v>0</v>
      </c>
    </row>
    <row r="995" spans="1:7" x14ac:dyDescent="0.25">
      <c r="A995" s="17">
        <f t="shared" si="75"/>
        <v>81</v>
      </c>
      <c r="B995" t="str">
        <f ca="1">TEXT(DATE(YEAR(Invoer!$A$5),1,1)+INT((ROWS(B$2:B995)-1)/3),"jjjjmmdd")</f>
        <v>19401127</v>
      </c>
      <c r="C995" s="35" t="str">
        <f>INDEX(Data,2,2+MOD(ROWS(C$2:C995)-1,3))</f>
        <v>07.45</v>
      </c>
      <c r="D995" s="23">
        <f t="shared" ca="1" si="76"/>
        <v>748</v>
      </c>
      <c r="E995" s="40">
        <f t="shared" ca="1" si="77"/>
        <v>0</v>
      </c>
      <c r="F995" s="23">
        <f t="shared" ca="1" si="78"/>
        <v>27</v>
      </c>
      <c r="G995" s="40">
        <f t="shared" ca="1" si="79"/>
        <v>0</v>
      </c>
    </row>
    <row r="996" spans="1:7" x14ac:dyDescent="0.25">
      <c r="A996" s="17">
        <f t="shared" si="75"/>
        <v>81</v>
      </c>
      <c r="B996" t="str">
        <f ca="1">TEXT(DATE(YEAR(Invoer!$A$5),1,1)+INT((ROWS(B$2:B996)-1)/3),"jjjjmmdd")</f>
        <v>19401127</v>
      </c>
      <c r="C996" s="35" t="str">
        <f>INDEX(Data,2,2+MOD(ROWS(C$2:C996)-1,3))</f>
        <v>13.45</v>
      </c>
      <c r="D996" s="23">
        <f t="shared" ca="1" si="76"/>
        <v>748</v>
      </c>
      <c r="E996" s="40">
        <f t="shared" ca="1" si="77"/>
        <v>0</v>
      </c>
      <c r="F996" s="23">
        <f t="shared" ca="1" si="78"/>
        <v>30</v>
      </c>
      <c r="G996" s="40">
        <f t="shared" ca="1" si="79"/>
        <v>0</v>
      </c>
    </row>
    <row r="997" spans="1:7" x14ac:dyDescent="0.25">
      <c r="A997" s="17">
        <f t="shared" si="75"/>
        <v>81</v>
      </c>
      <c r="B997" t="str">
        <f ca="1">TEXT(DATE(YEAR(Invoer!$A$5),1,1)+INT((ROWS(B$2:B997)-1)/3),"jjjjmmdd")</f>
        <v>19401127</v>
      </c>
      <c r="C997" s="35" t="str">
        <f>INDEX(Data,2,2+MOD(ROWS(C$2:C997)-1,3))</f>
        <v>19.45</v>
      </c>
      <c r="D997" s="23">
        <f t="shared" ca="1" si="76"/>
        <v>749</v>
      </c>
      <c r="E997" s="40">
        <f t="shared" ca="1" si="77"/>
        <v>0</v>
      </c>
      <c r="F997" s="23">
        <f t="shared" ca="1" si="78"/>
        <v>29</v>
      </c>
      <c r="G997" s="40">
        <f t="shared" ca="1" si="79"/>
        <v>0</v>
      </c>
    </row>
    <row r="998" spans="1:7" x14ac:dyDescent="0.25">
      <c r="A998" s="17">
        <f t="shared" si="75"/>
        <v>81</v>
      </c>
      <c r="B998" t="str">
        <f ca="1">TEXT(DATE(YEAR(Invoer!$A$5),1,1)+INT((ROWS(B$2:B998)-1)/3),"jjjjmmdd")</f>
        <v>19401128</v>
      </c>
      <c r="C998" s="35" t="str">
        <f>INDEX(Data,2,2+MOD(ROWS(C$2:C998)-1,3))</f>
        <v>07.45</v>
      </c>
      <c r="D998" s="23">
        <f t="shared" ca="1" si="76"/>
        <v>750</v>
      </c>
      <c r="E998" s="40">
        <f t="shared" ca="1" si="77"/>
        <v>0</v>
      </c>
      <c r="F998" s="23">
        <f t="shared" ca="1" si="78"/>
        <v>27</v>
      </c>
      <c r="G998" s="40">
        <f t="shared" ca="1" si="79"/>
        <v>0</v>
      </c>
    </row>
    <row r="999" spans="1:7" x14ac:dyDescent="0.25">
      <c r="A999" s="17">
        <f t="shared" si="75"/>
        <v>81</v>
      </c>
      <c r="B999" t="str">
        <f ca="1">TEXT(DATE(YEAR(Invoer!$A$5),1,1)+INT((ROWS(B$2:B999)-1)/3),"jjjjmmdd")</f>
        <v>19401128</v>
      </c>
      <c r="C999" s="35" t="str">
        <f>INDEX(Data,2,2+MOD(ROWS(C$2:C999)-1,3))</f>
        <v>13.45</v>
      </c>
      <c r="D999" s="23">
        <f t="shared" ca="1" si="76"/>
        <v>750</v>
      </c>
      <c r="E999" s="40">
        <f t="shared" ca="1" si="77"/>
        <v>0</v>
      </c>
      <c r="F999" s="23">
        <f t="shared" ca="1" si="78"/>
        <v>30</v>
      </c>
      <c r="G999" s="40">
        <f t="shared" ca="1" si="79"/>
        <v>0</v>
      </c>
    </row>
    <row r="1000" spans="1:7" x14ac:dyDescent="0.25">
      <c r="A1000" s="17">
        <f t="shared" si="75"/>
        <v>81</v>
      </c>
      <c r="B1000" t="str">
        <f ca="1">TEXT(DATE(YEAR(Invoer!$A$5),1,1)+INT((ROWS(B$2:B1000)-1)/3),"jjjjmmdd")</f>
        <v>19401128</v>
      </c>
      <c r="C1000" s="35" t="str">
        <f>INDEX(Data,2,2+MOD(ROWS(C$2:C1000)-1,3))</f>
        <v>19.45</v>
      </c>
      <c r="D1000" s="23">
        <f t="shared" ca="1" si="76"/>
        <v>750</v>
      </c>
      <c r="E1000" s="40">
        <f t="shared" ca="1" si="77"/>
        <v>0</v>
      </c>
      <c r="F1000" s="23">
        <f t="shared" ca="1" si="78"/>
        <v>29</v>
      </c>
      <c r="G1000" s="40">
        <f t="shared" ca="1" si="79"/>
        <v>0</v>
      </c>
    </row>
    <row r="1001" spans="1:7" x14ac:dyDescent="0.25">
      <c r="A1001" s="17">
        <f t="shared" si="75"/>
        <v>81</v>
      </c>
      <c r="B1001" t="str">
        <f ca="1">TEXT(DATE(YEAR(Invoer!$A$5),1,1)+INT((ROWS(B$2:B1001)-1)/3),"jjjjmmdd")</f>
        <v>19401129</v>
      </c>
      <c r="C1001" s="35" t="str">
        <f>INDEX(Data,2,2+MOD(ROWS(C$2:C1001)-1,3))</f>
        <v>07.45</v>
      </c>
      <c r="D1001" s="23">
        <f t="shared" ca="1" si="76"/>
        <v>750</v>
      </c>
      <c r="E1001" s="40">
        <f t="shared" ca="1" si="77"/>
        <v>0</v>
      </c>
      <c r="F1001" s="23">
        <f t="shared" ca="1" si="78"/>
        <v>27</v>
      </c>
      <c r="G1001" s="40">
        <f t="shared" ca="1" si="79"/>
        <v>0</v>
      </c>
    </row>
    <row r="1002" spans="1:7" x14ac:dyDescent="0.25">
      <c r="A1002" s="17">
        <f t="shared" si="75"/>
        <v>81</v>
      </c>
      <c r="B1002" t="str">
        <f ca="1">TEXT(DATE(YEAR(Invoer!$A$5),1,1)+INT((ROWS(B$2:B1002)-1)/3),"jjjjmmdd")</f>
        <v>19401129</v>
      </c>
      <c r="C1002" s="35" t="str">
        <f>INDEX(Data,2,2+MOD(ROWS(C$2:C1002)-1,3))</f>
        <v>13.45</v>
      </c>
      <c r="D1002" s="23">
        <f t="shared" ca="1" si="76"/>
        <v>750</v>
      </c>
      <c r="E1002" s="40">
        <f t="shared" ca="1" si="77"/>
        <v>0</v>
      </c>
      <c r="F1002" s="23">
        <f t="shared" ca="1" si="78"/>
        <v>30</v>
      </c>
      <c r="G1002" s="40">
        <f t="shared" ca="1" si="79"/>
        <v>0</v>
      </c>
    </row>
    <row r="1003" spans="1:7" x14ac:dyDescent="0.25">
      <c r="A1003" s="17">
        <f t="shared" si="75"/>
        <v>81</v>
      </c>
      <c r="B1003" t="str">
        <f ca="1">TEXT(DATE(YEAR(Invoer!$A$5),1,1)+INT((ROWS(B$2:B1003)-1)/3),"jjjjmmdd")</f>
        <v>19401129</v>
      </c>
      <c r="C1003" s="35" t="str">
        <f>INDEX(Data,2,2+MOD(ROWS(C$2:C1003)-1,3))</f>
        <v>19.45</v>
      </c>
      <c r="D1003" s="23">
        <f t="shared" ca="1" si="76"/>
        <v>750</v>
      </c>
      <c r="E1003" s="40">
        <f t="shared" ca="1" si="77"/>
        <v>0</v>
      </c>
      <c r="F1003" s="23">
        <f t="shared" ca="1" si="78"/>
        <v>29</v>
      </c>
      <c r="G1003" s="40">
        <f t="shared" ca="1" si="79"/>
        <v>0</v>
      </c>
    </row>
    <row r="1004" spans="1:7" x14ac:dyDescent="0.25">
      <c r="A1004" s="17">
        <f t="shared" si="75"/>
        <v>81</v>
      </c>
      <c r="B1004" t="str">
        <f ca="1">TEXT(DATE(YEAR(Invoer!$A$5),1,1)+INT((ROWS(B$2:B1004)-1)/3),"jjjjmmdd")</f>
        <v>19401130</v>
      </c>
      <c r="C1004" s="35" t="str">
        <f>INDEX(Data,2,2+MOD(ROWS(C$2:C1004)-1,3))</f>
        <v>07.45</v>
      </c>
      <c r="D1004" s="23">
        <f t="shared" ca="1" si="76"/>
        <v>750</v>
      </c>
      <c r="E1004" s="40">
        <f t="shared" ca="1" si="77"/>
        <v>0</v>
      </c>
      <c r="F1004" s="23">
        <f t="shared" ca="1" si="78"/>
        <v>27</v>
      </c>
      <c r="G1004" s="40">
        <f t="shared" ca="1" si="79"/>
        <v>0</v>
      </c>
    </row>
    <row r="1005" spans="1:7" x14ac:dyDescent="0.25">
      <c r="A1005" s="17">
        <f t="shared" si="75"/>
        <v>81</v>
      </c>
      <c r="B1005" t="str">
        <f ca="1">TEXT(DATE(YEAR(Invoer!$A$5),1,1)+INT((ROWS(B$2:B1005)-1)/3),"jjjjmmdd")</f>
        <v>19401130</v>
      </c>
      <c r="C1005" s="35" t="str">
        <f>INDEX(Data,2,2+MOD(ROWS(C$2:C1005)-1,3))</f>
        <v>13.45</v>
      </c>
      <c r="D1005" s="23">
        <f t="shared" ca="1" si="76"/>
        <v>750</v>
      </c>
      <c r="E1005" s="40">
        <f t="shared" ca="1" si="77"/>
        <v>0</v>
      </c>
      <c r="F1005" s="23">
        <f t="shared" ca="1" si="78"/>
        <v>30</v>
      </c>
      <c r="G1005" s="40">
        <f t="shared" ca="1" si="79"/>
        <v>0</v>
      </c>
    </row>
    <row r="1006" spans="1:7" x14ac:dyDescent="0.25">
      <c r="A1006" s="17">
        <f t="shared" si="75"/>
        <v>81</v>
      </c>
      <c r="B1006" t="str">
        <f ca="1">TEXT(DATE(YEAR(Invoer!$A$5),1,1)+INT((ROWS(B$2:B1006)-1)/3),"jjjjmmdd")</f>
        <v>19401130</v>
      </c>
      <c r="C1006" s="35" t="str">
        <f>INDEX(Data,2,2+MOD(ROWS(C$2:C1006)-1,3))</f>
        <v>19.45</v>
      </c>
      <c r="D1006" s="23">
        <f t="shared" ca="1" si="76"/>
        <v>750</v>
      </c>
      <c r="E1006" s="40">
        <f t="shared" ca="1" si="77"/>
        <v>0</v>
      </c>
      <c r="F1006" s="23">
        <f t="shared" ca="1" si="78"/>
        <v>29</v>
      </c>
      <c r="G1006" s="40">
        <f t="shared" ca="1" si="79"/>
        <v>0</v>
      </c>
    </row>
    <row r="1007" spans="1:7" x14ac:dyDescent="0.25">
      <c r="A1007" s="17">
        <f t="shared" si="75"/>
        <v>81</v>
      </c>
      <c r="B1007" t="str">
        <f ca="1">TEXT(DATE(YEAR(Invoer!$A$5),1,1)+INT((ROWS(B$2:B1007)-1)/3),"jjjjmmdd")</f>
        <v>19401201</v>
      </c>
      <c r="C1007" s="35" t="str">
        <f>INDEX(Data,2,2+MOD(ROWS(C$2:C1007)-1,3))</f>
        <v>07.45</v>
      </c>
      <c r="D1007" s="23">
        <f t="shared" ca="1" si="76"/>
        <v>750</v>
      </c>
      <c r="E1007" s="40">
        <f t="shared" ca="1" si="77"/>
        <v>0</v>
      </c>
      <c r="F1007" s="23">
        <f t="shared" ca="1" si="78"/>
        <v>27</v>
      </c>
      <c r="G1007" s="40">
        <f t="shared" ca="1" si="79"/>
        <v>0</v>
      </c>
    </row>
    <row r="1008" spans="1:7" x14ac:dyDescent="0.25">
      <c r="A1008" s="17">
        <f t="shared" si="75"/>
        <v>81</v>
      </c>
      <c r="B1008" t="str">
        <f ca="1">TEXT(DATE(YEAR(Invoer!$A$5),1,1)+INT((ROWS(B$2:B1008)-1)/3),"jjjjmmdd")</f>
        <v>19401201</v>
      </c>
      <c r="C1008" s="35" t="str">
        <f>INDEX(Data,2,2+MOD(ROWS(C$2:C1008)-1,3))</f>
        <v>13.45</v>
      </c>
      <c r="D1008" s="23">
        <f t="shared" ca="1" si="76"/>
        <v>750</v>
      </c>
      <c r="E1008" s="40">
        <f t="shared" ca="1" si="77"/>
        <v>0</v>
      </c>
      <c r="F1008" s="23">
        <f t="shared" ca="1" si="78"/>
        <v>30</v>
      </c>
      <c r="G1008" s="40">
        <f t="shared" ca="1" si="79"/>
        <v>0</v>
      </c>
    </row>
    <row r="1009" spans="1:7" x14ac:dyDescent="0.25">
      <c r="A1009" s="17">
        <f t="shared" si="75"/>
        <v>81</v>
      </c>
      <c r="B1009" t="str">
        <f ca="1">TEXT(DATE(YEAR(Invoer!$A$5),1,1)+INT((ROWS(B$2:B1009)-1)/3),"jjjjmmdd")</f>
        <v>19401201</v>
      </c>
      <c r="C1009" s="35" t="str">
        <f>INDEX(Data,2,2+MOD(ROWS(C$2:C1009)-1,3))</f>
        <v>19.45</v>
      </c>
      <c r="D1009" s="23">
        <f t="shared" ca="1" si="76"/>
        <v>750</v>
      </c>
      <c r="E1009" s="40">
        <f t="shared" ca="1" si="77"/>
        <v>0</v>
      </c>
      <c r="F1009" s="23">
        <f t="shared" ca="1" si="78"/>
        <v>29</v>
      </c>
      <c r="G1009" s="40">
        <f t="shared" ca="1" si="79"/>
        <v>0</v>
      </c>
    </row>
    <row r="1010" spans="1:7" x14ac:dyDescent="0.25">
      <c r="A1010" s="17">
        <f t="shared" si="75"/>
        <v>81</v>
      </c>
      <c r="B1010" t="str">
        <f ca="1">TEXT(DATE(YEAR(Invoer!$A$5),1,1)+INT((ROWS(B$2:B1010)-1)/3),"jjjjmmdd")</f>
        <v>19401202</v>
      </c>
      <c r="C1010" s="35" t="str">
        <f>INDEX(Data,2,2+MOD(ROWS(C$2:C1010)-1,3))</f>
        <v>07.45</v>
      </c>
      <c r="D1010" s="23">
        <f t="shared" ca="1" si="76"/>
        <v>750</v>
      </c>
      <c r="E1010" s="40">
        <f t="shared" ca="1" si="77"/>
        <v>0</v>
      </c>
      <c r="F1010" s="23">
        <f t="shared" ca="1" si="78"/>
        <v>27</v>
      </c>
      <c r="G1010" s="40">
        <f t="shared" ca="1" si="79"/>
        <v>0</v>
      </c>
    </row>
    <row r="1011" spans="1:7" x14ac:dyDescent="0.25">
      <c r="A1011" s="17">
        <f t="shared" si="75"/>
        <v>81</v>
      </c>
      <c r="B1011" t="str">
        <f ca="1">TEXT(DATE(YEAR(Invoer!$A$5),1,1)+INT((ROWS(B$2:B1011)-1)/3),"jjjjmmdd")</f>
        <v>19401202</v>
      </c>
      <c r="C1011" s="35" t="str">
        <f>INDEX(Data,2,2+MOD(ROWS(C$2:C1011)-1,3))</f>
        <v>13.45</v>
      </c>
      <c r="D1011" s="23">
        <f t="shared" ca="1" si="76"/>
        <v>750</v>
      </c>
      <c r="E1011" s="40">
        <f t="shared" ca="1" si="77"/>
        <v>0</v>
      </c>
      <c r="F1011" s="23">
        <f t="shared" ca="1" si="78"/>
        <v>30</v>
      </c>
      <c r="G1011" s="40">
        <f t="shared" ca="1" si="79"/>
        <v>0</v>
      </c>
    </row>
    <row r="1012" spans="1:7" x14ac:dyDescent="0.25">
      <c r="A1012" s="17">
        <f t="shared" si="75"/>
        <v>81</v>
      </c>
      <c r="B1012" t="str">
        <f ca="1">TEXT(DATE(YEAR(Invoer!$A$5),1,1)+INT((ROWS(B$2:B1012)-1)/3),"jjjjmmdd")</f>
        <v>19401202</v>
      </c>
      <c r="C1012" s="35" t="str">
        <f>INDEX(Data,2,2+MOD(ROWS(C$2:C1012)-1,3))</f>
        <v>19.45</v>
      </c>
      <c r="D1012" s="23">
        <f t="shared" ca="1" si="76"/>
        <v>750</v>
      </c>
      <c r="E1012" s="40">
        <f t="shared" ca="1" si="77"/>
        <v>0</v>
      </c>
      <c r="F1012" s="23">
        <f t="shared" ca="1" si="78"/>
        <v>29</v>
      </c>
      <c r="G1012" s="40">
        <f t="shared" ca="1" si="79"/>
        <v>0</v>
      </c>
    </row>
    <row r="1013" spans="1:7" x14ac:dyDescent="0.25">
      <c r="A1013" s="17">
        <f t="shared" si="75"/>
        <v>81</v>
      </c>
      <c r="B1013" t="str">
        <f ca="1">TEXT(DATE(YEAR(Invoer!$A$5),1,1)+INT((ROWS(B$2:B1013)-1)/3),"jjjjmmdd")</f>
        <v>19401203</v>
      </c>
      <c r="C1013" s="35" t="str">
        <f>INDEX(Data,2,2+MOD(ROWS(C$2:C1013)-1,3))</f>
        <v>07.45</v>
      </c>
      <c r="D1013" s="23">
        <f t="shared" ca="1" si="76"/>
        <v>750</v>
      </c>
      <c r="E1013" s="40">
        <f t="shared" ca="1" si="77"/>
        <v>0</v>
      </c>
      <c r="F1013" s="23">
        <f t="shared" ca="1" si="78"/>
        <v>27</v>
      </c>
      <c r="G1013" s="40">
        <f t="shared" ca="1" si="79"/>
        <v>0</v>
      </c>
    </row>
    <row r="1014" spans="1:7" x14ac:dyDescent="0.25">
      <c r="A1014" s="17">
        <f t="shared" si="75"/>
        <v>81</v>
      </c>
      <c r="B1014" t="str">
        <f ca="1">TEXT(DATE(YEAR(Invoer!$A$5),1,1)+INT((ROWS(B$2:B1014)-1)/3),"jjjjmmdd")</f>
        <v>19401203</v>
      </c>
      <c r="C1014" s="35" t="str">
        <f>INDEX(Data,2,2+MOD(ROWS(C$2:C1014)-1,3))</f>
        <v>13.45</v>
      </c>
      <c r="D1014" s="23">
        <f t="shared" ca="1" si="76"/>
        <v>750</v>
      </c>
      <c r="E1014" s="40">
        <f t="shared" ca="1" si="77"/>
        <v>0</v>
      </c>
      <c r="F1014" s="23">
        <f t="shared" ca="1" si="78"/>
        <v>30</v>
      </c>
      <c r="G1014" s="40">
        <f t="shared" ca="1" si="79"/>
        <v>0</v>
      </c>
    </row>
    <row r="1015" spans="1:7" x14ac:dyDescent="0.25">
      <c r="A1015" s="17">
        <f t="shared" si="75"/>
        <v>81</v>
      </c>
      <c r="B1015" t="str">
        <f ca="1">TEXT(DATE(YEAR(Invoer!$A$5),1,1)+INT((ROWS(B$2:B1015)-1)/3),"jjjjmmdd")</f>
        <v>19401203</v>
      </c>
      <c r="C1015" s="35" t="str">
        <f>INDEX(Data,2,2+MOD(ROWS(C$2:C1015)-1,3))</f>
        <v>19.45</v>
      </c>
      <c r="D1015" s="23">
        <f t="shared" ca="1" si="76"/>
        <v>750</v>
      </c>
      <c r="E1015" s="40">
        <f t="shared" ca="1" si="77"/>
        <v>0</v>
      </c>
      <c r="F1015" s="23">
        <f t="shared" ca="1" si="78"/>
        <v>29</v>
      </c>
      <c r="G1015" s="40">
        <f t="shared" ca="1" si="79"/>
        <v>0</v>
      </c>
    </row>
    <row r="1016" spans="1:7" x14ac:dyDescent="0.25">
      <c r="A1016" s="17">
        <f t="shared" si="75"/>
        <v>81</v>
      </c>
      <c r="B1016" t="str">
        <f ca="1">TEXT(DATE(YEAR(Invoer!$A$5),1,1)+INT((ROWS(B$2:B1016)-1)/3),"jjjjmmdd")</f>
        <v>19401204</v>
      </c>
      <c r="C1016" s="35" t="str">
        <f>INDEX(Data,2,2+MOD(ROWS(C$2:C1016)-1,3))</f>
        <v>07.45</v>
      </c>
      <c r="D1016" s="23">
        <f t="shared" ca="1" si="76"/>
        <v>750</v>
      </c>
      <c r="E1016" s="40">
        <f t="shared" ca="1" si="77"/>
        <v>0</v>
      </c>
      <c r="F1016" s="23">
        <f t="shared" ca="1" si="78"/>
        <v>27</v>
      </c>
      <c r="G1016" s="40">
        <f t="shared" ca="1" si="79"/>
        <v>0</v>
      </c>
    </row>
    <row r="1017" spans="1:7" x14ac:dyDescent="0.25">
      <c r="A1017" s="17">
        <f t="shared" si="75"/>
        <v>81</v>
      </c>
      <c r="B1017" t="str">
        <f ca="1">TEXT(DATE(YEAR(Invoer!$A$5),1,1)+INT((ROWS(B$2:B1017)-1)/3),"jjjjmmdd")</f>
        <v>19401204</v>
      </c>
      <c r="C1017" s="35" t="str">
        <f>INDEX(Data,2,2+MOD(ROWS(C$2:C1017)-1,3))</f>
        <v>13.45</v>
      </c>
      <c r="D1017" s="23">
        <f t="shared" ca="1" si="76"/>
        <v>750</v>
      </c>
      <c r="E1017" s="40">
        <f t="shared" ca="1" si="77"/>
        <v>0</v>
      </c>
      <c r="F1017" s="23">
        <f t="shared" ca="1" si="78"/>
        <v>30</v>
      </c>
      <c r="G1017" s="40">
        <f t="shared" ca="1" si="79"/>
        <v>0</v>
      </c>
    </row>
    <row r="1018" spans="1:7" x14ac:dyDescent="0.25">
      <c r="A1018" s="17">
        <f t="shared" si="75"/>
        <v>81</v>
      </c>
      <c r="B1018" t="str">
        <f ca="1">TEXT(DATE(YEAR(Invoer!$A$5),1,1)+INT((ROWS(B$2:B1018)-1)/3),"jjjjmmdd")</f>
        <v>19401204</v>
      </c>
      <c r="C1018" s="35" t="str">
        <f>INDEX(Data,2,2+MOD(ROWS(C$2:C1018)-1,3))</f>
        <v>19.45</v>
      </c>
      <c r="D1018" s="23">
        <f t="shared" ca="1" si="76"/>
        <v>750</v>
      </c>
      <c r="E1018" s="40">
        <f t="shared" ca="1" si="77"/>
        <v>0</v>
      </c>
      <c r="F1018" s="23">
        <f t="shared" ca="1" si="78"/>
        <v>29</v>
      </c>
      <c r="G1018" s="40">
        <f t="shared" ca="1" si="79"/>
        <v>0</v>
      </c>
    </row>
    <row r="1019" spans="1:7" x14ac:dyDescent="0.25">
      <c r="A1019" s="17">
        <f t="shared" si="75"/>
        <v>81</v>
      </c>
      <c r="B1019" t="str">
        <f ca="1">TEXT(DATE(YEAR(Invoer!$A$5),1,1)+INT((ROWS(B$2:B1019)-1)/3),"jjjjmmdd")</f>
        <v>19401205</v>
      </c>
      <c r="C1019" s="35" t="str">
        <f>INDEX(Data,2,2+MOD(ROWS(C$2:C1019)-1,3))</f>
        <v>07.45</v>
      </c>
      <c r="D1019" s="23">
        <f t="shared" ca="1" si="76"/>
        <v>750</v>
      </c>
      <c r="E1019" s="40">
        <f t="shared" ca="1" si="77"/>
        <v>0</v>
      </c>
      <c r="F1019" s="23">
        <f t="shared" ca="1" si="78"/>
        <v>27</v>
      </c>
      <c r="G1019" s="40">
        <f t="shared" ca="1" si="79"/>
        <v>0</v>
      </c>
    </row>
    <row r="1020" spans="1:7" x14ac:dyDescent="0.25">
      <c r="A1020" s="17">
        <f t="shared" si="75"/>
        <v>81</v>
      </c>
      <c r="B1020" t="str">
        <f ca="1">TEXT(DATE(YEAR(Invoer!$A$5),1,1)+INT((ROWS(B$2:B1020)-1)/3),"jjjjmmdd")</f>
        <v>19401205</v>
      </c>
      <c r="C1020" s="35" t="str">
        <f>INDEX(Data,2,2+MOD(ROWS(C$2:C1020)-1,3))</f>
        <v>13.45</v>
      </c>
      <c r="D1020" s="23">
        <f t="shared" ca="1" si="76"/>
        <v>750</v>
      </c>
      <c r="E1020" s="40">
        <f t="shared" ca="1" si="77"/>
        <v>0</v>
      </c>
      <c r="F1020" s="23">
        <f t="shared" ca="1" si="78"/>
        <v>30</v>
      </c>
      <c r="G1020" s="40">
        <f t="shared" ca="1" si="79"/>
        <v>0</v>
      </c>
    </row>
    <row r="1021" spans="1:7" x14ac:dyDescent="0.25">
      <c r="A1021" s="17">
        <f t="shared" si="75"/>
        <v>81</v>
      </c>
      <c r="B1021" t="str">
        <f ca="1">TEXT(DATE(YEAR(Invoer!$A$5),1,1)+INT((ROWS(B$2:B1021)-1)/3),"jjjjmmdd")</f>
        <v>19401205</v>
      </c>
      <c r="C1021" s="35" t="str">
        <f>INDEX(Data,2,2+MOD(ROWS(C$2:C1021)-1,3))</f>
        <v>19.45</v>
      </c>
      <c r="D1021" s="23">
        <f t="shared" ca="1" si="76"/>
        <v>750</v>
      </c>
      <c r="E1021" s="40">
        <f t="shared" ca="1" si="77"/>
        <v>0</v>
      </c>
      <c r="F1021" s="23">
        <f t="shared" ca="1" si="78"/>
        <v>29</v>
      </c>
      <c r="G1021" s="40">
        <f t="shared" ca="1" si="79"/>
        <v>0</v>
      </c>
    </row>
    <row r="1022" spans="1:7" x14ac:dyDescent="0.25">
      <c r="A1022" s="17">
        <f t="shared" si="75"/>
        <v>81</v>
      </c>
      <c r="B1022" t="str">
        <f ca="1">TEXT(DATE(YEAR(Invoer!$A$5),1,1)+INT((ROWS(B$2:B1022)-1)/3),"jjjjmmdd")</f>
        <v>19401206</v>
      </c>
      <c r="C1022" s="35" t="str">
        <f>INDEX(Data,2,2+MOD(ROWS(C$2:C1022)-1,3))</f>
        <v>07.45</v>
      </c>
      <c r="D1022" s="23">
        <f t="shared" ca="1" si="76"/>
        <v>749</v>
      </c>
      <c r="E1022" s="40">
        <f t="shared" ca="1" si="77"/>
        <v>0</v>
      </c>
      <c r="F1022" s="23">
        <f t="shared" ca="1" si="78"/>
        <v>27</v>
      </c>
      <c r="G1022" s="40">
        <f t="shared" ca="1" si="79"/>
        <v>0</v>
      </c>
    </row>
    <row r="1023" spans="1:7" x14ac:dyDescent="0.25">
      <c r="A1023" s="17">
        <f t="shared" si="75"/>
        <v>81</v>
      </c>
      <c r="B1023" t="str">
        <f ca="1">TEXT(DATE(YEAR(Invoer!$A$5),1,1)+INT((ROWS(B$2:B1023)-1)/3),"jjjjmmdd")</f>
        <v>19401206</v>
      </c>
      <c r="C1023" s="35" t="str">
        <f>INDEX(Data,2,2+MOD(ROWS(C$2:C1023)-1,3))</f>
        <v>13.45</v>
      </c>
      <c r="D1023" s="23">
        <f t="shared" ca="1" si="76"/>
        <v>749</v>
      </c>
      <c r="E1023" s="40">
        <f t="shared" ca="1" si="77"/>
        <v>0</v>
      </c>
      <c r="F1023" s="23">
        <f t="shared" ca="1" si="78"/>
        <v>30</v>
      </c>
      <c r="G1023" s="40">
        <f t="shared" ca="1" si="79"/>
        <v>0</v>
      </c>
    </row>
    <row r="1024" spans="1:7" x14ac:dyDescent="0.25">
      <c r="A1024" s="17">
        <f t="shared" si="75"/>
        <v>81</v>
      </c>
      <c r="B1024" t="str">
        <f ca="1">TEXT(DATE(YEAR(Invoer!$A$5),1,1)+INT((ROWS(B$2:B1024)-1)/3),"jjjjmmdd")</f>
        <v>19401206</v>
      </c>
      <c r="C1024" s="35" t="str">
        <f>INDEX(Data,2,2+MOD(ROWS(C$2:C1024)-1,3))</f>
        <v>19.45</v>
      </c>
      <c r="D1024" s="23">
        <f t="shared" ca="1" si="76"/>
        <v>749</v>
      </c>
      <c r="E1024" s="40">
        <f t="shared" ca="1" si="77"/>
        <v>0</v>
      </c>
      <c r="F1024" s="23">
        <f t="shared" ca="1" si="78"/>
        <v>29</v>
      </c>
      <c r="G1024" s="40">
        <f t="shared" ca="1" si="79"/>
        <v>0</v>
      </c>
    </row>
    <row r="1025" spans="1:7" x14ac:dyDescent="0.25">
      <c r="A1025" s="17">
        <f t="shared" si="75"/>
        <v>81</v>
      </c>
      <c r="B1025" t="str">
        <f ca="1">TEXT(DATE(YEAR(Invoer!$A$5),1,1)+INT((ROWS(B$2:B1025)-1)/3),"jjjjmmdd")</f>
        <v>19401207</v>
      </c>
      <c r="C1025" s="35" t="str">
        <f>INDEX(Data,2,2+MOD(ROWS(C$2:C1025)-1,3))</f>
        <v>07.45</v>
      </c>
      <c r="D1025" s="23">
        <f t="shared" ca="1" si="76"/>
        <v>749</v>
      </c>
      <c r="E1025" s="40">
        <f t="shared" ca="1" si="77"/>
        <v>0</v>
      </c>
      <c r="F1025" s="23">
        <f t="shared" ca="1" si="78"/>
        <v>27</v>
      </c>
      <c r="G1025" s="40">
        <f t="shared" ca="1" si="79"/>
        <v>0</v>
      </c>
    </row>
    <row r="1026" spans="1:7" x14ac:dyDescent="0.25">
      <c r="A1026" s="17">
        <f t="shared" ref="A1026:A1089" si="80">INDEX(Stations,2,1)</f>
        <v>81</v>
      </c>
      <c r="B1026" t="str">
        <f ca="1">TEXT(DATE(YEAR(Invoer!$A$5),1,1)+INT((ROWS(B$2:B1026)-1)/3),"jjjjmmdd")</f>
        <v>19401207</v>
      </c>
      <c r="C1026" s="35" t="str">
        <f>INDEX(Data,2,2+MOD(ROWS(C$2:C1026)-1,3))</f>
        <v>13.45</v>
      </c>
      <c r="D1026" s="23">
        <f t="shared" ref="D1026:D1089" ca="1" si="81">IF(OR(ISBLANK(VLOOKUP(DATEVALUE(LEFT($B1026,4)&amp;"-"&amp;MID($B1026,5,2)&amp;"-"&amp;RIGHT($B1026,2)),Data,MATCH(LEFT(VLOOKUP(D$1,Parameters,2,FALSE()),4)&amp;"*",OFFSET(Data,0,0,1),0)+MATCH($C1026,OFFSET(Data,1,0,1),0)-2,FALSE())),ISTEXT(VLOOKUP(DATEVALUE(LEFT($B1026,4)&amp;"-"&amp;MID($B1026,5,2)&amp;"-"&amp;RIGHT($B1026,2)),Data,MATCH(LEFT(VLOOKUP(D$1,Parameters,2,FALSE()),4)&amp;"*",OFFSET(Data,0,0,1),0)+MATCH($C1026,OFFSET(Data,1,0,1),0)-2,FALSE()))),"—",VLOOKUP(DATEVALUE(LEFT($B1026,4)&amp;"-"&amp;MID($B1026,5,2)&amp;"-"&amp;RIGHT($B1026,2)),Data,MATCH(LEFT(VLOOKUP(D$1,Parameters,2,FALSE()),4)&amp;"*",OFFSET(Data,0,0,1),0)+MATCH($C1026,OFFSET(Data,1,0,1),0)-2,FALSE()))</f>
        <v>749</v>
      </c>
      <c r="E1026" s="40">
        <f t="shared" ref="E1026:E1089" ca="1" si="82">IF(OR(ISBLANK(VLOOKUP(DATEVALUE(LEFT($B1026,4)&amp;"-"&amp;MID($B1026,5,2)&amp;"-"&amp;RIGHT($B1026,2)),Data,MATCH(LEFT(VLOOKUP(MID(E$1,2,LEN(E$1)-1),Parameters,2,FALSE()),4)&amp;"*",OFFSET(Data,0,0,1),0)+MATCH($C1026,OFFSET(Data,1,0,1),0)-2,FALSE())),ISTEXT(VLOOKUP(DATEVALUE(LEFT($B1026,4)&amp;"-"&amp;MID($B1026,5,2)&amp;"-"&amp;RIGHT($B1026,2)),Data,MATCH(LEFT(VLOOKUP(MID(E$1,2,LEN(E$1)-1),Parameters,2,FALSE()),4)&amp;"*",OFFSET(Data,0,0,1),0)+MATCH($C1026,OFFSET(Data,1,0,1),0)-2,FALSE()))),Lacking,IF(ISNA(MATCH(DATEVALUE(LEFT($B1026,4)&amp;"-"&amp;MID($B1026,5,2)&amp;"-"&amp;RIGHT($B1026,2)),OFFSET(Catalogus,0,0,,1),0)),Ok,VLOOKUP(DATEVALUE(LEFT($B1026,4)&amp;"-"&amp;MID($B1026,5,2)&amp;"-"&amp;RIGHT($B1026,2)),Catalogus,MATCH(LEFT(VLOOKUP(MID(E$1,2,LEN(E$1)-1),Parameters,2,FALSE()),4)&amp;"*",OFFSET(Catalogus,0,0,1),0)+MATCH($C1026,OFFSET(Catalogus,1,0,1),0)-2,FALSE())))</f>
        <v>0</v>
      </c>
      <c r="F1026" s="23">
        <f t="shared" ref="F1026:F1089" ca="1" si="83">IF(OR(ISBLANK(VLOOKUP(DATEVALUE(LEFT($B1026,4)&amp;"-"&amp;MID($B1026,5,2)&amp;"-"&amp;RIGHT($B1026,2)),Data,MATCH(LEFT(VLOOKUP(F$1,Parameters,2,FALSE()),4)&amp;"*",OFFSET(Data,0,0,1),0)+MATCH($C1026,OFFSET(Data,1,0,1),0)-2,FALSE())),ISTEXT(VLOOKUP(DATEVALUE(LEFT($B1026,4)&amp;"-"&amp;MID($B1026,5,2)&amp;"-"&amp;RIGHT($B1026,2)),Data,MATCH(LEFT(VLOOKUP(F$1,Parameters,2,FALSE()),4)&amp;"*",OFFSET(Data,0,0,1),0)+MATCH($C1026,OFFSET(Data,1,0,1),0)-2,FALSE()))),"—",VLOOKUP(DATEVALUE(LEFT($B1026,4)&amp;"-"&amp;MID($B1026,5,2)&amp;"-"&amp;RIGHT($B1026,2)),Data,MATCH(LEFT(VLOOKUP(F$1,Parameters,2,FALSE()),4)&amp;"*",OFFSET(Data,0,0,1),0)+MATCH($C1026,OFFSET(Data,1,0,1),0)-2,FALSE()))</f>
        <v>30</v>
      </c>
      <c r="G1026" s="40">
        <f t="shared" ref="G1026:G1089" ca="1" si="84">IF(OR(ISBLANK(VLOOKUP(DATEVALUE(LEFT($B1026,4)&amp;"-"&amp;MID($B1026,5,2)&amp;"-"&amp;RIGHT($B1026,2)),Data,MATCH(LEFT(VLOOKUP(MID(G$1,2,LEN(G$1)-1),Parameters,2,FALSE()),4)&amp;"*",OFFSET(Data,0,0,1),0)+MATCH($C1026,OFFSET(Data,1,0,1),0)-2,FALSE())),ISTEXT(VLOOKUP(DATEVALUE(LEFT($B1026,4)&amp;"-"&amp;MID($B1026,5,2)&amp;"-"&amp;RIGHT($B1026,2)),Data,MATCH(LEFT(VLOOKUP(MID(G$1,2,LEN(G$1)-1),Parameters,2,FALSE()),4)&amp;"*",OFFSET(Data,0,0,1),0)+MATCH($C1026,OFFSET(Data,1,0,1),0)-2,FALSE()))),Lacking,IF(ISNA(MATCH(DATEVALUE(LEFT($B1026,4)&amp;"-"&amp;MID($B1026,5,2)&amp;"-"&amp;RIGHT($B1026,2)),OFFSET(Catalogus,0,0,,1),0)),Ok,VLOOKUP(DATEVALUE(LEFT($B1026,4)&amp;"-"&amp;MID($B1026,5,2)&amp;"-"&amp;RIGHT($B1026,2)),Catalogus,MATCH(LEFT(VLOOKUP(MID(G$1,2,LEN(G$1)-1),Parameters,2,FALSE()),4)&amp;"*",OFFSET(Catalogus,0,0,1),0)+MATCH($C1026,OFFSET(Catalogus,1,0,1),0)-2,FALSE())))</f>
        <v>0</v>
      </c>
    </row>
    <row r="1027" spans="1:7" x14ac:dyDescent="0.25">
      <c r="A1027" s="17">
        <f t="shared" si="80"/>
        <v>81</v>
      </c>
      <c r="B1027" t="str">
        <f ca="1">TEXT(DATE(YEAR(Invoer!$A$5),1,1)+INT((ROWS(B$2:B1027)-1)/3),"jjjjmmdd")</f>
        <v>19401207</v>
      </c>
      <c r="C1027" s="35" t="str">
        <f>INDEX(Data,2,2+MOD(ROWS(C$2:C1027)-1,3))</f>
        <v>19.45</v>
      </c>
      <c r="D1027" s="23">
        <f t="shared" ca="1" si="81"/>
        <v>749</v>
      </c>
      <c r="E1027" s="40">
        <f t="shared" ca="1" si="82"/>
        <v>0</v>
      </c>
      <c r="F1027" s="23">
        <f t="shared" ca="1" si="83"/>
        <v>29</v>
      </c>
      <c r="G1027" s="40">
        <f t="shared" ca="1" si="84"/>
        <v>0</v>
      </c>
    </row>
    <row r="1028" spans="1:7" x14ac:dyDescent="0.25">
      <c r="A1028" s="17">
        <f t="shared" si="80"/>
        <v>81</v>
      </c>
      <c r="B1028" t="str">
        <f ca="1">TEXT(DATE(YEAR(Invoer!$A$5),1,1)+INT((ROWS(B$2:B1028)-1)/3),"jjjjmmdd")</f>
        <v>19401208</v>
      </c>
      <c r="C1028" s="35" t="str">
        <f>INDEX(Data,2,2+MOD(ROWS(C$2:C1028)-1,3))</f>
        <v>07.45</v>
      </c>
      <c r="D1028" s="23">
        <f t="shared" ca="1" si="81"/>
        <v>749</v>
      </c>
      <c r="E1028" s="40">
        <f t="shared" ca="1" si="82"/>
        <v>0</v>
      </c>
      <c r="F1028" s="23">
        <f t="shared" ca="1" si="83"/>
        <v>27</v>
      </c>
      <c r="G1028" s="40">
        <f t="shared" ca="1" si="84"/>
        <v>0</v>
      </c>
    </row>
    <row r="1029" spans="1:7" x14ac:dyDescent="0.25">
      <c r="A1029" s="17">
        <f t="shared" si="80"/>
        <v>81</v>
      </c>
      <c r="B1029" t="str">
        <f ca="1">TEXT(DATE(YEAR(Invoer!$A$5),1,1)+INT((ROWS(B$2:B1029)-1)/3),"jjjjmmdd")</f>
        <v>19401208</v>
      </c>
      <c r="C1029" s="35" t="str">
        <f>INDEX(Data,2,2+MOD(ROWS(C$2:C1029)-1,3))</f>
        <v>13.45</v>
      </c>
      <c r="D1029" s="23">
        <f t="shared" ca="1" si="81"/>
        <v>749</v>
      </c>
      <c r="E1029" s="40">
        <f t="shared" ca="1" si="82"/>
        <v>0</v>
      </c>
      <c r="F1029" s="23">
        <f t="shared" ca="1" si="83"/>
        <v>30</v>
      </c>
      <c r="G1029" s="40">
        <f t="shared" ca="1" si="84"/>
        <v>0</v>
      </c>
    </row>
    <row r="1030" spans="1:7" x14ac:dyDescent="0.25">
      <c r="A1030" s="17">
        <f t="shared" si="80"/>
        <v>81</v>
      </c>
      <c r="B1030" t="str">
        <f ca="1">TEXT(DATE(YEAR(Invoer!$A$5),1,1)+INT((ROWS(B$2:B1030)-1)/3),"jjjjmmdd")</f>
        <v>19401208</v>
      </c>
      <c r="C1030" s="35" t="str">
        <f>INDEX(Data,2,2+MOD(ROWS(C$2:C1030)-1,3))</f>
        <v>19.45</v>
      </c>
      <c r="D1030" s="23">
        <f t="shared" ca="1" si="81"/>
        <v>749</v>
      </c>
      <c r="E1030" s="40">
        <f t="shared" ca="1" si="82"/>
        <v>0</v>
      </c>
      <c r="F1030" s="23">
        <f t="shared" ca="1" si="83"/>
        <v>29</v>
      </c>
      <c r="G1030" s="40">
        <f t="shared" ca="1" si="84"/>
        <v>0</v>
      </c>
    </row>
    <row r="1031" spans="1:7" x14ac:dyDescent="0.25">
      <c r="A1031" s="17">
        <f t="shared" si="80"/>
        <v>81</v>
      </c>
      <c r="B1031" t="str">
        <f ca="1">TEXT(DATE(YEAR(Invoer!$A$5),1,1)+INT((ROWS(B$2:B1031)-1)/3),"jjjjmmdd")</f>
        <v>19401209</v>
      </c>
      <c r="C1031" s="35" t="str">
        <f>INDEX(Data,2,2+MOD(ROWS(C$2:C1031)-1,3))</f>
        <v>07.45</v>
      </c>
      <c r="D1031" s="23">
        <f t="shared" ca="1" si="81"/>
        <v>749</v>
      </c>
      <c r="E1031" s="40">
        <f t="shared" ca="1" si="82"/>
        <v>0</v>
      </c>
      <c r="F1031" s="23">
        <f t="shared" ca="1" si="83"/>
        <v>27</v>
      </c>
      <c r="G1031" s="40">
        <f t="shared" ca="1" si="84"/>
        <v>0</v>
      </c>
    </row>
    <row r="1032" spans="1:7" x14ac:dyDescent="0.25">
      <c r="A1032" s="17">
        <f t="shared" si="80"/>
        <v>81</v>
      </c>
      <c r="B1032" t="str">
        <f ca="1">TEXT(DATE(YEAR(Invoer!$A$5),1,1)+INT((ROWS(B$2:B1032)-1)/3),"jjjjmmdd")</f>
        <v>19401209</v>
      </c>
      <c r="C1032" s="35" t="str">
        <f>INDEX(Data,2,2+MOD(ROWS(C$2:C1032)-1,3))</f>
        <v>13.45</v>
      </c>
      <c r="D1032" s="23">
        <f t="shared" ca="1" si="81"/>
        <v>749</v>
      </c>
      <c r="E1032" s="40">
        <f t="shared" ca="1" si="82"/>
        <v>0</v>
      </c>
      <c r="F1032" s="23">
        <f t="shared" ca="1" si="83"/>
        <v>29</v>
      </c>
      <c r="G1032" s="40">
        <f t="shared" ca="1" si="84"/>
        <v>0</v>
      </c>
    </row>
    <row r="1033" spans="1:7" x14ac:dyDescent="0.25">
      <c r="A1033" s="17">
        <f t="shared" si="80"/>
        <v>81</v>
      </c>
      <c r="B1033" t="str">
        <f ca="1">TEXT(DATE(YEAR(Invoer!$A$5),1,1)+INT((ROWS(B$2:B1033)-1)/3),"jjjjmmdd")</f>
        <v>19401209</v>
      </c>
      <c r="C1033" s="35" t="str">
        <f>INDEX(Data,2,2+MOD(ROWS(C$2:C1033)-1,3))</f>
        <v>19.45</v>
      </c>
      <c r="D1033" s="23">
        <f t="shared" ca="1" si="81"/>
        <v>750</v>
      </c>
      <c r="E1033" s="40">
        <f t="shared" ca="1" si="82"/>
        <v>0</v>
      </c>
      <c r="F1033" s="23">
        <f t="shared" ca="1" si="83"/>
        <v>28</v>
      </c>
      <c r="G1033" s="40">
        <f t="shared" ca="1" si="84"/>
        <v>0</v>
      </c>
    </row>
    <row r="1034" spans="1:7" x14ac:dyDescent="0.25">
      <c r="A1034" s="17">
        <f t="shared" si="80"/>
        <v>81</v>
      </c>
      <c r="B1034" t="str">
        <f ca="1">TEXT(DATE(YEAR(Invoer!$A$5),1,1)+INT((ROWS(B$2:B1034)-1)/3),"jjjjmmdd")</f>
        <v>19401210</v>
      </c>
      <c r="C1034" s="35" t="str">
        <f>INDEX(Data,2,2+MOD(ROWS(C$2:C1034)-1,3))</f>
        <v>07.45</v>
      </c>
      <c r="D1034" s="23">
        <f t="shared" ca="1" si="81"/>
        <v>750</v>
      </c>
      <c r="E1034" s="40">
        <f t="shared" ca="1" si="82"/>
        <v>0</v>
      </c>
      <c r="F1034" s="23">
        <f t="shared" ca="1" si="83"/>
        <v>27</v>
      </c>
      <c r="G1034" s="40">
        <f t="shared" ca="1" si="84"/>
        <v>0</v>
      </c>
    </row>
    <row r="1035" spans="1:7" x14ac:dyDescent="0.25">
      <c r="A1035" s="17">
        <f t="shared" si="80"/>
        <v>81</v>
      </c>
      <c r="B1035" t="str">
        <f ca="1">TEXT(DATE(YEAR(Invoer!$A$5),1,1)+INT((ROWS(B$2:B1035)-1)/3),"jjjjmmdd")</f>
        <v>19401210</v>
      </c>
      <c r="C1035" s="35" t="str">
        <f>INDEX(Data,2,2+MOD(ROWS(C$2:C1035)-1,3))</f>
        <v>13.45</v>
      </c>
      <c r="D1035" s="23">
        <f t="shared" ca="1" si="81"/>
        <v>750</v>
      </c>
      <c r="E1035" s="40">
        <f t="shared" ca="1" si="82"/>
        <v>0</v>
      </c>
      <c r="F1035" s="23">
        <f t="shared" ca="1" si="83"/>
        <v>29</v>
      </c>
      <c r="G1035" s="40">
        <f t="shared" ca="1" si="84"/>
        <v>0</v>
      </c>
    </row>
    <row r="1036" spans="1:7" x14ac:dyDescent="0.25">
      <c r="A1036" s="17">
        <f t="shared" si="80"/>
        <v>81</v>
      </c>
      <c r="B1036" t="str">
        <f ca="1">TEXT(DATE(YEAR(Invoer!$A$5),1,1)+INT((ROWS(B$2:B1036)-1)/3),"jjjjmmdd")</f>
        <v>19401210</v>
      </c>
      <c r="C1036" s="35" t="str">
        <f>INDEX(Data,2,2+MOD(ROWS(C$2:C1036)-1,3))</f>
        <v>19.45</v>
      </c>
      <c r="D1036" s="23">
        <f t="shared" ca="1" si="81"/>
        <v>750</v>
      </c>
      <c r="E1036" s="40">
        <f t="shared" ca="1" si="82"/>
        <v>0</v>
      </c>
      <c r="F1036" s="23">
        <f t="shared" ca="1" si="83"/>
        <v>28</v>
      </c>
      <c r="G1036" s="40">
        <f t="shared" ca="1" si="84"/>
        <v>0</v>
      </c>
    </row>
    <row r="1037" spans="1:7" x14ac:dyDescent="0.25">
      <c r="A1037" s="17">
        <f t="shared" si="80"/>
        <v>81</v>
      </c>
      <c r="B1037" t="str">
        <f ca="1">TEXT(DATE(YEAR(Invoer!$A$5),1,1)+INT((ROWS(B$2:B1037)-1)/3),"jjjjmmdd")</f>
        <v>19401211</v>
      </c>
      <c r="C1037" s="35" t="str">
        <f>INDEX(Data,2,2+MOD(ROWS(C$2:C1037)-1,3))</f>
        <v>07.45</v>
      </c>
      <c r="D1037" s="23">
        <f t="shared" ca="1" si="81"/>
        <v>750</v>
      </c>
      <c r="E1037" s="40">
        <f t="shared" ca="1" si="82"/>
        <v>0</v>
      </c>
      <c r="F1037" s="23">
        <f t="shared" ca="1" si="83"/>
        <v>27</v>
      </c>
      <c r="G1037" s="40">
        <f t="shared" ca="1" si="84"/>
        <v>0</v>
      </c>
    </row>
    <row r="1038" spans="1:7" x14ac:dyDescent="0.25">
      <c r="A1038" s="17">
        <f t="shared" si="80"/>
        <v>81</v>
      </c>
      <c r="B1038" t="str">
        <f ca="1">TEXT(DATE(YEAR(Invoer!$A$5),1,1)+INT((ROWS(B$2:B1038)-1)/3),"jjjjmmdd")</f>
        <v>19401211</v>
      </c>
      <c r="C1038" s="35" t="str">
        <f>INDEX(Data,2,2+MOD(ROWS(C$2:C1038)-1,3))</f>
        <v>13.45</v>
      </c>
      <c r="D1038" s="23">
        <f t="shared" ca="1" si="81"/>
        <v>750</v>
      </c>
      <c r="E1038" s="40">
        <f t="shared" ca="1" si="82"/>
        <v>0</v>
      </c>
      <c r="F1038" s="23">
        <f t="shared" ca="1" si="83"/>
        <v>29</v>
      </c>
      <c r="G1038" s="40">
        <f t="shared" ca="1" si="84"/>
        <v>0</v>
      </c>
    </row>
    <row r="1039" spans="1:7" x14ac:dyDescent="0.25">
      <c r="A1039" s="17">
        <f t="shared" si="80"/>
        <v>81</v>
      </c>
      <c r="B1039" t="str">
        <f ca="1">TEXT(DATE(YEAR(Invoer!$A$5),1,1)+INT((ROWS(B$2:B1039)-1)/3),"jjjjmmdd")</f>
        <v>19401211</v>
      </c>
      <c r="C1039" s="35" t="str">
        <f>INDEX(Data,2,2+MOD(ROWS(C$2:C1039)-1,3))</f>
        <v>19.45</v>
      </c>
      <c r="D1039" s="23">
        <f t="shared" ca="1" si="81"/>
        <v>750</v>
      </c>
      <c r="E1039" s="40">
        <f t="shared" ca="1" si="82"/>
        <v>0</v>
      </c>
      <c r="F1039" s="23">
        <f t="shared" ca="1" si="83"/>
        <v>28</v>
      </c>
      <c r="G1039" s="40">
        <f t="shared" ca="1" si="84"/>
        <v>0</v>
      </c>
    </row>
    <row r="1040" spans="1:7" x14ac:dyDescent="0.25">
      <c r="A1040" s="17">
        <f t="shared" si="80"/>
        <v>81</v>
      </c>
      <c r="B1040" t="str">
        <f ca="1">TEXT(DATE(YEAR(Invoer!$A$5),1,1)+INT((ROWS(B$2:B1040)-1)/3),"jjjjmmdd")</f>
        <v>19401212</v>
      </c>
      <c r="C1040" s="35" t="str">
        <f>INDEX(Data,2,2+MOD(ROWS(C$2:C1040)-1,3))</f>
        <v>07.45</v>
      </c>
      <c r="D1040" s="23">
        <f t="shared" ca="1" si="81"/>
        <v>749</v>
      </c>
      <c r="E1040" s="40">
        <f t="shared" ca="1" si="82"/>
        <v>0</v>
      </c>
      <c r="F1040" s="23">
        <f t="shared" ca="1" si="83"/>
        <v>27</v>
      </c>
      <c r="G1040" s="40">
        <f t="shared" ca="1" si="84"/>
        <v>0</v>
      </c>
    </row>
    <row r="1041" spans="1:7" x14ac:dyDescent="0.25">
      <c r="A1041" s="17">
        <f t="shared" si="80"/>
        <v>81</v>
      </c>
      <c r="B1041" t="str">
        <f ca="1">TEXT(DATE(YEAR(Invoer!$A$5),1,1)+INT((ROWS(B$2:B1041)-1)/3),"jjjjmmdd")</f>
        <v>19401212</v>
      </c>
      <c r="C1041" s="35" t="str">
        <f>INDEX(Data,2,2+MOD(ROWS(C$2:C1041)-1,3))</f>
        <v>13.45</v>
      </c>
      <c r="D1041" s="23">
        <f t="shared" ca="1" si="81"/>
        <v>750</v>
      </c>
      <c r="E1041" s="40">
        <f t="shared" ca="1" si="82"/>
        <v>0</v>
      </c>
      <c r="F1041" s="23">
        <f t="shared" ca="1" si="83"/>
        <v>29</v>
      </c>
      <c r="G1041" s="40">
        <f t="shared" ca="1" si="84"/>
        <v>0</v>
      </c>
    </row>
    <row r="1042" spans="1:7" x14ac:dyDescent="0.25">
      <c r="A1042" s="17">
        <f t="shared" si="80"/>
        <v>81</v>
      </c>
      <c r="B1042" t="str">
        <f ca="1">TEXT(DATE(YEAR(Invoer!$A$5),1,1)+INT((ROWS(B$2:B1042)-1)/3),"jjjjmmdd")</f>
        <v>19401212</v>
      </c>
      <c r="C1042" s="35" t="str">
        <f>INDEX(Data,2,2+MOD(ROWS(C$2:C1042)-1,3))</f>
        <v>19.45</v>
      </c>
      <c r="D1042" s="23">
        <f t="shared" ca="1" si="81"/>
        <v>750</v>
      </c>
      <c r="E1042" s="40">
        <f t="shared" ca="1" si="82"/>
        <v>0</v>
      </c>
      <c r="F1042" s="23">
        <f t="shared" ca="1" si="83"/>
        <v>28</v>
      </c>
      <c r="G1042" s="40">
        <f t="shared" ca="1" si="84"/>
        <v>0</v>
      </c>
    </row>
    <row r="1043" spans="1:7" x14ac:dyDescent="0.25">
      <c r="A1043" s="17">
        <f t="shared" si="80"/>
        <v>81</v>
      </c>
      <c r="B1043" t="str">
        <f ca="1">TEXT(DATE(YEAR(Invoer!$A$5),1,1)+INT((ROWS(B$2:B1043)-1)/3),"jjjjmmdd")</f>
        <v>19401213</v>
      </c>
      <c r="C1043" s="35" t="str">
        <f>INDEX(Data,2,2+MOD(ROWS(C$2:C1043)-1,3))</f>
        <v>07.45</v>
      </c>
      <c r="D1043" s="23">
        <f t="shared" ca="1" si="81"/>
        <v>750</v>
      </c>
      <c r="E1043" s="40">
        <f t="shared" ca="1" si="82"/>
        <v>0</v>
      </c>
      <c r="F1043" s="23">
        <f t="shared" ca="1" si="83"/>
        <v>27</v>
      </c>
      <c r="G1043" s="40">
        <f t="shared" ca="1" si="84"/>
        <v>0</v>
      </c>
    </row>
    <row r="1044" spans="1:7" x14ac:dyDescent="0.25">
      <c r="A1044" s="17">
        <f t="shared" si="80"/>
        <v>81</v>
      </c>
      <c r="B1044" t="str">
        <f ca="1">TEXT(DATE(YEAR(Invoer!$A$5),1,1)+INT((ROWS(B$2:B1044)-1)/3),"jjjjmmdd")</f>
        <v>19401213</v>
      </c>
      <c r="C1044" s="35" t="str">
        <f>INDEX(Data,2,2+MOD(ROWS(C$2:C1044)-1,3))</f>
        <v>13.45</v>
      </c>
      <c r="D1044" s="23">
        <f t="shared" ca="1" si="81"/>
        <v>749</v>
      </c>
      <c r="E1044" s="40">
        <f t="shared" ca="1" si="82"/>
        <v>0</v>
      </c>
      <c r="F1044" s="23">
        <f t="shared" ca="1" si="83"/>
        <v>29</v>
      </c>
      <c r="G1044" s="40">
        <f t="shared" ca="1" si="84"/>
        <v>0</v>
      </c>
    </row>
    <row r="1045" spans="1:7" x14ac:dyDescent="0.25">
      <c r="A1045" s="17">
        <f t="shared" si="80"/>
        <v>81</v>
      </c>
      <c r="B1045" t="str">
        <f ca="1">TEXT(DATE(YEAR(Invoer!$A$5),1,1)+INT((ROWS(B$2:B1045)-1)/3),"jjjjmmdd")</f>
        <v>19401213</v>
      </c>
      <c r="C1045" s="35" t="str">
        <f>INDEX(Data,2,2+MOD(ROWS(C$2:C1045)-1,3))</f>
        <v>19.45</v>
      </c>
      <c r="D1045" s="23">
        <f t="shared" ca="1" si="81"/>
        <v>749</v>
      </c>
      <c r="E1045" s="40">
        <f t="shared" ca="1" si="82"/>
        <v>0</v>
      </c>
      <c r="F1045" s="23">
        <f t="shared" ca="1" si="83"/>
        <v>28</v>
      </c>
      <c r="G1045" s="40">
        <f t="shared" ca="1" si="84"/>
        <v>0</v>
      </c>
    </row>
    <row r="1046" spans="1:7" x14ac:dyDescent="0.25">
      <c r="A1046" s="17">
        <f t="shared" si="80"/>
        <v>81</v>
      </c>
      <c r="B1046" t="str">
        <f ca="1">TEXT(DATE(YEAR(Invoer!$A$5),1,1)+INT((ROWS(B$2:B1046)-1)/3),"jjjjmmdd")</f>
        <v>19401214</v>
      </c>
      <c r="C1046" s="35" t="str">
        <f>INDEX(Data,2,2+MOD(ROWS(C$2:C1046)-1,3))</f>
        <v>07.45</v>
      </c>
      <c r="D1046" s="23">
        <f t="shared" ca="1" si="81"/>
        <v>749</v>
      </c>
      <c r="E1046" s="40">
        <f t="shared" ca="1" si="82"/>
        <v>0</v>
      </c>
      <c r="F1046" s="23">
        <f t="shared" ca="1" si="83"/>
        <v>27</v>
      </c>
      <c r="G1046" s="40">
        <f t="shared" ca="1" si="84"/>
        <v>0</v>
      </c>
    </row>
    <row r="1047" spans="1:7" x14ac:dyDescent="0.25">
      <c r="A1047" s="17">
        <f t="shared" si="80"/>
        <v>81</v>
      </c>
      <c r="B1047" t="str">
        <f ca="1">TEXT(DATE(YEAR(Invoer!$A$5),1,1)+INT((ROWS(B$2:B1047)-1)/3),"jjjjmmdd")</f>
        <v>19401214</v>
      </c>
      <c r="C1047" s="35" t="str">
        <f>INDEX(Data,2,2+MOD(ROWS(C$2:C1047)-1,3))</f>
        <v>13.45</v>
      </c>
      <c r="D1047" s="23">
        <f t="shared" ca="1" si="81"/>
        <v>749</v>
      </c>
      <c r="E1047" s="40">
        <f t="shared" ca="1" si="82"/>
        <v>0</v>
      </c>
      <c r="F1047" s="23">
        <f t="shared" ca="1" si="83"/>
        <v>29</v>
      </c>
      <c r="G1047" s="40">
        <f t="shared" ca="1" si="84"/>
        <v>0</v>
      </c>
    </row>
    <row r="1048" spans="1:7" x14ac:dyDescent="0.25">
      <c r="A1048" s="17">
        <f t="shared" si="80"/>
        <v>81</v>
      </c>
      <c r="B1048" t="str">
        <f ca="1">TEXT(DATE(YEAR(Invoer!$A$5),1,1)+INT((ROWS(B$2:B1048)-1)/3),"jjjjmmdd")</f>
        <v>19401214</v>
      </c>
      <c r="C1048" s="35" t="str">
        <f>INDEX(Data,2,2+MOD(ROWS(C$2:C1048)-1,3))</f>
        <v>19.45</v>
      </c>
      <c r="D1048" s="23">
        <f t="shared" ca="1" si="81"/>
        <v>749</v>
      </c>
      <c r="E1048" s="40">
        <f t="shared" ca="1" si="82"/>
        <v>0</v>
      </c>
      <c r="F1048" s="23">
        <f t="shared" ca="1" si="83"/>
        <v>28</v>
      </c>
      <c r="G1048" s="40">
        <f t="shared" ca="1" si="84"/>
        <v>0</v>
      </c>
    </row>
    <row r="1049" spans="1:7" x14ac:dyDescent="0.25">
      <c r="A1049" s="17">
        <f t="shared" si="80"/>
        <v>81</v>
      </c>
      <c r="B1049" t="str">
        <f ca="1">TEXT(DATE(YEAR(Invoer!$A$5),1,1)+INT((ROWS(B$2:B1049)-1)/3),"jjjjmmdd")</f>
        <v>19401215</v>
      </c>
      <c r="C1049" s="35" t="str">
        <f>INDEX(Data,2,2+MOD(ROWS(C$2:C1049)-1,3))</f>
        <v>07.45</v>
      </c>
      <c r="D1049" s="23">
        <f t="shared" ca="1" si="81"/>
        <v>749</v>
      </c>
      <c r="E1049" s="40">
        <f t="shared" ca="1" si="82"/>
        <v>0</v>
      </c>
      <c r="F1049" s="23">
        <f t="shared" ca="1" si="83"/>
        <v>27</v>
      </c>
      <c r="G1049" s="40">
        <f t="shared" ca="1" si="84"/>
        <v>0</v>
      </c>
    </row>
    <row r="1050" spans="1:7" x14ac:dyDescent="0.25">
      <c r="A1050" s="17">
        <f t="shared" si="80"/>
        <v>81</v>
      </c>
      <c r="B1050" t="str">
        <f ca="1">TEXT(DATE(YEAR(Invoer!$A$5),1,1)+INT((ROWS(B$2:B1050)-1)/3),"jjjjmmdd")</f>
        <v>19401215</v>
      </c>
      <c r="C1050" s="35" t="str">
        <f>INDEX(Data,2,2+MOD(ROWS(C$2:C1050)-1,3))</f>
        <v>13.45</v>
      </c>
      <c r="D1050" s="23">
        <f t="shared" ca="1" si="81"/>
        <v>749</v>
      </c>
      <c r="E1050" s="40">
        <f t="shared" ca="1" si="82"/>
        <v>0</v>
      </c>
      <c r="F1050" s="23">
        <f t="shared" ca="1" si="83"/>
        <v>29</v>
      </c>
      <c r="G1050" s="40">
        <f t="shared" ca="1" si="84"/>
        <v>0</v>
      </c>
    </row>
    <row r="1051" spans="1:7" x14ac:dyDescent="0.25">
      <c r="A1051" s="17">
        <f t="shared" si="80"/>
        <v>81</v>
      </c>
      <c r="B1051" t="str">
        <f ca="1">TEXT(DATE(YEAR(Invoer!$A$5),1,1)+INT((ROWS(B$2:B1051)-1)/3),"jjjjmmdd")</f>
        <v>19401215</v>
      </c>
      <c r="C1051" s="35" t="str">
        <f>INDEX(Data,2,2+MOD(ROWS(C$2:C1051)-1,3))</f>
        <v>19.45</v>
      </c>
      <c r="D1051" s="23">
        <f t="shared" ca="1" si="81"/>
        <v>750</v>
      </c>
      <c r="E1051" s="40">
        <f t="shared" ca="1" si="82"/>
        <v>0</v>
      </c>
      <c r="F1051" s="23">
        <f t="shared" ca="1" si="83"/>
        <v>28</v>
      </c>
      <c r="G1051" s="40">
        <f t="shared" ca="1" si="84"/>
        <v>0</v>
      </c>
    </row>
    <row r="1052" spans="1:7" x14ac:dyDescent="0.25">
      <c r="A1052" s="17">
        <f t="shared" si="80"/>
        <v>81</v>
      </c>
      <c r="B1052" t="str">
        <f ca="1">TEXT(DATE(YEAR(Invoer!$A$5),1,1)+INT((ROWS(B$2:B1052)-1)/3),"jjjjmmdd")</f>
        <v>19401216</v>
      </c>
      <c r="C1052" s="35" t="str">
        <f>INDEX(Data,2,2+MOD(ROWS(C$2:C1052)-1,3))</f>
        <v>07.45</v>
      </c>
      <c r="D1052" s="23">
        <f t="shared" ca="1" si="81"/>
        <v>750</v>
      </c>
      <c r="E1052" s="40">
        <f t="shared" ca="1" si="82"/>
        <v>0</v>
      </c>
      <c r="F1052" s="23">
        <f t="shared" ca="1" si="83"/>
        <v>27</v>
      </c>
      <c r="G1052" s="40">
        <f t="shared" ca="1" si="84"/>
        <v>0</v>
      </c>
    </row>
    <row r="1053" spans="1:7" x14ac:dyDescent="0.25">
      <c r="A1053" s="17">
        <f t="shared" si="80"/>
        <v>81</v>
      </c>
      <c r="B1053" t="str">
        <f ca="1">TEXT(DATE(YEAR(Invoer!$A$5),1,1)+INT((ROWS(B$2:B1053)-1)/3),"jjjjmmdd")</f>
        <v>19401216</v>
      </c>
      <c r="C1053" s="35" t="str">
        <f>INDEX(Data,2,2+MOD(ROWS(C$2:C1053)-1,3))</f>
        <v>13.45</v>
      </c>
      <c r="D1053" s="23">
        <f t="shared" ca="1" si="81"/>
        <v>750</v>
      </c>
      <c r="E1053" s="40">
        <f t="shared" ca="1" si="82"/>
        <v>0</v>
      </c>
      <c r="F1053" s="23">
        <f t="shared" ca="1" si="83"/>
        <v>29</v>
      </c>
      <c r="G1053" s="40">
        <f t="shared" ca="1" si="84"/>
        <v>0</v>
      </c>
    </row>
    <row r="1054" spans="1:7" x14ac:dyDescent="0.25">
      <c r="A1054" s="17">
        <f t="shared" si="80"/>
        <v>81</v>
      </c>
      <c r="B1054" t="str">
        <f ca="1">TEXT(DATE(YEAR(Invoer!$A$5),1,1)+INT((ROWS(B$2:B1054)-1)/3),"jjjjmmdd")</f>
        <v>19401216</v>
      </c>
      <c r="C1054" s="35" t="str">
        <f>INDEX(Data,2,2+MOD(ROWS(C$2:C1054)-1,3))</f>
        <v>19.45</v>
      </c>
      <c r="D1054" s="23">
        <f t="shared" ca="1" si="81"/>
        <v>750</v>
      </c>
      <c r="E1054" s="40">
        <f t="shared" ca="1" si="82"/>
        <v>0</v>
      </c>
      <c r="F1054" s="23">
        <f t="shared" ca="1" si="83"/>
        <v>28</v>
      </c>
      <c r="G1054" s="40">
        <f t="shared" ca="1" si="84"/>
        <v>0</v>
      </c>
    </row>
    <row r="1055" spans="1:7" x14ac:dyDescent="0.25">
      <c r="A1055" s="17">
        <f t="shared" si="80"/>
        <v>81</v>
      </c>
      <c r="B1055" t="str">
        <f ca="1">TEXT(DATE(YEAR(Invoer!$A$5),1,1)+INT((ROWS(B$2:B1055)-1)/3),"jjjjmmdd")</f>
        <v>19401217</v>
      </c>
      <c r="C1055" s="35" t="str">
        <f>INDEX(Data,2,2+MOD(ROWS(C$2:C1055)-1,3))</f>
        <v>07.45</v>
      </c>
      <c r="D1055" s="23">
        <f t="shared" ca="1" si="81"/>
        <v>750</v>
      </c>
      <c r="E1055" s="40">
        <f t="shared" ca="1" si="82"/>
        <v>0</v>
      </c>
      <c r="F1055" s="23">
        <f t="shared" ca="1" si="83"/>
        <v>26</v>
      </c>
      <c r="G1055" s="40">
        <f t="shared" ca="1" si="84"/>
        <v>0</v>
      </c>
    </row>
    <row r="1056" spans="1:7" x14ac:dyDescent="0.25">
      <c r="A1056" s="17">
        <f t="shared" si="80"/>
        <v>81</v>
      </c>
      <c r="B1056" t="str">
        <f ca="1">TEXT(DATE(YEAR(Invoer!$A$5),1,1)+INT((ROWS(B$2:B1056)-1)/3),"jjjjmmdd")</f>
        <v>19401217</v>
      </c>
      <c r="C1056" s="35" t="str">
        <f>INDEX(Data,2,2+MOD(ROWS(C$2:C1056)-1,3))</f>
        <v>13.45</v>
      </c>
      <c r="D1056" s="23">
        <f t="shared" ca="1" si="81"/>
        <v>750</v>
      </c>
      <c r="E1056" s="40">
        <f t="shared" ca="1" si="82"/>
        <v>0</v>
      </c>
      <c r="F1056" s="23">
        <f t="shared" ca="1" si="83"/>
        <v>28</v>
      </c>
      <c r="G1056" s="40">
        <f t="shared" ca="1" si="84"/>
        <v>0</v>
      </c>
    </row>
    <row r="1057" spans="1:7" x14ac:dyDescent="0.25">
      <c r="A1057" s="17">
        <f t="shared" si="80"/>
        <v>81</v>
      </c>
      <c r="B1057" t="str">
        <f ca="1">TEXT(DATE(YEAR(Invoer!$A$5),1,1)+INT((ROWS(B$2:B1057)-1)/3),"jjjjmmdd")</f>
        <v>19401217</v>
      </c>
      <c r="C1057" s="35" t="str">
        <f>INDEX(Data,2,2+MOD(ROWS(C$2:C1057)-1,3))</f>
        <v>19.45</v>
      </c>
      <c r="D1057" s="23">
        <f t="shared" ca="1" si="81"/>
        <v>750</v>
      </c>
      <c r="E1057" s="40">
        <f t="shared" ca="1" si="82"/>
        <v>0</v>
      </c>
      <c r="F1057" s="23">
        <f t="shared" ca="1" si="83"/>
        <v>27</v>
      </c>
      <c r="G1057" s="40">
        <f t="shared" ca="1" si="84"/>
        <v>0</v>
      </c>
    </row>
    <row r="1058" spans="1:7" x14ac:dyDescent="0.25">
      <c r="A1058" s="17">
        <f t="shared" si="80"/>
        <v>81</v>
      </c>
      <c r="B1058" t="str">
        <f ca="1">TEXT(DATE(YEAR(Invoer!$A$5),1,1)+INT((ROWS(B$2:B1058)-1)/3),"jjjjmmdd")</f>
        <v>19401218</v>
      </c>
      <c r="C1058" s="35" t="str">
        <f>INDEX(Data,2,2+MOD(ROWS(C$2:C1058)-1,3))</f>
        <v>07.45</v>
      </c>
      <c r="D1058" s="23">
        <f t="shared" ca="1" si="81"/>
        <v>750</v>
      </c>
      <c r="E1058" s="40">
        <f t="shared" ca="1" si="82"/>
        <v>0</v>
      </c>
      <c r="F1058" s="23">
        <f t="shared" ca="1" si="83"/>
        <v>26</v>
      </c>
      <c r="G1058" s="40">
        <f t="shared" ca="1" si="84"/>
        <v>0</v>
      </c>
    </row>
    <row r="1059" spans="1:7" x14ac:dyDescent="0.25">
      <c r="A1059" s="17">
        <f t="shared" si="80"/>
        <v>81</v>
      </c>
      <c r="B1059" t="str">
        <f ca="1">TEXT(DATE(YEAR(Invoer!$A$5),1,1)+INT((ROWS(B$2:B1059)-1)/3),"jjjjmmdd")</f>
        <v>19401218</v>
      </c>
      <c r="C1059" s="35" t="str">
        <f>INDEX(Data,2,2+MOD(ROWS(C$2:C1059)-1,3))</f>
        <v>13.45</v>
      </c>
      <c r="D1059" s="23">
        <f t="shared" ca="1" si="81"/>
        <v>750</v>
      </c>
      <c r="E1059" s="40">
        <f t="shared" ca="1" si="82"/>
        <v>0</v>
      </c>
      <c r="F1059" s="23">
        <f t="shared" ca="1" si="83"/>
        <v>28</v>
      </c>
      <c r="G1059" s="40">
        <f t="shared" ca="1" si="84"/>
        <v>0</v>
      </c>
    </row>
    <row r="1060" spans="1:7" x14ac:dyDescent="0.25">
      <c r="A1060" s="17">
        <f t="shared" si="80"/>
        <v>81</v>
      </c>
      <c r="B1060" t="str">
        <f ca="1">TEXT(DATE(YEAR(Invoer!$A$5),1,1)+INT((ROWS(B$2:B1060)-1)/3),"jjjjmmdd")</f>
        <v>19401218</v>
      </c>
      <c r="C1060" s="35" t="str">
        <f>INDEX(Data,2,2+MOD(ROWS(C$2:C1060)-1,3))</f>
        <v>19.45</v>
      </c>
      <c r="D1060" s="23">
        <f t="shared" ca="1" si="81"/>
        <v>750</v>
      </c>
      <c r="E1060" s="40">
        <f t="shared" ca="1" si="82"/>
        <v>0</v>
      </c>
      <c r="F1060" s="23">
        <f t="shared" ca="1" si="83"/>
        <v>27</v>
      </c>
      <c r="G1060" s="40">
        <f t="shared" ca="1" si="84"/>
        <v>0</v>
      </c>
    </row>
    <row r="1061" spans="1:7" x14ac:dyDescent="0.25">
      <c r="A1061" s="17">
        <f t="shared" si="80"/>
        <v>81</v>
      </c>
      <c r="B1061" t="str">
        <f ca="1">TEXT(DATE(YEAR(Invoer!$A$5),1,1)+INT((ROWS(B$2:B1061)-1)/3),"jjjjmmdd")</f>
        <v>19401219</v>
      </c>
      <c r="C1061" s="35" t="str">
        <f>INDEX(Data,2,2+MOD(ROWS(C$2:C1061)-1,3))</f>
        <v>07.45</v>
      </c>
      <c r="D1061" s="23">
        <f t="shared" ca="1" si="81"/>
        <v>750</v>
      </c>
      <c r="E1061" s="40">
        <f t="shared" ca="1" si="82"/>
        <v>0</v>
      </c>
      <c r="F1061" s="23">
        <f t="shared" ca="1" si="83"/>
        <v>26</v>
      </c>
      <c r="G1061" s="40">
        <f t="shared" ca="1" si="84"/>
        <v>0</v>
      </c>
    </row>
    <row r="1062" spans="1:7" x14ac:dyDescent="0.25">
      <c r="A1062" s="17">
        <f t="shared" si="80"/>
        <v>81</v>
      </c>
      <c r="B1062" t="str">
        <f ca="1">TEXT(DATE(YEAR(Invoer!$A$5),1,1)+INT((ROWS(B$2:B1062)-1)/3),"jjjjmmdd")</f>
        <v>19401219</v>
      </c>
      <c r="C1062" s="35" t="str">
        <f>INDEX(Data,2,2+MOD(ROWS(C$2:C1062)-1,3))</f>
        <v>13.45</v>
      </c>
      <c r="D1062" s="23">
        <f t="shared" ca="1" si="81"/>
        <v>750</v>
      </c>
      <c r="E1062" s="40">
        <f t="shared" ca="1" si="82"/>
        <v>0</v>
      </c>
      <c r="F1062" s="23">
        <f t="shared" ca="1" si="83"/>
        <v>28</v>
      </c>
      <c r="G1062" s="40">
        <f t="shared" ca="1" si="84"/>
        <v>0</v>
      </c>
    </row>
    <row r="1063" spans="1:7" x14ac:dyDescent="0.25">
      <c r="A1063" s="17">
        <f t="shared" si="80"/>
        <v>81</v>
      </c>
      <c r="B1063" t="str">
        <f ca="1">TEXT(DATE(YEAR(Invoer!$A$5),1,1)+INT((ROWS(B$2:B1063)-1)/3),"jjjjmmdd")</f>
        <v>19401219</v>
      </c>
      <c r="C1063" s="35" t="str">
        <f>INDEX(Data,2,2+MOD(ROWS(C$2:C1063)-1,3))</f>
        <v>19.45</v>
      </c>
      <c r="D1063" s="23">
        <f t="shared" ca="1" si="81"/>
        <v>750</v>
      </c>
      <c r="E1063" s="40">
        <f t="shared" ca="1" si="82"/>
        <v>0</v>
      </c>
      <c r="F1063" s="23">
        <f t="shared" ca="1" si="83"/>
        <v>27</v>
      </c>
      <c r="G1063" s="40">
        <f t="shared" ca="1" si="84"/>
        <v>0</v>
      </c>
    </row>
    <row r="1064" spans="1:7" x14ac:dyDescent="0.25">
      <c r="A1064" s="17">
        <f t="shared" si="80"/>
        <v>81</v>
      </c>
      <c r="B1064" t="str">
        <f ca="1">TEXT(DATE(YEAR(Invoer!$A$5),1,1)+INT((ROWS(B$2:B1064)-1)/3),"jjjjmmdd")</f>
        <v>19401220</v>
      </c>
      <c r="C1064" s="35" t="str">
        <f>INDEX(Data,2,2+MOD(ROWS(C$2:C1064)-1,3))</f>
        <v>07.45</v>
      </c>
      <c r="D1064" s="23">
        <f t="shared" ca="1" si="81"/>
        <v>750</v>
      </c>
      <c r="E1064" s="40">
        <f t="shared" ca="1" si="82"/>
        <v>0</v>
      </c>
      <c r="F1064" s="23">
        <f t="shared" ca="1" si="83"/>
        <v>26</v>
      </c>
      <c r="G1064" s="40">
        <f t="shared" ca="1" si="84"/>
        <v>0</v>
      </c>
    </row>
    <row r="1065" spans="1:7" x14ac:dyDescent="0.25">
      <c r="A1065" s="17">
        <f t="shared" si="80"/>
        <v>81</v>
      </c>
      <c r="B1065" t="str">
        <f ca="1">TEXT(DATE(YEAR(Invoer!$A$5),1,1)+INT((ROWS(B$2:B1065)-1)/3),"jjjjmmdd")</f>
        <v>19401220</v>
      </c>
      <c r="C1065" s="35" t="str">
        <f>INDEX(Data,2,2+MOD(ROWS(C$2:C1065)-1,3))</f>
        <v>13.45</v>
      </c>
      <c r="D1065" s="23">
        <f t="shared" ca="1" si="81"/>
        <v>750</v>
      </c>
      <c r="E1065" s="40">
        <f t="shared" ca="1" si="82"/>
        <v>0</v>
      </c>
      <c r="F1065" s="23">
        <f t="shared" ca="1" si="83"/>
        <v>28</v>
      </c>
      <c r="G1065" s="40">
        <f t="shared" ca="1" si="84"/>
        <v>0</v>
      </c>
    </row>
    <row r="1066" spans="1:7" x14ac:dyDescent="0.25">
      <c r="A1066" s="17">
        <f t="shared" si="80"/>
        <v>81</v>
      </c>
      <c r="B1066" t="str">
        <f ca="1">TEXT(DATE(YEAR(Invoer!$A$5),1,1)+INT((ROWS(B$2:B1066)-1)/3),"jjjjmmdd")</f>
        <v>19401220</v>
      </c>
      <c r="C1066" s="35" t="str">
        <f>INDEX(Data,2,2+MOD(ROWS(C$2:C1066)-1,3))</f>
        <v>19.45</v>
      </c>
      <c r="D1066" s="23">
        <f t="shared" ca="1" si="81"/>
        <v>750</v>
      </c>
      <c r="E1066" s="40">
        <f t="shared" ca="1" si="82"/>
        <v>0</v>
      </c>
      <c r="F1066" s="23">
        <f t="shared" ca="1" si="83"/>
        <v>27</v>
      </c>
      <c r="G1066" s="40">
        <f t="shared" ca="1" si="84"/>
        <v>0</v>
      </c>
    </row>
    <row r="1067" spans="1:7" x14ac:dyDescent="0.25">
      <c r="A1067" s="17">
        <f t="shared" si="80"/>
        <v>81</v>
      </c>
      <c r="B1067" t="str">
        <f ca="1">TEXT(DATE(YEAR(Invoer!$A$5),1,1)+INT((ROWS(B$2:B1067)-1)/3),"jjjjmmdd")</f>
        <v>19401221</v>
      </c>
      <c r="C1067" s="35" t="str">
        <f>INDEX(Data,2,2+MOD(ROWS(C$2:C1067)-1,3))</f>
        <v>07.45</v>
      </c>
      <c r="D1067" s="23">
        <f t="shared" ca="1" si="81"/>
        <v>750</v>
      </c>
      <c r="E1067" s="40">
        <f t="shared" ca="1" si="82"/>
        <v>0</v>
      </c>
      <c r="F1067" s="23">
        <f t="shared" ca="1" si="83"/>
        <v>26</v>
      </c>
      <c r="G1067" s="40">
        <f t="shared" ca="1" si="84"/>
        <v>0</v>
      </c>
    </row>
    <row r="1068" spans="1:7" x14ac:dyDescent="0.25">
      <c r="A1068" s="17">
        <f t="shared" si="80"/>
        <v>81</v>
      </c>
      <c r="B1068" t="str">
        <f ca="1">TEXT(DATE(YEAR(Invoer!$A$5),1,1)+INT((ROWS(B$2:B1068)-1)/3),"jjjjmmdd")</f>
        <v>19401221</v>
      </c>
      <c r="C1068" s="35" t="str">
        <f>INDEX(Data,2,2+MOD(ROWS(C$2:C1068)-1,3))</f>
        <v>13.45</v>
      </c>
      <c r="D1068" s="23">
        <f t="shared" ca="1" si="81"/>
        <v>750</v>
      </c>
      <c r="E1068" s="40">
        <f t="shared" ca="1" si="82"/>
        <v>0</v>
      </c>
      <c r="F1068" s="23">
        <f t="shared" ca="1" si="83"/>
        <v>28</v>
      </c>
      <c r="G1068" s="40">
        <f t="shared" ca="1" si="84"/>
        <v>0</v>
      </c>
    </row>
    <row r="1069" spans="1:7" x14ac:dyDescent="0.25">
      <c r="A1069" s="17">
        <f t="shared" si="80"/>
        <v>81</v>
      </c>
      <c r="B1069" t="str">
        <f ca="1">TEXT(DATE(YEAR(Invoer!$A$5),1,1)+INT((ROWS(B$2:B1069)-1)/3),"jjjjmmdd")</f>
        <v>19401221</v>
      </c>
      <c r="C1069" s="35" t="str">
        <f>INDEX(Data,2,2+MOD(ROWS(C$2:C1069)-1,3))</f>
        <v>19.45</v>
      </c>
      <c r="D1069" s="23">
        <f t="shared" ca="1" si="81"/>
        <v>750</v>
      </c>
      <c r="E1069" s="40">
        <f t="shared" ca="1" si="82"/>
        <v>0</v>
      </c>
      <c r="F1069" s="23">
        <f t="shared" ca="1" si="83"/>
        <v>27</v>
      </c>
      <c r="G1069" s="40">
        <f t="shared" ca="1" si="84"/>
        <v>0</v>
      </c>
    </row>
    <row r="1070" spans="1:7" x14ac:dyDescent="0.25">
      <c r="A1070" s="17">
        <f t="shared" si="80"/>
        <v>81</v>
      </c>
      <c r="B1070" t="str">
        <f ca="1">TEXT(DATE(YEAR(Invoer!$A$5),1,1)+INT((ROWS(B$2:B1070)-1)/3),"jjjjmmdd")</f>
        <v>19401222</v>
      </c>
      <c r="C1070" s="35" t="str">
        <f>INDEX(Data,2,2+MOD(ROWS(C$2:C1070)-1,3))</f>
        <v>07.45</v>
      </c>
      <c r="D1070" s="23">
        <f t="shared" ca="1" si="81"/>
        <v>749</v>
      </c>
      <c r="E1070" s="40">
        <f t="shared" ca="1" si="82"/>
        <v>0</v>
      </c>
      <c r="F1070" s="23">
        <f t="shared" ca="1" si="83"/>
        <v>26</v>
      </c>
      <c r="G1070" s="40">
        <f t="shared" ca="1" si="84"/>
        <v>0</v>
      </c>
    </row>
    <row r="1071" spans="1:7" x14ac:dyDescent="0.25">
      <c r="A1071" s="17">
        <f t="shared" si="80"/>
        <v>81</v>
      </c>
      <c r="B1071" t="str">
        <f ca="1">TEXT(DATE(YEAR(Invoer!$A$5),1,1)+INT((ROWS(B$2:B1071)-1)/3),"jjjjmmdd")</f>
        <v>19401222</v>
      </c>
      <c r="C1071" s="35" t="str">
        <f>INDEX(Data,2,2+MOD(ROWS(C$2:C1071)-1,3))</f>
        <v>13.45</v>
      </c>
      <c r="D1071" s="23">
        <f t="shared" ca="1" si="81"/>
        <v>750</v>
      </c>
      <c r="E1071" s="40">
        <f t="shared" ca="1" si="82"/>
        <v>0</v>
      </c>
      <c r="F1071" s="23">
        <f t="shared" ca="1" si="83"/>
        <v>28</v>
      </c>
      <c r="G1071" s="40">
        <f t="shared" ca="1" si="84"/>
        <v>0</v>
      </c>
    </row>
    <row r="1072" spans="1:7" x14ac:dyDescent="0.25">
      <c r="A1072" s="17">
        <f t="shared" si="80"/>
        <v>81</v>
      </c>
      <c r="B1072" t="str">
        <f ca="1">TEXT(DATE(YEAR(Invoer!$A$5),1,1)+INT((ROWS(B$2:B1072)-1)/3),"jjjjmmdd")</f>
        <v>19401222</v>
      </c>
      <c r="C1072" s="35" t="str">
        <f>INDEX(Data,2,2+MOD(ROWS(C$2:C1072)-1,3))</f>
        <v>19.45</v>
      </c>
      <c r="D1072" s="23">
        <f t="shared" ca="1" si="81"/>
        <v>750</v>
      </c>
      <c r="E1072" s="40">
        <f t="shared" ca="1" si="82"/>
        <v>0</v>
      </c>
      <c r="F1072" s="23">
        <f t="shared" ca="1" si="83"/>
        <v>27</v>
      </c>
      <c r="G1072" s="40">
        <f t="shared" ca="1" si="84"/>
        <v>0</v>
      </c>
    </row>
    <row r="1073" spans="1:7" x14ac:dyDescent="0.25">
      <c r="A1073" s="17">
        <f t="shared" si="80"/>
        <v>81</v>
      </c>
      <c r="B1073" t="str">
        <f ca="1">TEXT(DATE(YEAR(Invoer!$A$5),1,1)+INT((ROWS(B$2:B1073)-1)/3),"jjjjmmdd")</f>
        <v>19401223</v>
      </c>
      <c r="C1073" s="35" t="str">
        <f>INDEX(Data,2,2+MOD(ROWS(C$2:C1073)-1,3))</f>
        <v>07.45</v>
      </c>
      <c r="D1073" s="23">
        <f t="shared" ca="1" si="81"/>
        <v>750</v>
      </c>
      <c r="E1073" s="40">
        <f t="shared" ca="1" si="82"/>
        <v>0</v>
      </c>
      <c r="F1073" s="23">
        <f t="shared" ca="1" si="83"/>
        <v>26</v>
      </c>
      <c r="G1073" s="40">
        <f t="shared" ca="1" si="84"/>
        <v>0</v>
      </c>
    </row>
    <row r="1074" spans="1:7" x14ac:dyDescent="0.25">
      <c r="A1074" s="17">
        <f t="shared" si="80"/>
        <v>81</v>
      </c>
      <c r="B1074" t="str">
        <f ca="1">TEXT(DATE(YEAR(Invoer!$A$5),1,1)+INT((ROWS(B$2:B1074)-1)/3),"jjjjmmdd")</f>
        <v>19401223</v>
      </c>
      <c r="C1074" s="35" t="str">
        <f>INDEX(Data,2,2+MOD(ROWS(C$2:C1074)-1,3))</f>
        <v>13.45</v>
      </c>
      <c r="D1074" s="23">
        <f t="shared" ca="1" si="81"/>
        <v>750</v>
      </c>
      <c r="E1074" s="40">
        <f t="shared" ca="1" si="82"/>
        <v>0</v>
      </c>
      <c r="F1074" s="23">
        <f t="shared" ca="1" si="83"/>
        <v>28</v>
      </c>
      <c r="G1074" s="40">
        <f t="shared" ca="1" si="84"/>
        <v>0</v>
      </c>
    </row>
    <row r="1075" spans="1:7" x14ac:dyDescent="0.25">
      <c r="A1075" s="17">
        <f t="shared" si="80"/>
        <v>81</v>
      </c>
      <c r="B1075" t="str">
        <f ca="1">TEXT(DATE(YEAR(Invoer!$A$5),1,1)+INT((ROWS(B$2:B1075)-1)/3),"jjjjmmdd")</f>
        <v>19401223</v>
      </c>
      <c r="C1075" s="35" t="str">
        <f>INDEX(Data,2,2+MOD(ROWS(C$2:C1075)-1,3))</f>
        <v>19.45</v>
      </c>
      <c r="D1075" s="23">
        <f t="shared" ca="1" si="81"/>
        <v>750</v>
      </c>
      <c r="E1075" s="40">
        <f t="shared" ca="1" si="82"/>
        <v>0</v>
      </c>
      <c r="F1075" s="23">
        <f t="shared" ca="1" si="83"/>
        <v>27</v>
      </c>
      <c r="G1075" s="40">
        <f t="shared" ca="1" si="84"/>
        <v>0</v>
      </c>
    </row>
    <row r="1076" spans="1:7" x14ac:dyDescent="0.25">
      <c r="A1076" s="17">
        <f t="shared" si="80"/>
        <v>81</v>
      </c>
      <c r="B1076" t="str">
        <f ca="1">TEXT(DATE(YEAR(Invoer!$A$5),1,1)+INT((ROWS(B$2:B1076)-1)/3),"jjjjmmdd")</f>
        <v>19401224</v>
      </c>
      <c r="C1076" s="35" t="str">
        <f>INDEX(Data,2,2+MOD(ROWS(C$2:C1076)-1,3))</f>
        <v>07.45</v>
      </c>
      <c r="D1076" s="23">
        <f t="shared" ca="1" si="81"/>
        <v>750</v>
      </c>
      <c r="E1076" s="40">
        <f t="shared" ca="1" si="82"/>
        <v>0</v>
      </c>
      <c r="F1076" s="23">
        <f t="shared" ca="1" si="83"/>
        <v>25</v>
      </c>
      <c r="G1076" s="40">
        <f t="shared" ca="1" si="84"/>
        <v>0</v>
      </c>
    </row>
    <row r="1077" spans="1:7" x14ac:dyDescent="0.25">
      <c r="A1077" s="17">
        <f t="shared" si="80"/>
        <v>81</v>
      </c>
      <c r="B1077" t="str">
        <f ca="1">TEXT(DATE(YEAR(Invoer!$A$5),1,1)+INT((ROWS(B$2:B1077)-1)/3),"jjjjmmdd")</f>
        <v>19401224</v>
      </c>
      <c r="C1077" s="35" t="str">
        <f>INDEX(Data,2,2+MOD(ROWS(C$2:C1077)-1,3))</f>
        <v>13.45</v>
      </c>
      <c r="D1077" s="23">
        <f t="shared" ca="1" si="81"/>
        <v>749</v>
      </c>
      <c r="E1077" s="40">
        <f t="shared" ca="1" si="82"/>
        <v>0</v>
      </c>
      <c r="F1077" s="23">
        <f t="shared" ca="1" si="83"/>
        <v>29</v>
      </c>
      <c r="G1077" s="40">
        <f t="shared" ca="1" si="84"/>
        <v>0</v>
      </c>
    </row>
    <row r="1078" spans="1:7" x14ac:dyDescent="0.25">
      <c r="A1078" s="17">
        <f t="shared" si="80"/>
        <v>81</v>
      </c>
      <c r="B1078" t="str">
        <f ca="1">TEXT(DATE(YEAR(Invoer!$A$5),1,1)+INT((ROWS(B$2:B1078)-1)/3),"jjjjmmdd")</f>
        <v>19401224</v>
      </c>
      <c r="C1078" s="35" t="str">
        <f>INDEX(Data,2,2+MOD(ROWS(C$2:C1078)-1,3))</f>
        <v>19.45</v>
      </c>
      <c r="D1078" s="23">
        <f t="shared" ca="1" si="81"/>
        <v>749</v>
      </c>
      <c r="E1078" s="40">
        <f t="shared" ca="1" si="82"/>
        <v>0</v>
      </c>
      <c r="F1078" s="23">
        <f t="shared" ca="1" si="83"/>
        <v>27</v>
      </c>
      <c r="G1078" s="40">
        <f t="shared" ca="1" si="84"/>
        <v>0</v>
      </c>
    </row>
    <row r="1079" spans="1:7" x14ac:dyDescent="0.25">
      <c r="A1079" s="17">
        <f t="shared" si="80"/>
        <v>81</v>
      </c>
      <c r="B1079" t="str">
        <f ca="1">TEXT(DATE(YEAR(Invoer!$A$5),1,1)+INT((ROWS(B$2:B1079)-1)/3),"jjjjmmdd")</f>
        <v>19401225</v>
      </c>
      <c r="C1079" s="35" t="str">
        <f>INDEX(Data,2,2+MOD(ROWS(C$2:C1079)-1,3))</f>
        <v>07.45</v>
      </c>
      <c r="D1079" s="23">
        <f t="shared" ca="1" si="81"/>
        <v>749</v>
      </c>
      <c r="E1079" s="40">
        <f t="shared" ca="1" si="82"/>
        <v>0</v>
      </c>
      <c r="F1079" s="23">
        <f t="shared" ca="1" si="83"/>
        <v>26</v>
      </c>
      <c r="G1079" s="40">
        <f t="shared" ca="1" si="84"/>
        <v>0</v>
      </c>
    </row>
    <row r="1080" spans="1:7" x14ac:dyDescent="0.25">
      <c r="A1080" s="17">
        <f t="shared" si="80"/>
        <v>81</v>
      </c>
      <c r="B1080" t="str">
        <f ca="1">TEXT(DATE(YEAR(Invoer!$A$5),1,1)+INT((ROWS(B$2:B1080)-1)/3),"jjjjmmdd")</f>
        <v>19401225</v>
      </c>
      <c r="C1080" s="35" t="str">
        <f>INDEX(Data,2,2+MOD(ROWS(C$2:C1080)-1,3))</f>
        <v>13.45</v>
      </c>
      <c r="D1080" s="23">
        <f t="shared" ca="1" si="81"/>
        <v>748</v>
      </c>
      <c r="E1080" s="40">
        <f t="shared" ca="1" si="82"/>
        <v>0</v>
      </c>
      <c r="F1080" s="23">
        <f t="shared" ca="1" si="83"/>
        <v>29</v>
      </c>
      <c r="G1080" s="40">
        <f t="shared" ca="1" si="84"/>
        <v>0</v>
      </c>
    </row>
    <row r="1081" spans="1:7" x14ac:dyDescent="0.25">
      <c r="A1081" s="17">
        <f t="shared" si="80"/>
        <v>81</v>
      </c>
      <c r="B1081" t="str">
        <f ca="1">TEXT(DATE(YEAR(Invoer!$A$5),1,1)+INT((ROWS(B$2:B1081)-1)/3),"jjjjmmdd")</f>
        <v>19401225</v>
      </c>
      <c r="C1081" s="35" t="str">
        <f>INDEX(Data,2,2+MOD(ROWS(C$2:C1081)-1,3))</f>
        <v>19.45</v>
      </c>
      <c r="D1081" s="23">
        <f t="shared" ca="1" si="81"/>
        <v>748</v>
      </c>
      <c r="E1081" s="40">
        <f t="shared" ca="1" si="82"/>
        <v>0</v>
      </c>
      <c r="F1081" s="23">
        <f t="shared" ca="1" si="83"/>
        <v>28</v>
      </c>
      <c r="G1081" s="40">
        <f t="shared" ca="1" si="84"/>
        <v>0</v>
      </c>
    </row>
    <row r="1082" spans="1:7" x14ac:dyDescent="0.25">
      <c r="A1082" s="17">
        <f t="shared" si="80"/>
        <v>81</v>
      </c>
      <c r="B1082" t="str">
        <f ca="1">TEXT(DATE(YEAR(Invoer!$A$5),1,1)+INT((ROWS(B$2:B1082)-1)/3),"jjjjmmdd")</f>
        <v>19401226</v>
      </c>
      <c r="C1082" s="35" t="str">
        <f>INDEX(Data,2,2+MOD(ROWS(C$2:C1082)-1,3))</f>
        <v>07.45</v>
      </c>
      <c r="D1082" s="23">
        <f t="shared" ca="1" si="81"/>
        <v>747</v>
      </c>
      <c r="E1082" s="40">
        <f t="shared" ca="1" si="82"/>
        <v>0</v>
      </c>
      <c r="F1082" s="23">
        <f t="shared" ca="1" si="83"/>
        <v>27</v>
      </c>
      <c r="G1082" s="40">
        <f t="shared" ca="1" si="84"/>
        <v>0</v>
      </c>
    </row>
    <row r="1083" spans="1:7" x14ac:dyDescent="0.25">
      <c r="A1083" s="17">
        <f t="shared" si="80"/>
        <v>81</v>
      </c>
      <c r="B1083" t="str">
        <f ca="1">TEXT(DATE(YEAR(Invoer!$A$5),1,1)+INT((ROWS(B$2:B1083)-1)/3),"jjjjmmdd")</f>
        <v>19401226</v>
      </c>
      <c r="C1083" s="35" t="str">
        <f>INDEX(Data,2,2+MOD(ROWS(C$2:C1083)-1,3))</f>
        <v>13.45</v>
      </c>
      <c r="D1083" s="23">
        <f t="shared" ca="1" si="81"/>
        <v>747</v>
      </c>
      <c r="E1083" s="40">
        <f t="shared" ca="1" si="82"/>
        <v>0</v>
      </c>
      <c r="F1083" s="23">
        <f t="shared" ca="1" si="83"/>
        <v>29</v>
      </c>
      <c r="G1083" s="40">
        <f t="shared" ca="1" si="84"/>
        <v>0</v>
      </c>
    </row>
    <row r="1084" spans="1:7" x14ac:dyDescent="0.25">
      <c r="A1084" s="17">
        <f t="shared" si="80"/>
        <v>81</v>
      </c>
      <c r="B1084" t="str">
        <f ca="1">TEXT(DATE(YEAR(Invoer!$A$5),1,1)+INT((ROWS(B$2:B1084)-1)/3),"jjjjmmdd")</f>
        <v>19401226</v>
      </c>
      <c r="C1084" s="35" t="str">
        <f>INDEX(Data,2,2+MOD(ROWS(C$2:C1084)-1,3))</f>
        <v>19.45</v>
      </c>
      <c r="D1084" s="23">
        <f t="shared" ca="1" si="81"/>
        <v>747</v>
      </c>
      <c r="E1084" s="40">
        <f t="shared" ca="1" si="82"/>
        <v>0</v>
      </c>
      <c r="F1084" s="23">
        <f t="shared" ca="1" si="83"/>
        <v>28</v>
      </c>
      <c r="G1084" s="40">
        <f t="shared" ca="1" si="84"/>
        <v>0</v>
      </c>
    </row>
    <row r="1085" spans="1:7" x14ac:dyDescent="0.25">
      <c r="A1085" s="17">
        <f t="shared" si="80"/>
        <v>81</v>
      </c>
      <c r="B1085" t="str">
        <f ca="1">TEXT(DATE(YEAR(Invoer!$A$5),1,1)+INT((ROWS(B$2:B1085)-1)/3),"jjjjmmdd")</f>
        <v>19401227</v>
      </c>
      <c r="C1085" s="35" t="str">
        <f>INDEX(Data,2,2+MOD(ROWS(C$2:C1085)-1,3))</f>
        <v>07.45</v>
      </c>
      <c r="D1085" s="23">
        <f t="shared" ca="1" si="81"/>
        <v>748</v>
      </c>
      <c r="E1085" s="40">
        <f t="shared" ca="1" si="82"/>
        <v>0</v>
      </c>
      <c r="F1085" s="23">
        <f t="shared" ca="1" si="83"/>
        <v>27</v>
      </c>
      <c r="G1085" s="40">
        <f t="shared" ca="1" si="84"/>
        <v>0</v>
      </c>
    </row>
    <row r="1086" spans="1:7" x14ac:dyDescent="0.25">
      <c r="A1086" s="17">
        <f t="shared" si="80"/>
        <v>81</v>
      </c>
      <c r="B1086" t="str">
        <f ca="1">TEXT(DATE(YEAR(Invoer!$A$5),1,1)+INT((ROWS(B$2:B1086)-1)/3),"jjjjmmdd")</f>
        <v>19401227</v>
      </c>
      <c r="C1086" s="35" t="str">
        <f>INDEX(Data,2,2+MOD(ROWS(C$2:C1086)-1,3))</f>
        <v>13.45</v>
      </c>
      <c r="D1086" s="23">
        <f t="shared" ca="1" si="81"/>
        <v>748</v>
      </c>
      <c r="E1086" s="40">
        <f t="shared" ca="1" si="82"/>
        <v>0</v>
      </c>
      <c r="F1086" s="23">
        <f t="shared" ca="1" si="83"/>
        <v>29</v>
      </c>
      <c r="G1086" s="40">
        <f t="shared" ca="1" si="84"/>
        <v>0</v>
      </c>
    </row>
    <row r="1087" spans="1:7" x14ac:dyDescent="0.25">
      <c r="A1087" s="17">
        <f t="shared" si="80"/>
        <v>81</v>
      </c>
      <c r="B1087" t="str">
        <f ca="1">TEXT(DATE(YEAR(Invoer!$A$5),1,1)+INT((ROWS(B$2:B1087)-1)/3),"jjjjmmdd")</f>
        <v>19401227</v>
      </c>
      <c r="C1087" s="35" t="str">
        <f>INDEX(Data,2,2+MOD(ROWS(C$2:C1087)-1,3))</f>
        <v>19.45</v>
      </c>
      <c r="D1087" s="23">
        <f t="shared" ca="1" si="81"/>
        <v>748</v>
      </c>
      <c r="E1087" s="40">
        <f t="shared" ca="1" si="82"/>
        <v>0</v>
      </c>
      <c r="F1087" s="23">
        <f t="shared" ca="1" si="83"/>
        <v>28</v>
      </c>
      <c r="G1087" s="40">
        <f t="shared" ca="1" si="84"/>
        <v>0</v>
      </c>
    </row>
    <row r="1088" spans="1:7" x14ac:dyDescent="0.25">
      <c r="A1088" s="17">
        <f t="shared" si="80"/>
        <v>81</v>
      </c>
      <c r="B1088" t="str">
        <f ca="1">TEXT(DATE(YEAR(Invoer!$A$5),1,1)+INT((ROWS(B$2:B1088)-1)/3),"jjjjmmdd")</f>
        <v>19401228</v>
      </c>
      <c r="C1088" s="35" t="str">
        <f>INDEX(Data,2,2+MOD(ROWS(C$2:C1088)-1,3))</f>
        <v>07.45</v>
      </c>
      <c r="D1088" s="23">
        <f t="shared" ca="1" si="81"/>
        <v>748</v>
      </c>
      <c r="E1088" s="40">
        <f t="shared" ca="1" si="82"/>
        <v>0</v>
      </c>
      <c r="F1088" s="23">
        <f t="shared" ca="1" si="83"/>
        <v>27</v>
      </c>
      <c r="G1088" s="40">
        <f t="shared" ca="1" si="84"/>
        <v>0</v>
      </c>
    </row>
    <row r="1089" spans="1:7" x14ac:dyDescent="0.25">
      <c r="A1089" s="17">
        <f t="shared" si="80"/>
        <v>81</v>
      </c>
      <c r="B1089" t="str">
        <f ca="1">TEXT(DATE(YEAR(Invoer!$A$5),1,1)+INT((ROWS(B$2:B1089)-1)/3),"jjjjmmdd")</f>
        <v>19401228</v>
      </c>
      <c r="C1089" s="35" t="str">
        <f>INDEX(Data,2,2+MOD(ROWS(C$2:C1089)-1,3))</f>
        <v>13.45</v>
      </c>
      <c r="D1089" s="23">
        <f t="shared" ca="1" si="81"/>
        <v>749</v>
      </c>
      <c r="E1089" s="40">
        <f t="shared" ca="1" si="82"/>
        <v>0</v>
      </c>
      <c r="F1089" s="23">
        <f t="shared" ca="1" si="83"/>
        <v>29</v>
      </c>
      <c r="G1089" s="40">
        <f t="shared" ca="1" si="84"/>
        <v>0</v>
      </c>
    </row>
    <row r="1090" spans="1:7" x14ac:dyDescent="0.25">
      <c r="A1090" s="17">
        <f t="shared" ref="A1090:A1099" si="85">INDEX(Stations,2,1)</f>
        <v>81</v>
      </c>
      <c r="B1090" t="str">
        <f ca="1">TEXT(DATE(YEAR(Invoer!$A$5),1,1)+INT((ROWS(B$2:B1090)-1)/3),"jjjjmmdd")</f>
        <v>19401228</v>
      </c>
      <c r="C1090" s="35" t="str">
        <f>INDEX(Data,2,2+MOD(ROWS(C$2:C1090)-1,3))</f>
        <v>19.45</v>
      </c>
      <c r="D1090" s="23">
        <f t="shared" ref="D1090:D1099" ca="1" si="86">IF(OR(ISBLANK(VLOOKUP(DATEVALUE(LEFT($B1090,4)&amp;"-"&amp;MID($B1090,5,2)&amp;"-"&amp;RIGHT($B1090,2)),Data,MATCH(LEFT(VLOOKUP(D$1,Parameters,2,FALSE()),4)&amp;"*",OFFSET(Data,0,0,1),0)+MATCH($C1090,OFFSET(Data,1,0,1),0)-2,FALSE())),ISTEXT(VLOOKUP(DATEVALUE(LEFT($B1090,4)&amp;"-"&amp;MID($B1090,5,2)&amp;"-"&amp;RIGHT($B1090,2)),Data,MATCH(LEFT(VLOOKUP(D$1,Parameters,2,FALSE()),4)&amp;"*",OFFSET(Data,0,0,1),0)+MATCH($C1090,OFFSET(Data,1,0,1),0)-2,FALSE()))),"—",VLOOKUP(DATEVALUE(LEFT($B1090,4)&amp;"-"&amp;MID($B1090,5,2)&amp;"-"&amp;RIGHT($B1090,2)),Data,MATCH(LEFT(VLOOKUP(D$1,Parameters,2,FALSE()),4)&amp;"*",OFFSET(Data,0,0,1),0)+MATCH($C1090,OFFSET(Data,1,0,1),0)-2,FALSE()))</f>
        <v>750</v>
      </c>
      <c r="E1090" s="40">
        <f t="shared" ref="E1090:E1099" ca="1" si="87">IF(OR(ISBLANK(VLOOKUP(DATEVALUE(LEFT($B1090,4)&amp;"-"&amp;MID($B1090,5,2)&amp;"-"&amp;RIGHT($B1090,2)),Data,MATCH(LEFT(VLOOKUP(MID(E$1,2,LEN(E$1)-1),Parameters,2,FALSE()),4)&amp;"*",OFFSET(Data,0,0,1),0)+MATCH($C1090,OFFSET(Data,1,0,1),0)-2,FALSE())),ISTEXT(VLOOKUP(DATEVALUE(LEFT($B1090,4)&amp;"-"&amp;MID($B1090,5,2)&amp;"-"&amp;RIGHT($B1090,2)),Data,MATCH(LEFT(VLOOKUP(MID(E$1,2,LEN(E$1)-1),Parameters,2,FALSE()),4)&amp;"*",OFFSET(Data,0,0,1),0)+MATCH($C1090,OFFSET(Data,1,0,1),0)-2,FALSE()))),Lacking,IF(ISNA(MATCH(DATEVALUE(LEFT($B1090,4)&amp;"-"&amp;MID($B1090,5,2)&amp;"-"&amp;RIGHT($B1090,2)),OFFSET(Catalogus,0,0,,1),0)),Ok,VLOOKUP(DATEVALUE(LEFT($B1090,4)&amp;"-"&amp;MID($B1090,5,2)&amp;"-"&amp;RIGHT($B1090,2)),Catalogus,MATCH(LEFT(VLOOKUP(MID(E$1,2,LEN(E$1)-1),Parameters,2,FALSE()),4)&amp;"*",OFFSET(Catalogus,0,0,1),0)+MATCH($C1090,OFFSET(Catalogus,1,0,1),0)-2,FALSE())))</f>
        <v>0</v>
      </c>
      <c r="F1090" s="23">
        <f t="shared" ref="F1090:F1099" ca="1" si="88">IF(OR(ISBLANK(VLOOKUP(DATEVALUE(LEFT($B1090,4)&amp;"-"&amp;MID($B1090,5,2)&amp;"-"&amp;RIGHT($B1090,2)),Data,MATCH(LEFT(VLOOKUP(F$1,Parameters,2,FALSE()),4)&amp;"*",OFFSET(Data,0,0,1),0)+MATCH($C1090,OFFSET(Data,1,0,1),0)-2,FALSE())),ISTEXT(VLOOKUP(DATEVALUE(LEFT($B1090,4)&amp;"-"&amp;MID($B1090,5,2)&amp;"-"&amp;RIGHT($B1090,2)),Data,MATCH(LEFT(VLOOKUP(F$1,Parameters,2,FALSE()),4)&amp;"*",OFFSET(Data,0,0,1),0)+MATCH($C1090,OFFSET(Data,1,0,1),0)-2,FALSE()))),"—",VLOOKUP(DATEVALUE(LEFT($B1090,4)&amp;"-"&amp;MID($B1090,5,2)&amp;"-"&amp;RIGHT($B1090,2)),Data,MATCH(LEFT(VLOOKUP(F$1,Parameters,2,FALSE()),4)&amp;"*",OFFSET(Data,0,0,1),0)+MATCH($C1090,OFFSET(Data,1,0,1),0)-2,FALSE()))</f>
        <v>28</v>
      </c>
      <c r="G1090" s="40">
        <f t="shared" ref="G1090:G1099" ca="1" si="89">IF(OR(ISBLANK(VLOOKUP(DATEVALUE(LEFT($B1090,4)&amp;"-"&amp;MID($B1090,5,2)&amp;"-"&amp;RIGHT($B1090,2)),Data,MATCH(LEFT(VLOOKUP(MID(G$1,2,LEN(G$1)-1),Parameters,2,FALSE()),4)&amp;"*",OFFSET(Data,0,0,1),0)+MATCH($C1090,OFFSET(Data,1,0,1),0)-2,FALSE())),ISTEXT(VLOOKUP(DATEVALUE(LEFT($B1090,4)&amp;"-"&amp;MID($B1090,5,2)&amp;"-"&amp;RIGHT($B1090,2)),Data,MATCH(LEFT(VLOOKUP(MID(G$1,2,LEN(G$1)-1),Parameters,2,FALSE()),4)&amp;"*",OFFSET(Data,0,0,1),0)+MATCH($C1090,OFFSET(Data,1,0,1),0)-2,FALSE()))),Lacking,IF(ISNA(MATCH(DATEVALUE(LEFT($B1090,4)&amp;"-"&amp;MID($B1090,5,2)&amp;"-"&amp;RIGHT($B1090,2)),OFFSET(Catalogus,0,0,,1),0)),Ok,VLOOKUP(DATEVALUE(LEFT($B1090,4)&amp;"-"&amp;MID($B1090,5,2)&amp;"-"&amp;RIGHT($B1090,2)),Catalogus,MATCH(LEFT(VLOOKUP(MID(G$1,2,LEN(G$1)-1),Parameters,2,FALSE()),4)&amp;"*",OFFSET(Catalogus,0,0,1),0)+MATCH($C1090,OFFSET(Catalogus,1,0,1),0)-2,FALSE())))</f>
        <v>0</v>
      </c>
    </row>
    <row r="1091" spans="1:7" x14ac:dyDescent="0.25">
      <c r="A1091" s="17">
        <f t="shared" si="85"/>
        <v>81</v>
      </c>
      <c r="B1091" t="str">
        <f ca="1">TEXT(DATE(YEAR(Invoer!$A$5),1,1)+INT((ROWS(B$2:B1091)-1)/3),"jjjjmmdd")</f>
        <v>19401229</v>
      </c>
      <c r="C1091" s="35" t="str">
        <f>INDEX(Data,2,2+MOD(ROWS(C$2:C1091)-1,3))</f>
        <v>07.45</v>
      </c>
      <c r="D1091" s="23">
        <f t="shared" ca="1" si="86"/>
        <v>750</v>
      </c>
      <c r="E1091" s="40">
        <f t="shared" ca="1" si="87"/>
        <v>0</v>
      </c>
      <c r="F1091" s="23">
        <f t="shared" ca="1" si="88"/>
        <v>27</v>
      </c>
      <c r="G1091" s="40">
        <f t="shared" ca="1" si="89"/>
        <v>0</v>
      </c>
    </row>
    <row r="1092" spans="1:7" x14ac:dyDescent="0.25">
      <c r="A1092" s="17">
        <f t="shared" si="85"/>
        <v>81</v>
      </c>
      <c r="B1092" t="str">
        <f ca="1">TEXT(DATE(YEAR(Invoer!$A$5),1,1)+INT((ROWS(B$2:B1092)-1)/3),"jjjjmmdd")</f>
        <v>19401229</v>
      </c>
      <c r="C1092" s="35" t="str">
        <f>INDEX(Data,2,2+MOD(ROWS(C$2:C1092)-1,3))</f>
        <v>13.45</v>
      </c>
      <c r="D1092" s="23">
        <f t="shared" ca="1" si="86"/>
        <v>750</v>
      </c>
      <c r="E1092" s="40">
        <f t="shared" ca="1" si="87"/>
        <v>0</v>
      </c>
      <c r="F1092" s="23">
        <f t="shared" ca="1" si="88"/>
        <v>29</v>
      </c>
      <c r="G1092" s="40">
        <f t="shared" ca="1" si="89"/>
        <v>0</v>
      </c>
    </row>
    <row r="1093" spans="1:7" x14ac:dyDescent="0.25">
      <c r="A1093" s="17">
        <f t="shared" si="85"/>
        <v>81</v>
      </c>
      <c r="B1093" t="str">
        <f ca="1">TEXT(DATE(YEAR(Invoer!$A$5),1,1)+INT((ROWS(B$2:B1093)-1)/3),"jjjjmmdd")</f>
        <v>19401229</v>
      </c>
      <c r="C1093" s="35" t="str">
        <f>INDEX(Data,2,2+MOD(ROWS(C$2:C1093)-1,3))</f>
        <v>19.45</v>
      </c>
      <c r="D1093" s="23">
        <f t="shared" ca="1" si="86"/>
        <v>750</v>
      </c>
      <c r="E1093" s="40">
        <f t="shared" ca="1" si="87"/>
        <v>0</v>
      </c>
      <c r="F1093" s="23">
        <f t="shared" ca="1" si="88"/>
        <v>28</v>
      </c>
      <c r="G1093" s="40">
        <f t="shared" ca="1" si="89"/>
        <v>0</v>
      </c>
    </row>
    <row r="1094" spans="1:7" x14ac:dyDescent="0.25">
      <c r="A1094" s="17">
        <f t="shared" si="85"/>
        <v>81</v>
      </c>
      <c r="B1094" t="str">
        <f ca="1">TEXT(DATE(YEAR(Invoer!$A$5),1,1)+INT((ROWS(B$2:B1094)-1)/3),"jjjjmmdd")</f>
        <v>19401230</v>
      </c>
      <c r="C1094" s="35" t="str">
        <f>INDEX(Data,2,2+MOD(ROWS(C$2:C1094)-1,3))</f>
        <v>07.45</v>
      </c>
      <c r="D1094" s="23">
        <f t="shared" ca="1" si="86"/>
        <v>750</v>
      </c>
      <c r="E1094" s="40">
        <f t="shared" ca="1" si="87"/>
        <v>0</v>
      </c>
      <c r="F1094" s="23">
        <f t="shared" ca="1" si="88"/>
        <v>27</v>
      </c>
      <c r="G1094" s="40">
        <f t="shared" ca="1" si="89"/>
        <v>0</v>
      </c>
    </row>
    <row r="1095" spans="1:7" x14ac:dyDescent="0.25">
      <c r="A1095" s="17">
        <f t="shared" si="85"/>
        <v>81</v>
      </c>
      <c r="B1095" t="str">
        <f ca="1">TEXT(DATE(YEAR(Invoer!$A$5),1,1)+INT((ROWS(B$2:B1095)-1)/3),"jjjjmmdd")</f>
        <v>19401230</v>
      </c>
      <c r="C1095" s="35" t="str">
        <f>INDEX(Data,2,2+MOD(ROWS(C$2:C1095)-1,3))</f>
        <v>13.45</v>
      </c>
      <c r="D1095" s="23">
        <f t="shared" ca="1" si="86"/>
        <v>749</v>
      </c>
      <c r="E1095" s="40">
        <f t="shared" ca="1" si="87"/>
        <v>0</v>
      </c>
      <c r="F1095" s="23">
        <f t="shared" ca="1" si="88"/>
        <v>29</v>
      </c>
      <c r="G1095" s="40">
        <f t="shared" ca="1" si="89"/>
        <v>0</v>
      </c>
    </row>
    <row r="1096" spans="1:7" x14ac:dyDescent="0.25">
      <c r="A1096" s="17">
        <f t="shared" si="85"/>
        <v>81</v>
      </c>
      <c r="B1096" t="str">
        <f ca="1">TEXT(DATE(YEAR(Invoer!$A$5),1,1)+INT((ROWS(B$2:B1096)-1)/3),"jjjjmmdd")</f>
        <v>19401230</v>
      </c>
      <c r="C1096" s="35" t="str">
        <f>INDEX(Data,2,2+MOD(ROWS(C$2:C1096)-1,3))</f>
        <v>19.45</v>
      </c>
      <c r="D1096" s="23">
        <f t="shared" ca="1" si="86"/>
        <v>749</v>
      </c>
      <c r="E1096" s="40">
        <f t="shared" ca="1" si="87"/>
        <v>0</v>
      </c>
      <c r="F1096" s="23">
        <f t="shared" ca="1" si="88"/>
        <v>28</v>
      </c>
      <c r="G1096" s="40">
        <f t="shared" ca="1" si="89"/>
        <v>0</v>
      </c>
    </row>
    <row r="1097" spans="1:7" x14ac:dyDescent="0.25">
      <c r="A1097" s="17">
        <f t="shared" si="85"/>
        <v>81</v>
      </c>
      <c r="B1097" t="str">
        <f ca="1">TEXT(DATE(YEAR(Invoer!$A$5),1,1)+INT((ROWS(B$2:B1097)-1)/3),"jjjjmmdd")</f>
        <v>19401231</v>
      </c>
      <c r="C1097" s="35" t="str">
        <f>INDEX(Data,2,2+MOD(ROWS(C$2:C1097)-1,3))</f>
        <v>07.45</v>
      </c>
      <c r="D1097" s="23">
        <f t="shared" ca="1" si="86"/>
        <v>749</v>
      </c>
      <c r="E1097" s="40">
        <f t="shared" ca="1" si="87"/>
        <v>0</v>
      </c>
      <c r="F1097" s="23">
        <f t="shared" ca="1" si="88"/>
        <v>27</v>
      </c>
      <c r="G1097" s="40">
        <f t="shared" ca="1" si="89"/>
        <v>0</v>
      </c>
    </row>
    <row r="1098" spans="1:7" x14ac:dyDescent="0.25">
      <c r="A1098" s="17">
        <f t="shared" si="85"/>
        <v>81</v>
      </c>
      <c r="B1098" t="str">
        <f ca="1">TEXT(DATE(YEAR(Invoer!$A$5),1,1)+INT((ROWS(B$2:B1098)-1)/3),"jjjjmmdd")</f>
        <v>19401231</v>
      </c>
      <c r="C1098" s="35" t="str">
        <f>INDEX(Data,2,2+MOD(ROWS(C$2:C1098)-1,3))</f>
        <v>13.45</v>
      </c>
      <c r="D1098" s="23">
        <f t="shared" ca="1" si="86"/>
        <v>750</v>
      </c>
      <c r="E1098" s="40">
        <f t="shared" ca="1" si="87"/>
        <v>0</v>
      </c>
      <c r="F1098" s="23">
        <f t="shared" ca="1" si="88"/>
        <v>29</v>
      </c>
      <c r="G1098" s="40">
        <f t="shared" ca="1" si="89"/>
        <v>0</v>
      </c>
    </row>
    <row r="1099" spans="1:7" x14ac:dyDescent="0.25">
      <c r="A1099" s="17">
        <f t="shared" si="85"/>
        <v>81</v>
      </c>
      <c r="B1099" t="str">
        <f ca="1">TEXT(DATE(YEAR(Invoer!$A$5),1,1)+INT((ROWS(B$2:B1099)-1)/3),"jjjjmmdd")</f>
        <v>19401231</v>
      </c>
      <c r="C1099" s="35" t="str">
        <f>INDEX(Data,2,2+MOD(ROWS(C$2:C1099)-1,3))</f>
        <v>19.45</v>
      </c>
      <c r="D1099" s="23">
        <f t="shared" ca="1" si="86"/>
        <v>750</v>
      </c>
      <c r="E1099" s="40">
        <f t="shared" ca="1" si="87"/>
        <v>0</v>
      </c>
      <c r="F1099" s="23">
        <f t="shared" ca="1" si="88"/>
        <v>28</v>
      </c>
      <c r="G1099" s="40">
        <f t="shared" ca="1" si="89"/>
        <v>0</v>
      </c>
    </row>
  </sheetData>
  <pageMargins left="0.7" right="0.7" top="0.75" bottom="0.75" header="0.3" footer="0.3"/>
  <ignoredErrors>
    <ignoredError sqref="E2:F2 E3:E1096 E1097:E1099 F3:F1099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1099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25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25" t="str">
        <f ca="1">TEXT(Regen!A2,"000\,")&amp;TEXT(Regen!B2,"?00000000")&amp;TEXT(Regen!C2,""",""?0")&amp;SUBSTITUTE(TEXT(Regen!D2,""",""????0;"",""???-0;"",""????0;"", ////"""),"'","""")&amp;SUBSTITUTE(TEXT(Regen!E2,""",""?00;"",""?-00;"",""?00;"", //"""),"'","""")</f>
        <v>081, 19400101, 1,   10, 00</v>
      </c>
    </row>
    <row r="3" spans="1:1" x14ac:dyDescent="0.25">
      <c r="A3" s="25" t="str">
        <f ca="1">TEXT(Regen!A3,"000\,")&amp;TEXT(Regen!B3,"?00000000")&amp;TEXT(Regen!C3,""",""?0")&amp;SUBSTITUTE(TEXT(Regen!D3,""",""????0;"",""???-0;"",""????0;"", ////"""),"'","""")&amp;SUBSTITUTE(TEXT(Regen!E3,""",""?00;"",""?-00;"",""?00;"", //"""),"'","""")</f>
        <v>081, 19400102, 1,    0, 00</v>
      </c>
    </row>
    <row r="4" spans="1:1" x14ac:dyDescent="0.25">
      <c r="A4" s="25" t="str">
        <f ca="1">TEXT(Regen!A4,"000\,")&amp;TEXT(Regen!B4,"?00000000")&amp;TEXT(Regen!C4,""",""?0")&amp;SUBSTITUTE(TEXT(Regen!D4,""",""????0;"",""???-0;"",""????0;"", ////"""),"'","""")&amp;SUBSTITUTE(TEXT(Regen!E4,""",""?00;"",""?-00;"",""?00;"", //"""),"'","""")</f>
        <v>081, 19400103, 1,    0, 00</v>
      </c>
    </row>
    <row r="5" spans="1:1" x14ac:dyDescent="0.25">
      <c r="A5" s="25" t="str">
        <f ca="1">TEXT(Regen!A5,"000\,")&amp;TEXT(Regen!B5,"?00000000")&amp;TEXT(Regen!C5,""",""?0")&amp;SUBSTITUTE(TEXT(Regen!D5,""",""????0;"",""???-0;"",""????0;"", ////"""),"'","""")&amp;SUBSTITUTE(TEXT(Regen!E5,""",""?00;"",""?-00;"",""?00;"", //"""),"'","""")</f>
        <v>081, 19400104, 1,    0, 00</v>
      </c>
    </row>
    <row r="6" spans="1:1" x14ac:dyDescent="0.25">
      <c r="A6" s="25" t="str">
        <f ca="1">TEXT(Regen!A6,"000\,")&amp;TEXT(Regen!B6,"?00000000")&amp;TEXT(Regen!C6,""",""?0")&amp;SUBSTITUTE(TEXT(Regen!D6,""",""????0;"",""???-0;"",""????0;"", ////"""),"'","""")&amp;SUBSTITUTE(TEXT(Regen!E6,""",""?00;"",""?-00;"",""?00;"", //"""),"'","""")</f>
        <v>081, 19400105, 1,    0, 00</v>
      </c>
    </row>
    <row r="7" spans="1:1" x14ac:dyDescent="0.25">
      <c r="A7" s="25" t="str">
        <f ca="1">TEXT(Regen!A7,"000\,")&amp;TEXT(Regen!B7,"?00000000")&amp;TEXT(Regen!C7,""",""?0")&amp;SUBSTITUTE(TEXT(Regen!D7,""",""????0;"",""???-0;"",""????0;"", ////"""),"'","""")&amp;SUBSTITUTE(TEXT(Regen!E7,""",""?00;"",""?-00;"",""?00;"", //"""),"'","""")</f>
        <v>081, 19400106, 1,    0, 00</v>
      </c>
    </row>
    <row r="8" spans="1:1" x14ac:dyDescent="0.25">
      <c r="A8" s="25" t="str">
        <f ca="1">TEXT(Regen!A8,"000\,")&amp;TEXT(Regen!B8,"?00000000")&amp;TEXT(Regen!C8,""",""?0")&amp;SUBSTITUTE(TEXT(Regen!D8,""",""????0;"",""???-0;"",""????0;"", ////"""),"'","""")&amp;SUBSTITUTE(TEXT(Regen!E8,""",""?00;"",""?-00;"",""?00;"", //"""),"'","""")</f>
        <v>081, 19400107, 1,    0, 00</v>
      </c>
    </row>
    <row r="9" spans="1:1" x14ac:dyDescent="0.25">
      <c r="A9" s="25" t="str">
        <f ca="1">TEXT(Regen!A9,"000\,")&amp;TEXT(Regen!B9,"?00000000")&amp;TEXT(Regen!C9,""",""?0")&amp;SUBSTITUTE(TEXT(Regen!D9,""",""????0;"",""???-0;"",""????0;"", ////"""),"'","""")&amp;SUBSTITUTE(TEXT(Regen!E9,""",""?00;"",""?-00;"",""?00;"", //"""),"'","""")</f>
        <v>081, 19400108, 1,    6, 00</v>
      </c>
    </row>
    <row r="10" spans="1:1" x14ac:dyDescent="0.25">
      <c r="A10" s="25" t="str">
        <f ca="1">TEXT(Regen!A10,"000\,")&amp;TEXT(Regen!B10,"?00000000")&amp;TEXT(Regen!C10,""",""?0")&amp;SUBSTITUTE(TEXT(Regen!D10,""",""????0;"",""???-0;"",""????0;"", ////"""),"'","""")&amp;SUBSTITUTE(TEXT(Regen!E10,""",""?00;"",""?-00;"",""?00;"", //"""),"'","""")</f>
        <v>081, 19400109, 1,    0, 00</v>
      </c>
    </row>
    <row r="11" spans="1:1" x14ac:dyDescent="0.25">
      <c r="A11" s="25" t="str">
        <f ca="1">TEXT(Regen!A11,"000\,")&amp;TEXT(Regen!B11,"?00000000")&amp;TEXT(Regen!C11,""",""?0")&amp;SUBSTITUTE(TEXT(Regen!D11,""",""????0;"",""???-0;"",""????0;"", ////"""),"'","""")&amp;SUBSTITUTE(TEXT(Regen!E11,""",""?00;"",""?-00;"",""?00;"", //"""),"'","""")</f>
        <v>081, 19400110, 1,    8, 00</v>
      </c>
    </row>
    <row r="12" spans="1:1" x14ac:dyDescent="0.25">
      <c r="A12" s="25" t="str">
        <f ca="1">TEXT(Regen!A12,"000\,")&amp;TEXT(Regen!B12,"?00000000")&amp;TEXT(Regen!C12,""",""?0")&amp;SUBSTITUTE(TEXT(Regen!D12,""",""????0;"",""???-0;"",""????0;"", ////"""),"'","""")&amp;SUBSTITUTE(TEXT(Regen!E12,""",""?00;"",""?-00;"",""?00;"", //"""),"'","""")</f>
        <v>081, 19400111, 1,    0, 00</v>
      </c>
    </row>
    <row r="13" spans="1:1" x14ac:dyDescent="0.25">
      <c r="A13" s="25" t="str">
        <f ca="1">TEXT(Regen!A13,"000\,")&amp;TEXT(Regen!B13,"?00000000")&amp;TEXT(Regen!C13,""",""?0")&amp;SUBSTITUTE(TEXT(Regen!D13,""",""????0;"",""???-0;"",""????0;"", ////"""),"'","""")&amp;SUBSTITUTE(TEXT(Regen!E13,""",""?00;"",""?-00;"",""?00;"", //"""),"'","""")</f>
        <v>081, 19400112, 1,    0, 00</v>
      </c>
    </row>
    <row r="14" spans="1:1" x14ac:dyDescent="0.25">
      <c r="A14" s="25" t="str">
        <f ca="1">TEXT(Regen!A14,"000\,")&amp;TEXT(Regen!B14,"?00000000")&amp;TEXT(Regen!C14,""",""?0")&amp;SUBSTITUTE(TEXT(Regen!D14,""",""????0;"",""???-0;"",""????0;"", ////"""),"'","""")&amp;SUBSTITUTE(TEXT(Regen!E14,""",""?00;"",""?-00;"",""?00;"", //"""),"'","""")</f>
        <v>081, 19400113, 1,    0, 00</v>
      </c>
    </row>
    <row r="15" spans="1:1" x14ac:dyDescent="0.25">
      <c r="A15" s="25" t="str">
        <f ca="1">TEXT(Regen!A15,"000\,")&amp;TEXT(Regen!B15,"?00000000")&amp;TEXT(Regen!C15,""",""?0")&amp;SUBSTITUTE(TEXT(Regen!D15,""",""????0;"",""???-0;"",""????0;"", ////"""),"'","""")&amp;SUBSTITUTE(TEXT(Regen!E15,""",""?00;"",""?-00;"",""?00;"", //"""),"'","""")</f>
        <v>081, 19400114, 1,    0, 00</v>
      </c>
    </row>
    <row r="16" spans="1:1" x14ac:dyDescent="0.25">
      <c r="A16" s="25" t="str">
        <f ca="1">TEXT(Regen!A16,"000\,")&amp;TEXT(Regen!B16,"?00000000")&amp;TEXT(Regen!C16,""",""?0")&amp;SUBSTITUTE(TEXT(Regen!D16,""",""????0;"",""???-0;"",""????0;"", ////"""),"'","""")&amp;SUBSTITUTE(TEXT(Regen!E16,""",""?00;"",""?-00;"",""?00;"", //"""),"'","""")</f>
        <v>081, 19400115, 1,  135, 00</v>
      </c>
    </row>
    <row r="17" spans="1:1" x14ac:dyDescent="0.25">
      <c r="A17" s="25" t="str">
        <f ca="1">TEXT(Regen!A17,"000\,")&amp;TEXT(Regen!B17,"?00000000")&amp;TEXT(Regen!C17,""",""?0")&amp;SUBSTITUTE(TEXT(Regen!D17,""",""????0;"",""???-0;"",""????0;"", ////"""),"'","""")&amp;SUBSTITUTE(TEXT(Regen!E17,""",""?00;"",""?-00;"",""?00;"", //"""),"'","""")</f>
        <v>081, 19400116, 1,    0, 00</v>
      </c>
    </row>
    <row r="18" spans="1:1" x14ac:dyDescent="0.25">
      <c r="A18" s="25" t="str">
        <f ca="1">TEXT(Regen!A18,"000\,")&amp;TEXT(Regen!B18,"?00000000")&amp;TEXT(Regen!C18,""",""?0")&amp;SUBSTITUTE(TEXT(Regen!D18,""",""????0;"",""???-0;"",""????0;"", ////"""),"'","""")&amp;SUBSTITUTE(TEXT(Regen!E18,""",""?00;"",""?-00;"",""?00;"", //"""),"'","""")</f>
        <v>081, 19400117, 1,    0, 00</v>
      </c>
    </row>
    <row r="19" spans="1:1" x14ac:dyDescent="0.25">
      <c r="A19" s="25" t="str">
        <f ca="1">TEXT(Regen!A19,"000\,")&amp;TEXT(Regen!B19,"?00000000")&amp;TEXT(Regen!C19,""",""?0")&amp;SUBSTITUTE(TEXT(Regen!D19,""",""????0;"",""???-0;"",""????0;"", ////"""),"'","""")&amp;SUBSTITUTE(TEXT(Regen!E19,""",""?00;"",""?-00;"",""?00;"", //"""),"'","""")</f>
        <v>081, 19400118, 1,    0, 00</v>
      </c>
    </row>
    <row r="20" spans="1:1" x14ac:dyDescent="0.25">
      <c r="A20" s="25" t="str">
        <f ca="1">TEXT(Regen!A20,"000\,")&amp;TEXT(Regen!B20,"?00000000")&amp;TEXT(Regen!C20,""",""?0")&amp;SUBSTITUTE(TEXT(Regen!D20,""",""????0;"",""???-0;"",""????0;"", ////"""),"'","""")&amp;SUBSTITUTE(TEXT(Regen!E20,""",""?00;"",""?-00;"",""?00;"", //"""),"'","""")</f>
        <v>081, 19400119, 1,    0, 00</v>
      </c>
    </row>
    <row r="21" spans="1:1" x14ac:dyDescent="0.25">
      <c r="A21" s="25" t="str">
        <f ca="1">TEXT(Regen!A21,"000\,")&amp;TEXT(Regen!B21,"?00000000")&amp;TEXT(Regen!C21,""",""?0")&amp;SUBSTITUTE(TEXT(Regen!D21,""",""????0;"",""???-0;"",""????0;"", ////"""),"'","""")&amp;SUBSTITUTE(TEXT(Regen!E21,""",""?00;"",""?-00;"",""?00;"", //"""),"'","""")</f>
        <v>081, 19400120, 1,    0, 00</v>
      </c>
    </row>
    <row r="22" spans="1:1" x14ac:dyDescent="0.25">
      <c r="A22" s="25" t="str">
        <f ca="1">TEXT(Regen!A22,"000\,")&amp;TEXT(Regen!B22,"?00000000")&amp;TEXT(Regen!C22,""",""?0")&amp;SUBSTITUTE(TEXT(Regen!D22,""",""????0;"",""???-0;"",""????0;"", ////"""),"'","""")&amp;SUBSTITUTE(TEXT(Regen!E22,""",""?00;"",""?-00;"",""?00;"", //"""),"'","""")</f>
        <v>081, 19400121, 1,    8, 00</v>
      </c>
    </row>
    <row r="23" spans="1:1" x14ac:dyDescent="0.25">
      <c r="A23" s="25" t="str">
        <f ca="1">TEXT(Regen!A23,"000\,")&amp;TEXT(Regen!B23,"?00000000")&amp;TEXT(Regen!C23,""",""?0")&amp;SUBSTITUTE(TEXT(Regen!D23,""",""????0;"",""???-0;"",""????0;"", ////"""),"'","""")&amp;SUBSTITUTE(TEXT(Regen!E23,""",""?00;"",""?-00;"",""?00;"", //"""),"'","""")</f>
        <v>081, 19400122, 1,    0, 00</v>
      </c>
    </row>
    <row r="24" spans="1:1" x14ac:dyDescent="0.25">
      <c r="A24" s="25" t="str">
        <f ca="1">TEXT(Regen!A24,"000\,")&amp;TEXT(Regen!B24,"?00000000")&amp;TEXT(Regen!C24,""",""?0")&amp;SUBSTITUTE(TEXT(Regen!D24,""",""????0;"",""???-0;"",""????0;"", ////"""),"'","""")&amp;SUBSTITUTE(TEXT(Regen!E24,""",""?00;"",""?-00;"",""?00;"", //"""),"'","""")</f>
        <v>081, 19400123, 1,   61, 00</v>
      </c>
    </row>
    <row r="25" spans="1:1" x14ac:dyDescent="0.25">
      <c r="A25" s="25" t="str">
        <f ca="1">TEXT(Regen!A25,"000\,")&amp;TEXT(Regen!B25,"?00000000")&amp;TEXT(Regen!C25,""",""?0")&amp;SUBSTITUTE(TEXT(Regen!D25,""",""????0;"",""???-0;"",""????0;"", ////"""),"'","""")&amp;SUBSTITUTE(TEXT(Regen!E25,""",""?00;"",""?-00;"",""?00;"", //"""),"'","""")</f>
        <v>081, 19400124, 1,   50, 00</v>
      </c>
    </row>
    <row r="26" spans="1:1" x14ac:dyDescent="0.25">
      <c r="A26" s="25" t="str">
        <f ca="1">TEXT(Regen!A26,"000\,")&amp;TEXT(Regen!B26,"?00000000")&amp;TEXT(Regen!C26,""",""?0")&amp;SUBSTITUTE(TEXT(Regen!D26,""",""????0;"",""???-0;"",""????0;"", ////"""),"'","""")&amp;SUBSTITUTE(TEXT(Regen!E26,""",""?00;"",""?-00;"",""?00;"", //"""),"'","""")</f>
        <v>081, 19400125, 1,   75, 00</v>
      </c>
    </row>
    <row r="27" spans="1:1" x14ac:dyDescent="0.25">
      <c r="A27" s="25" t="str">
        <f ca="1">TEXT(Regen!A27,"000\,")&amp;TEXT(Regen!B27,"?00000000")&amp;TEXT(Regen!C27,""",""?0")&amp;SUBSTITUTE(TEXT(Regen!D27,""",""????0;"",""???-0;"",""????0;"", ////"""),"'","""")&amp;SUBSTITUTE(TEXT(Regen!E27,""",""?00;"",""?-00;"",""?00;"", //"""),"'","""")</f>
        <v>081, 19400126, 1,   95, 00</v>
      </c>
    </row>
    <row r="28" spans="1:1" x14ac:dyDescent="0.25">
      <c r="A28" s="25" t="str">
        <f ca="1">TEXT(Regen!A28,"000\,")&amp;TEXT(Regen!B28,"?00000000")&amp;TEXT(Regen!C28,""",""?0")&amp;SUBSTITUTE(TEXT(Regen!D28,""",""????0;"",""???-0;"",""????0;"", ////"""),"'","""")&amp;SUBSTITUTE(TEXT(Regen!E28,""",""?00;"",""?-00;"",""?00;"", //"""),"'","""")</f>
        <v>081, 19400127, 1,    0, 00</v>
      </c>
    </row>
    <row r="29" spans="1:1" x14ac:dyDescent="0.25">
      <c r="A29" s="25" t="str">
        <f ca="1">TEXT(Regen!A29,"000\,")&amp;TEXT(Regen!B29,"?00000000")&amp;TEXT(Regen!C29,""",""?0")&amp;SUBSTITUTE(TEXT(Regen!D29,""",""????0;"",""???-0;"",""????0;"", ////"""),"'","""")&amp;SUBSTITUTE(TEXT(Regen!E29,""",""?00;"",""?-00;"",""?00;"", //"""),"'","""")</f>
        <v>081, 19400128, 1,    0, 00</v>
      </c>
    </row>
    <row r="30" spans="1:1" x14ac:dyDescent="0.25">
      <c r="A30" s="25" t="str">
        <f ca="1">TEXT(Regen!A30,"000\,")&amp;TEXT(Regen!B30,"?00000000")&amp;TEXT(Regen!C30,""",""?0")&amp;SUBSTITUTE(TEXT(Regen!D30,""",""????0;"",""???-0;"",""????0;"", ////"""),"'","""")&amp;SUBSTITUTE(TEXT(Regen!E30,""",""?00;"",""?-00;"",""?00;"", //"""),"'","""")</f>
        <v>081, 19400129, 1,    0, 00</v>
      </c>
    </row>
    <row r="31" spans="1:1" x14ac:dyDescent="0.25">
      <c r="A31" s="25" t="str">
        <f ca="1">TEXT(Regen!A31,"000\,")&amp;TEXT(Regen!B31,"?00000000")&amp;TEXT(Regen!C31,""",""?0")&amp;SUBSTITUTE(TEXT(Regen!D31,""",""????0;"",""???-0;"",""????0;"", ////"""),"'","""")&amp;SUBSTITUTE(TEXT(Regen!E31,""",""?00;"",""?-00;"",""?00;"", //"""),"'","""")</f>
        <v>081, 19400130, 1,    0, 00</v>
      </c>
    </row>
    <row r="32" spans="1:1" x14ac:dyDescent="0.25">
      <c r="A32" s="25" t="str">
        <f ca="1">TEXT(Regen!A32,"000\,")&amp;TEXT(Regen!B32,"?00000000")&amp;TEXT(Regen!C32,""",""?0")&amp;SUBSTITUTE(TEXT(Regen!D32,""",""????0;"",""???-0;"",""????0;"", ////"""),"'","""")&amp;SUBSTITUTE(TEXT(Regen!E32,""",""?00;"",""?-00;"",""?00;"", //"""),"'","""")</f>
        <v>081, 19400131, 1,    0, 00</v>
      </c>
    </row>
    <row r="33" spans="1:1" x14ac:dyDescent="0.25">
      <c r="A33" s="25" t="str">
        <f ca="1">TEXT(Regen!A33,"000\,")&amp;TEXT(Regen!B33,"?00000000")&amp;TEXT(Regen!C33,""",""?0")&amp;SUBSTITUTE(TEXT(Regen!D33,""",""????0;"",""???-0;"",""????0;"", ////"""),"'","""")&amp;SUBSTITUTE(TEXT(Regen!E33,""",""?00;"",""?-00;"",""?00;"", //"""),"'","""")</f>
        <v>081, 19400201, 1,    0, 00</v>
      </c>
    </row>
    <row r="34" spans="1:1" x14ac:dyDescent="0.25">
      <c r="A34" s="25" t="str">
        <f ca="1">TEXT(Regen!A34,"000\,")&amp;TEXT(Regen!B34,"?00000000")&amp;TEXT(Regen!C34,""",""?0")&amp;SUBSTITUTE(TEXT(Regen!D34,""",""????0;"",""???-0;"",""????0;"", ////"""),"'","""")&amp;SUBSTITUTE(TEXT(Regen!E34,""",""?00;"",""?-00;"",""?00;"", //"""),"'","""")</f>
        <v>081, 19400202, 1,    4, 00</v>
      </c>
    </row>
    <row r="35" spans="1:1" x14ac:dyDescent="0.25">
      <c r="A35" s="25" t="str">
        <f ca="1">TEXT(Regen!A35,"000\,")&amp;TEXT(Regen!B35,"?00000000")&amp;TEXT(Regen!C35,""",""?0")&amp;SUBSTITUTE(TEXT(Regen!D35,""",""????0;"",""???-0;"",""????0;"", ////"""),"'","""")&amp;SUBSTITUTE(TEXT(Regen!E35,""",""?00;"",""?-00;"",""?00;"", //"""),"'","""")</f>
        <v>081, 19400203, 1,    0, 00</v>
      </c>
    </row>
    <row r="36" spans="1:1" x14ac:dyDescent="0.25">
      <c r="A36" s="25" t="str">
        <f ca="1">TEXT(Regen!A36,"000\,")&amp;TEXT(Regen!B36,"?00000000")&amp;TEXT(Regen!C36,""",""?0")&amp;SUBSTITUTE(TEXT(Regen!D36,""",""????0;"",""???-0;"",""????0;"", ////"""),"'","""")&amp;SUBSTITUTE(TEXT(Regen!E36,""",""?00;"",""?-00;"",""?00;"", //"""),"'","""")</f>
        <v>081, 19400204, 1,   90, 00</v>
      </c>
    </row>
    <row r="37" spans="1:1" x14ac:dyDescent="0.25">
      <c r="A37" s="25" t="str">
        <f ca="1">TEXT(Regen!A37,"000\,")&amp;TEXT(Regen!B37,"?00000000")&amp;TEXT(Regen!C37,""",""?0")&amp;SUBSTITUTE(TEXT(Regen!D37,""",""????0;"",""???-0;"",""????0;"", ////"""),"'","""")&amp;SUBSTITUTE(TEXT(Regen!E37,""",""?00;"",""?-00;"",""?00;"", //"""),"'","""")</f>
        <v>081, 19400205, 1,    0, 00</v>
      </c>
    </row>
    <row r="38" spans="1:1" x14ac:dyDescent="0.25">
      <c r="A38" s="25" t="str">
        <f ca="1">TEXT(Regen!A38,"000\,")&amp;TEXT(Regen!B38,"?00000000")&amp;TEXT(Regen!C38,""",""?0")&amp;SUBSTITUTE(TEXT(Regen!D38,""",""????0;"",""???-0;"",""????0;"", ////"""),"'","""")&amp;SUBSTITUTE(TEXT(Regen!E38,""",""?00;"",""?-00;"",""?00;"", //"""),"'","""")</f>
        <v>081, 19400206, 1,    0, 00</v>
      </c>
    </row>
    <row r="39" spans="1:1" x14ac:dyDescent="0.25">
      <c r="A39" s="25" t="str">
        <f ca="1">TEXT(Regen!A39,"000\,")&amp;TEXT(Regen!B39,"?00000000")&amp;TEXT(Regen!C39,""",""?0")&amp;SUBSTITUTE(TEXT(Regen!D39,""",""????0;"",""???-0;"",""????0;"", ////"""),"'","""")&amp;SUBSTITUTE(TEXT(Regen!E39,""",""?00;"",""?-00;"",""?00;"", //"""),"'","""")</f>
        <v>081, 19400207, 1,   28, 00</v>
      </c>
    </row>
    <row r="40" spans="1:1" x14ac:dyDescent="0.25">
      <c r="A40" s="25" t="str">
        <f ca="1">TEXT(Regen!A40,"000\,")&amp;TEXT(Regen!B40,"?00000000")&amp;TEXT(Regen!C40,""",""?0")&amp;SUBSTITUTE(TEXT(Regen!D40,""",""????0;"",""???-0;"",""????0;"", ////"""),"'","""")&amp;SUBSTITUTE(TEXT(Regen!E40,""",""?00;"",""?-00;"",""?00;"", //"""),"'","""")</f>
        <v>081, 19400208, 1,    0, 00</v>
      </c>
    </row>
    <row r="41" spans="1:1" x14ac:dyDescent="0.25">
      <c r="A41" s="25" t="str">
        <f ca="1">TEXT(Regen!A41,"000\,")&amp;TEXT(Regen!B41,"?00000000")&amp;TEXT(Regen!C41,""",""?0")&amp;SUBSTITUTE(TEXT(Regen!D41,""",""????0;"",""???-0;"",""????0;"", ////"""),"'","""")&amp;SUBSTITUTE(TEXT(Regen!E41,""",""?00;"",""?-00;"",""?00;"", //"""),"'","""")</f>
        <v>081, 19400209, 1,    0, 00</v>
      </c>
    </row>
    <row r="42" spans="1:1" x14ac:dyDescent="0.25">
      <c r="A42" s="25" t="str">
        <f ca="1">TEXT(Regen!A42,"000\,")&amp;TEXT(Regen!B42,"?00000000")&amp;TEXT(Regen!C42,""",""?0")&amp;SUBSTITUTE(TEXT(Regen!D42,""",""????0;"",""???-0;"",""????0;"", ////"""),"'","""")&amp;SUBSTITUTE(TEXT(Regen!E42,""",""?00;"",""?-00;"",""?00;"", //"""),"'","""")</f>
        <v>081, 19400210, 1,   62, 00</v>
      </c>
    </row>
    <row r="43" spans="1:1" x14ac:dyDescent="0.25">
      <c r="A43" s="25" t="str">
        <f ca="1">TEXT(Regen!A43,"000\,")&amp;TEXT(Regen!B43,"?00000000")&amp;TEXT(Regen!C43,""",""?0")&amp;SUBSTITUTE(TEXT(Regen!D43,""",""????0;"",""???-0;"",""????0;"", ////"""),"'","""")&amp;SUBSTITUTE(TEXT(Regen!E43,""",""?00;"",""?-00;"",""?00;"", //"""),"'","""")</f>
        <v>081, 19400211, 1,    0, 00</v>
      </c>
    </row>
    <row r="44" spans="1:1" x14ac:dyDescent="0.25">
      <c r="A44" s="25" t="str">
        <f ca="1">TEXT(Regen!A44,"000\,")&amp;TEXT(Regen!B44,"?00000000")&amp;TEXT(Regen!C44,""",""?0")&amp;SUBSTITUTE(TEXT(Regen!D44,""",""????0;"",""???-0;"",""????0;"", ////"""),"'","""")&amp;SUBSTITUTE(TEXT(Regen!E44,""",""?00;"",""?-00;"",""?00;"", //"""),"'","""")</f>
        <v>081, 19400212, 1,  145, 00</v>
      </c>
    </row>
    <row r="45" spans="1:1" x14ac:dyDescent="0.25">
      <c r="A45" s="25" t="str">
        <f ca="1">TEXT(Regen!A45,"000\,")&amp;TEXT(Regen!B45,"?00000000")&amp;TEXT(Regen!C45,""",""?0")&amp;SUBSTITUTE(TEXT(Regen!D45,""",""????0;"",""???-0;"",""????0;"", ////"""),"'","""")&amp;SUBSTITUTE(TEXT(Regen!E45,""",""?00;"",""?-00;"",""?00;"", //"""),"'","""")</f>
        <v>081, 19400213, 1,   43, 00</v>
      </c>
    </row>
    <row r="46" spans="1:1" x14ac:dyDescent="0.25">
      <c r="A46" s="25" t="str">
        <f ca="1">TEXT(Regen!A46,"000\,")&amp;TEXT(Regen!B46,"?00000000")&amp;TEXT(Regen!C46,""",""?0")&amp;SUBSTITUTE(TEXT(Regen!D46,""",""????0;"",""???-0;"",""????0;"", ////"""),"'","""")&amp;SUBSTITUTE(TEXT(Regen!E46,""",""?00;"",""?-00;"",""?00;"", //"""),"'","""")</f>
        <v>081, 19400214, 1,    0, 00</v>
      </c>
    </row>
    <row r="47" spans="1:1" x14ac:dyDescent="0.25">
      <c r="A47" s="25" t="str">
        <f ca="1">TEXT(Regen!A47,"000\,")&amp;TEXT(Regen!B47,"?00000000")&amp;TEXT(Regen!C47,""",""?0")&amp;SUBSTITUTE(TEXT(Regen!D47,""",""????0;"",""???-0;"",""????0;"", ////"""),"'","""")&amp;SUBSTITUTE(TEXT(Regen!E47,""",""?00;"",""?-00;"",""?00;"", //"""),"'","""")</f>
        <v>081, 19400215, 1,    0, 00</v>
      </c>
    </row>
    <row r="48" spans="1:1" x14ac:dyDescent="0.25">
      <c r="A48" s="25" t="str">
        <f ca="1">TEXT(Regen!A48,"000\,")&amp;TEXT(Regen!B48,"?00000000")&amp;TEXT(Regen!C48,""",""?0")&amp;SUBSTITUTE(TEXT(Regen!D48,""",""????0;"",""???-0;"",""????0;"", ////"""),"'","""")&amp;SUBSTITUTE(TEXT(Regen!E48,""",""?00;"",""?-00;"",""?00;"", //"""),"'","""")</f>
        <v>081, 19400216, 1,    0, 00</v>
      </c>
    </row>
    <row r="49" spans="1:1" x14ac:dyDescent="0.25">
      <c r="A49" s="25" t="str">
        <f ca="1">TEXT(Regen!A49,"000\,")&amp;TEXT(Regen!B49,"?00000000")&amp;TEXT(Regen!C49,""",""?0")&amp;SUBSTITUTE(TEXT(Regen!D49,""",""????0;"",""???-0;"",""????0;"", ////"""),"'","""")&amp;SUBSTITUTE(TEXT(Regen!E49,""",""?00;"",""?-00;"",""?00;"", //"""),"'","""")</f>
        <v>081, 19400217, 1,    0, 00</v>
      </c>
    </row>
    <row r="50" spans="1:1" x14ac:dyDescent="0.25">
      <c r="A50" s="25" t="str">
        <f ca="1">TEXT(Regen!A50,"000\,")&amp;TEXT(Regen!B50,"?00000000")&amp;TEXT(Regen!C50,""",""?0")&amp;SUBSTITUTE(TEXT(Regen!D50,""",""????0;"",""???-0;"",""????0;"", ////"""),"'","""")&amp;SUBSTITUTE(TEXT(Regen!E50,""",""?00;"",""?-00;"",""?00;"", //"""),"'","""")</f>
        <v>081, 19400218, 1,  125, 00</v>
      </c>
    </row>
    <row r="51" spans="1:1" x14ac:dyDescent="0.25">
      <c r="A51" s="25" t="str">
        <f ca="1">TEXT(Regen!A51,"000\,")&amp;TEXT(Regen!B51,"?00000000")&amp;TEXT(Regen!C51,""",""?0")&amp;SUBSTITUTE(TEXT(Regen!D51,""",""????0;"",""???-0;"",""????0;"", ////"""),"'","""")&amp;SUBSTITUTE(TEXT(Regen!E51,""",""?00;"",""?-00;"",""?00;"", //"""),"'","""")</f>
        <v>081, 19400219, 1,    0, 00</v>
      </c>
    </row>
    <row r="52" spans="1:1" x14ac:dyDescent="0.25">
      <c r="A52" s="25" t="str">
        <f ca="1">TEXT(Regen!A52,"000\,")&amp;TEXT(Regen!B52,"?00000000")&amp;TEXT(Regen!C52,""",""?0")&amp;SUBSTITUTE(TEXT(Regen!D52,""",""????0;"",""???-0;"",""????0;"", ////"""),"'","""")&amp;SUBSTITUTE(TEXT(Regen!E52,""",""?00;"",""?-00;"",""?00;"", //"""),"'","""")</f>
        <v>081, 19400220, 1,    0, 00</v>
      </c>
    </row>
    <row r="53" spans="1:1" x14ac:dyDescent="0.25">
      <c r="A53" s="25" t="str">
        <f ca="1">TEXT(Regen!A53,"000\,")&amp;TEXT(Regen!B53,"?00000000")&amp;TEXT(Regen!C53,""",""?0")&amp;SUBSTITUTE(TEXT(Regen!D53,""",""????0;"",""???-0;"",""????0;"", ////"""),"'","""")&amp;SUBSTITUTE(TEXT(Regen!E53,""",""?00;"",""?-00;"",""?00;"", //"""),"'","""")</f>
        <v>081, 19400221, 1,    0, 00</v>
      </c>
    </row>
    <row r="54" spans="1:1" x14ac:dyDescent="0.25">
      <c r="A54" s="25" t="str">
        <f ca="1">TEXT(Regen!A54,"000\,")&amp;TEXT(Regen!B54,"?00000000")&amp;TEXT(Regen!C54,""",""?0")&amp;SUBSTITUTE(TEXT(Regen!D54,""",""????0;"",""???-0;"",""????0;"", ////"""),"'","""")&amp;SUBSTITUTE(TEXT(Regen!E54,""",""?00;"",""?-00;"",""?00;"", //"""),"'","""")</f>
        <v>081, 19400222, 1,    0, 00</v>
      </c>
    </row>
    <row r="55" spans="1:1" x14ac:dyDescent="0.25">
      <c r="A55" s="25" t="str">
        <f ca="1">TEXT(Regen!A55,"000\,")&amp;TEXT(Regen!B55,"?00000000")&amp;TEXT(Regen!C55,""",""?0")&amp;SUBSTITUTE(TEXT(Regen!D55,""",""????0;"",""???-0;"",""????0;"", ////"""),"'","""")&amp;SUBSTITUTE(TEXT(Regen!E55,""",""?00;"",""?-00;"",""?00;"", //"""),"'","""")</f>
        <v>081, 19400223, 1,    0, 00</v>
      </c>
    </row>
    <row r="56" spans="1:1" x14ac:dyDescent="0.25">
      <c r="A56" s="25" t="str">
        <f ca="1">TEXT(Regen!A56,"000\,")&amp;TEXT(Regen!B56,"?00000000")&amp;TEXT(Regen!C56,""",""?0")&amp;SUBSTITUTE(TEXT(Regen!D56,""",""????0;"",""???-0;"",""????0;"", ////"""),"'","""")&amp;SUBSTITUTE(TEXT(Regen!E56,""",""?00;"",""?-00;"",""?00;"", //"""),"'","""")</f>
        <v>081, 19400224, 1,    0, 00</v>
      </c>
    </row>
    <row r="57" spans="1:1" x14ac:dyDescent="0.25">
      <c r="A57" s="25" t="str">
        <f ca="1">TEXT(Regen!A57,"000\,")&amp;TEXT(Regen!B57,"?00000000")&amp;TEXT(Regen!C57,""",""?0")&amp;SUBSTITUTE(TEXT(Regen!D57,""",""????0;"",""???-0;"",""????0;"", ////"""),"'","""")&amp;SUBSTITUTE(TEXT(Regen!E57,""",""?00;"",""?-00;"",""?00;"", //"""),"'","""")</f>
        <v>081, 19400225, 1,    0, 00</v>
      </c>
    </row>
    <row r="58" spans="1:1" x14ac:dyDescent="0.25">
      <c r="A58" s="25" t="str">
        <f ca="1">TEXT(Regen!A58,"000\,")&amp;TEXT(Regen!B58,"?00000000")&amp;TEXT(Regen!C58,""",""?0")&amp;SUBSTITUTE(TEXT(Regen!D58,""",""????0;"",""???-0;"",""????0;"", ////"""),"'","""")&amp;SUBSTITUTE(TEXT(Regen!E58,""",""?00;"",""?-00;"",""?00;"", //"""),"'","""")</f>
        <v>081, 19400226, 1,    0, 00</v>
      </c>
    </row>
    <row r="59" spans="1:1" x14ac:dyDescent="0.25">
      <c r="A59" s="25" t="str">
        <f ca="1">TEXT(Regen!A59,"000\,")&amp;TEXT(Regen!B59,"?00000000")&amp;TEXT(Regen!C59,""",""?0")&amp;SUBSTITUTE(TEXT(Regen!D59,""",""????0;"",""???-0;"",""????0;"", ////"""),"'","""")&amp;SUBSTITUTE(TEXT(Regen!E59,""",""?00;"",""?-00;"",""?00;"", //"""),"'","""")</f>
        <v>081, 19400227, 1,   21, 00</v>
      </c>
    </row>
    <row r="60" spans="1:1" x14ac:dyDescent="0.25">
      <c r="A60" s="25" t="str">
        <f ca="1">TEXT(Regen!A60,"000\,")&amp;TEXT(Regen!B60,"?00000000")&amp;TEXT(Regen!C60,""",""?0")&amp;SUBSTITUTE(TEXT(Regen!D60,""",""????0;"",""???-0;"",""????0;"", ////"""),"'","""")&amp;SUBSTITUTE(TEXT(Regen!E60,""",""?00;"",""?-00;"",""?00;"", //"""),"'","""")</f>
        <v>081, 19400228, 1,   35, 00</v>
      </c>
    </row>
    <row r="61" spans="1:1" x14ac:dyDescent="0.25">
      <c r="A61" s="25" t="str">
        <f ca="1">TEXT(Regen!A61,"000\,")&amp;TEXT(Regen!B61,"?00000000")&amp;TEXT(Regen!C61,""",""?0")&amp;SUBSTITUTE(TEXT(Regen!D61,""",""????0;"",""???-0;"",""????0;"", ////"""),"'","""")&amp;SUBSTITUTE(TEXT(Regen!E61,""",""?00;"",""?-00;"",""?00;"", //"""),"'","""")</f>
        <v>081, 19400229, 1,  142, 00</v>
      </c>
    </row>
    <row r="62" spans="1:1" x14ac:dyDescent="0.25">
      <c r="A62" s="25" t="str">
        <f ca="1">TEXT(Regen!A62,"000\,")&amp;TEXT(Regen!B62,"?00000000")&amp;TEXT(Regen!C62,""",""?0")&amp;SUBSTITUTE(TEXT(Regen!D62,""",""????0;"",""???-0;"",""????0;"", ////"""),"'","""")&amp;SUBSTITUTE(TEXT(Regen!E62,""",""?00;"",""?-00;"",""?00;"", //"""),"'","""")</f>
        <v>081, 19400301, 1,   32, 00</v>
      </c>
    </row>
    <row r="63" spans="1:1" x14ac:dyDescent="0.25">
      <c r="A63" s="25" t="str">
        <f ca="1">TEXT(Regen!A63,"000\,")&amp;TEXT(Regen!B63,"?00000000")&amp;TEXT(Regen!C63,""",""?0")&amp;SUBSTITUTE(TEXT(Regen!D63,""",""????0;"",""???-0;"",""????0;"", ////"""),"'","""")&amp;SUBSTITUTE(TEXT(Regen!E63,""",""?00;"",""?-00;"",""?00;"", //"""),"'","""")</f>
        <v>081, 19400302, 1,    0, 00</v>
      </c>
    </row>
    <row r="64" spans="1:1" x14ac:dyDescent="0.25">
      <c r="A64" s="25" t="str">
        <f ca="1">TEXT(Regen!A64,"000\,")&amp;TEXT(Regen!B64,"?00000000")&amp;TEXT(Regen!C64,""",""?0")&amp;SUBSTITUTE(TEXT(Regen!D64,""",""????0;"",""???-0;"",""????0;"", ////"""),"'","""")&amp;SUBSTITUTE(TEXT(Regen!E64,""",""?00;"",""?-00;"",""?00;"", //"""),"'","""")</f>
        <v>081, 19400303, 1,    0, 00</v>
      </c>
    </row>
    <row r="65" spans="1:1" x14ac:dyDescent="0.25">
      <c r="A65" s="25" t="str">
        <f ca="1">TEXT(Regen!A65,"000\,")&amp;TEXT(Regen!B65,"?00000000")&amp;TEXT(Regen!C65,""",""?0")&amp;SUBSTITUTE(TEXT(Regen!D65,""",""????0;"",""???-0;"",""????0;"", ////"""),"'","""")&amp;SUBSTITUTE(TEXT(Regen!E65,""",""?00;"",""?-00;"",""?00;"", //"""),"'","""")</f>
        <v>081, 19400304, 1,    8, 00</v>
      </c>
    </row>
    <row r="66" spans="1:1" x14ac:dyDescent="0.25">
      <c r="A66" s="25" t="str">
        <f ca="1">TEXT(Regen!A66,"000\,")&amp;TEXT(Regen!B66,"?00000000")&amp;TEXT(Regen!C66,""",""?0")&amp;SUBSTITUTE(TEXT(Regen!D66,""",""????0;"",""???-0;"",""????0;"", ////"""),"'","""")&amp;SUBSTITUTE(TEXT(Regen!E66,""",""?00;"",""?-00;"",""?00;"", //"""),"'","""")</f>
        <v>081, 19400305, 1,    0, 00</v>
      </c>
    </row>
    <row r="67" spans="1:1" x14ac:dyDescent="0.25">
      <c r="A67" s="25" t="str">
        <f ca="1">TEXT(Regen!A67,"000\,")&amp;TEXT(Regen!B67,"?00000000")&amp;TEXT(Regen!C67,""",""?0")&amp;SUBSTITUTE(TEXT(Regen!D67,""",""????0;"",""???-0;"",""????0;"", ////"""),"'","""")&amp;SUBSTITUTE(TEXT(Regen!E67,""",""?00;"",""?-00;"",""?00;"", //"""),"'","""")</f>
        <v>081, 19400306, 1,    0, 00</v>
      </c>
    </row>
    <row r="68" spans="1:1" x14ac:dyDescent="0.25">
      <c r="A68" s="25" t="str">
        <f ca="1">TEXT(Regen!A68,"000\,")&amp;TEXT(Regen!B68,"?00000000")&amp;TEXT(Regen!C68,""",""?0")&amp;SUBSTITUTE(TEXT(Regen!D68,""",""????0;"",""???-0;"",""????0;"", ////"""),"'","""")&amp;SUBSTITUTE(TEXT(Regen!E68,""",""?00;"",""?-00;"",""?00;"", //"""),"'","""")</f>
        <v>081, 19400307, 1,    0, 00</v>
      </c>
    </row>
    <row r="69" spans="1:1" x14ac:dyDescent="0.25">
      <c r="A69" s="25" t="str">
        <f ca="1">TEXT(Regen!A69,"000\,")&amp;TEXT(Regen!B69,"?00000000")&amp;TEXT(Regen!C69,""",""?0")&amp;SUBSTITUTE(TEXT(Regen!D69,""",""????0;"",""???-0;"",""????0;"", ////"""),"'","""")&amp;SUBSTITUTE(TEXT(Regen!E69,""",""?00;"",""?-00;"",""?00;"", //"""),"'","""")</f>
        <v>081, 19400308, 1,    0, 00</v>
      </c>
    </row>
    <row r="70" spans="1:1" x14ac:dyDescent="0.25">
      <c r="A70" s="25" t="str">
        <f ca="1">TEXT(Regen!A70,"000\,")&amp;TEXT(Regen!B70,"?00000000")&amp;TEXT(Regen!C70,""",""?0")&amp;SUBSTITUTE(TEXT(Regen!D70,""",""????0;"",""???-0;"",""????0;"", ////"""),"'","""")&amp;SUBSTITUTE(TEXT(Regen!E70,""",""?00;"",""?-00;"",""?00;"", //"""),"'","""")</f>
        <v>081, 19400309, 1,    0, 00</v>
      </c>
    </row>
    <row r="71" spans="1:1" x14ac:dyDescent="0.25">
      <c r="A71" s="25" t="str">
        <f ca="1">TEXT(Regen!A71,"000\,")&amp;TEXT(Regen!B71,"?00000000")&amp;TEXT(Regen!C71,""",""?0")&amp;SUBSTITUTE(TEXT(Regen!D71,""",""????0;"",""???-0;"",""????0;"", ////"""),"'","""")&amp;SUBSTITUTE(TEXT(Regen!E71,""",""?00;"",""?-00;"",""?00;"", //"""),"'","""")</f>
        <v>081, 19400310, 1,   23, 00</v>
      </c>
    </row>
    <row r="72" spans="1:1" x14ac:dyDescent="0.25">
      <c r="A72" s="25" t="str">
        <f ca="1">TEXT(Regen!A72,"000\,")&amp;TEXT(Regen!B72,"?00000000")&amp;TEXT(Regen!C72,""",""?0")&amp;SUBSTITUTE(TEXT(Regen!D72,""",""????0;"",""???-0;"",""????0;"", ////"""),"'","""")&amp;SUBSTITUTE(TEXT(Regen!E72,""",""?00;"",""?-00;"",""?00;"", //"""),"'","""")</f>
        <v>081, 19400311, 1,  288, 00</v>
      </c>
    </row>
    <row r="73" spans="1:1" x14ac:dyDescent="0.25">
      <c r="A73" s="25" t="str">
        <f ca="1">TEXT(Regen!A73,"000\,")&amp;TEXT(Regen!B73,"?00000000")&amp;TEXT(Regen!C73,""",""?0")&amp;SUBSTITUTE(TEXT(Regen!D73,""",""????0;"",""???-0;"",""????0;"", ////"""),"'","""")&amp;SUBSTITUTE(TEXT(Regen!E73,""",""?00;"",""?-00;"",""?00;"", //"""),"'","""")</f>
        <v>081, 19400312, 1,   68, 00</v>
      </c>
    </row>
    <row r="74" spans="1:1" x14ac:dyDescent="0.25">
      <c r="A74" s="25" t="str">
        <f ca="1">TEXT(Regen!A74,"000\,")&amp;TEXT(Regen!B74,"?00000000")&amp;TEXT(Regen!C74,""",""?0")&amp;SUBSTITUTE(TEXT(Regen!D74,""",""????0;"",""???-0;"",""????0;"", ////"""),"'","""")&amp;SUBSTITUTE(TEXT(Regen!E74,""",""?00;"",""?-00;"",""?00;"", //"""),"'","""")</f>
        <v>081, 19400313, 1,    0, 00</v>
      </c>
    </row>
    <row r="75" spans="1:1" x14ac:dyDescent="0.25">
      <c r="A75" s="25" t="str">
        <f ca="1">TEXT(Regen!A75,"000\,")&amp;TEXT(Regen!B75,"?00000000")&amp;TEXT(Regen!C75,""",""?0")&amp;SUBSTITUTE(TEXT(Regen!D75,""",""????0;"",""???-0;"",""????0;"", ////"""),"'","""")&amp;SUBSTITUTE(TEXT(Regen!E75,""",""?00;"",""?-00;"",""?00;"", //"""),"'","""")</f>
        <v>081, 19400314, 1,    0, 00</v>
      </c>
    </row>
    <row r="76" spans="1:1" x14ac:dyDescent="0.25">
      <c r="A76" s="25" t="str">
        <f ca="1">TEXT(Regen!A76,"000\,")&amp;TEXT(Regen!B76,"?00000000")&amp;TEXT(Regen!C76,""",""?0")&amp;SUBSTITUTE(TEXT(Regen!D76,""",""????0;"",""???-0;"",""????0;"", ////"""),"'","""")&amp;SUBSTITUTE(TEXT(Regen!E76,""",""?00;"",""?-00;"",""?00;"", //"""),"'","""")</f>
        <v>081, 19400315, 1,    0, 00</v>
      </c>
    </row>
    <row r="77" spans="1:1" x14ac:dyDescent="0.25">
      <c r="A77" s="25" t="str">
        <f ca="1">TEXT(Regen!A77,"000\,")&amp;TEXT(Regen!B77,"?00000000")&amp;TEXT(Regen!C77,""",""?0")&amp;SUBSTITUTE(TEXT(Regen!D77,""",""????0;"",""???-0;"",""????0;"", ////"""),"'","""")&amp;SUBSTITUTE(TEXT(Regen!E77,""",""?00;"",""?-00;"",""?00;"", //"""),"'","""")</f>
        <v>081, 19400316, 1,    0, 00</v>
      </c>
    </row>
    <row r="78" spans="1:1" x14ac:dyDescent="0.25">
      <c r="A78" s="25" t="str">
        <f ca="1">TEXT(Regen!A78,"000\,")&amp;TEXT(Regen!B78,"?00000000")&amp;TEXT(Regen!C78,""",""?0")&amp;SUBSTITUTE(TEXT(Regen!D78,""",""????0;"",""???-0;"",""????0;"", ////"""),"'","""")&amp;SUBSTITUTE(TEXT(Regen!E78,""",""?00;"",""?-00;"",""?00;"", //"""),"'","""")</f>
        <v>081, 19400317, 1,    0, 00</v>
      </c>
    </row>
    <row r="79" spans="1:1" x14ac:dyDescent="0.25">
      <c r="A79" s="25" t="str">
        <f ca="1">TEXT(Regen!A79,"000\,")&amp;TEXT(Regen!B79,"?00000000")&amp;TEXT(Regen!C79,""",""?0")&amp;SUBSTITUTE(TEXT(Regen!D79,""",""????0;"",""???-0;"",""????0;"", ////"""),"'","""")&amp;SUBSTITUTE(TEXT(Regen!E79,""",""?00;"",""?-00;"",""?00;"", //"""),"'","""")</f>
        <v>081, 19400318, 1,    0, 00</v>
      </c>
    </row>
    <row r="80" spans="1:1" x14ac:dyDescent="0.25">
      <c r="A80" s="25" t="str">
        <f ca="1">TEXT(Regen!A80,"000\,")&amp;TEXT(Regen!B80,"?00000000")&amp;TEXT(Regen!C80,""",""?0")&amp;SUBSTITUTE(TEXT(Regen!D80,""",""????0;"",""???-0;"",""????0;"", ////"""),"'","""")&amp;SUBSTITUTE(TEXT(Regen!E80,""",""?00;"",""?-00;"",""?00;"", //"""),"'","""")</f>
        <v>081, 19400319, 1,    0, 00</v>
      </c>
    </row>
    <row r="81" spans="1:1" x14ac:dyDescent="0.25">
      <c r="A81" s="25" t="str">
        <f ca="1">TEXT(Regen!A81,"000\,")&amp;TEXT(Regen!B81,"?00000000")&amp;TEXT(Regen!C81,""",""?0")&amp;SUBSTITUTE(TEXT(Regen!D81,""",""????0;"",""???-0;"",""????0;"", ////"""),"'","""")&amp;SUBSTITUTE(TEXT(Regen!E81,""",""?00;"",""?-00;"",""?00;"", //"""),"'","""")</f>
        <v>081, 19400320, 1,    0, 00</v>
      </c>
    </row>
    <row r="82" spans="1:1" x14ac:dyDescent="0.25">
      <c r="A82" s="25" t="str">
        <f ca="1">TEXT(Regen!A82,"000\,")&amp;TEXT(Regen!B82,"?00000000")&amp;TEXT(Regen!C82,""",""?0")&amp;SUBSTITUTE(TEXT(Regen!D82,""",""????0;"",""???-0;"",""????0;"", ////"""),"'","""")&amp;SUBSTITUTE(TEXT(Regen!E82,""",""?00;"",""?-00;"",""?00;"", //"""),"'","""")</f>
        <v>081, 19400321, 1,    0, 00</v>
      </c>
    </row>
    <row r="83" spans="1:1" x14ac:dyDescent="0.25">
      <c r="A83" s="25" t="str">
        <f ca="1">TEXT(Regen!A83,"000\,")&amp;TEXT(Regen!B83,"?00000000")&amp;TEXT(Regen!C83,""",""?0")&amp;SUBSTITUTE(TEXT(Regen!D83,""",""????0;"",""???-0;"",""????0;"", ////"""),"'","""")&amp;SUBSTITUTE(TEXT(Regen!E83,""",""?00;"",""?-00;"",""?00;"", //"""),"'","""")</f>
        <v>081, 19400322, 1,    0, 00</v>
      </c>
    </row>
    <row r="84" spans="1:1" x14ac:dyDescent="0.25">
      <c r="A84" s="25" t="str">
        <f ca="1">TEXT(Regen!A84,"000\,")&amp;TEXT(Regen!B84,"?00000000")&amp;TEXT(Regen!C84,""",""?0")&amp;SUBSTITUTE(TEXT(Regen!D84,""",""????0;"",""???-0;"",""????0;"", ////"""),"'","""")&amp;SUBSTITUTE(TEXT(Regen!E84,""",""?00;"",""?-00;"",""?00;"", //"""),"'","""")</f>
        <v>081, 19400323, 1,    0, 00</v>
      </c>
    </row>
    <row r="85" spans="1:1" x14ac:dyDescent="0.25">
      <c r="A85" s="25" t="str">
        <f ca="1">TEXT(Regen!A85,"000\,")&amp;TEXT(Regen!B85,"?00000000")&amp;TEXT(Regen!C85,""",""?0")&amp;SUBSTITUTE(TEXT(Regen!D85,""",""????0;"",""???-0;"",""????0;"", ////"""),"'","""")&amp;SUBSTITUTE(TEXT(Regen!E85,""",""?00;"",""?-00;"",""?00;"", //"""),"'","""")</f>
        <v>081, 19400324, 1,   32, 00</v>
      </c>
    </row>
    <row r="86" spans="1:1" x14ac:dyDescent="0.25">
      <c r="A86" s="25" t="str">
        <f ca="1">TEXT(Regen!A86,"000\,")&amp;TEXT(Regen!B86,"?00000000")&amp;TEXT(Regen!C86,""",""?0")&amp;SUBSTITUTE(TEXT(Regen!D86,""",""????0;"",""???-0;"",""????0;"", ////"""),"'","""")&amp;SUBSTITUTE(TEXT(Regen!E86,""",""?00;"",""?-00;"",""?00;"", //"""),"'","""")</f>
        <v>081, 19400325, 1,    0, 00</v>
      </c>
    </row>
    <row r="87" spans="1:1" x14ac:dyDescent="0.25">
      <c r="A87" s="25" t="str">
        <f ca="1">TEXT(Regen!A87,"000\,")&amp;TEXT(Regen!B87,"?00000000")&amp;TEXT(Regen!C87,""",""?0")&amp;SUBSTITUTE(TEXT(Regen!D87,""",""????0;"",""???-0;"",""????0;"", ////"""),"'","""")&amp;SUBSTITUTE(TEXT(Regen!E87,""",""?00;"",""?-00;"",""?00;"", //"""),"'","""")</f>
        <v>081, 19400326, 1,   70, 00</v>
      </c>
    </row>
    <row r="88" spans="1:1" x14ac:dyDescent="0.25">
      <c r="A88" s="25" t="str">
        <f ca="1">TEXT(Regen!A88,"000\,")&amp;TEXT(Regen!B88,"?00000000")&amp;TEXT(Regen!C88,""",""?0")&amp;SUBSTITUTE(TEXT(Regen!D88,""",""????0;"",""???-0;"",""????0;"", ////"""),"'","""")&amp;SUBSTITUTE(TEXT(Regen!E88,""",""?00;"",""?-00;"",""?00;"", //"""),"'","""")</f>
        <v>081, 19400327, 1,    9, 00</v>
      </c>
    </row>
    <row r="89" spans="1:1" x14ac:dyDescent="0.25">
      <c r="A89" s="25" t="str">
        <f ca="1">TEXT(Regen!A89,"000\,")&amp;TEXT(Regen!B89,"?00000000")&amp;TEXT(Regen!C89,""",""?0")&amp;SUBSTITUTE(TEXT(Regen!D89,""",""????0;"",""???-0;"",""????0;"", ////"""),"'","""")&amp;SUBSTITUTE(TEXT(Regen!E89,""",""?00;"",""?-00;"",""?00;"", //"""),"'","""")</f>
        <v>081, 19400328, 1,    0, 00</v>
      </c>
    </row>
    <row r="90" spans="1:1" x14ac:dyDescent="0.25">
      <c r="A90" s="25" t="str">
        <f ca="1">TEXT(Regen!A90,"000\,")&amp;TEXT(Regen!B90,"?00000000")&amp;TEXT(Regen!C90,""",""?0")&amp;SUBSTITUTE(TEXT(Regen!D90,""",""????0;"",""???-0;"",""????0;"", ////"""),"'","""")&amp;SUBSTITUTE(TEXT(Regen!E90,""",""?00;"",""?-00;"",""?00;"", //"""),"'","""")</f>
        <v>081, 19400329, 1,    0, 00</v>
      </c>
    </row>
    <row r="91" spans="1:1" x14ac:dyDescent="0.25">
      <c r="A91" s="25" t="str">
        <f ca="1">TEXT(Regen!A91,"000\,")&amp;TEXT(Regen!B91,"?00000000")&amp;TEXT(Regen!C91,""",""?0")&amp;SUBSTITUTE(TEXT(Regen!D91,""",""????0;"",""???-0;"",""????0;"", ////"""),"'","""")&amp;SUBSTITUTE(TEXT(Regen!E91,""",""?00;"",""?-00;"",""?00;"", //"""),"'","""")</f>
        <v>081, 19400330, 1,   26, 00</v>
      </c>
    </row>
    <row r="92" spans="1:1" x14ac:dyDescent="0.25">
      <c r="A92" s="25" t="str">
        <f ca="1">TEXT(Regen!A92,"000\,")&amp;TEXT(Regen!B92,"?00000000")&amp;TEXT(Regen!C92,""",""?0")&amp;SUBSTITUTE(TEXT(Regen!D92,""",""????0;"",""???-0;"",""????0;"", ////"""),"'","""")&amp;SUBSTITUTE(TEXT(Regen!E92,""",""?00;"",""?-00;"",""?00;"", //"""),"'","""")</f>
        <v>081, 19400331, 1,    0, 00</v>
      </c>
    </row>
    <row r="93" spans="1:1" x14ac:dyDescent="0.25">
      <c r="A93" s="25" t="str">
        <f ca="1">TEXT(Regen!A93,"000\,")&amp;TEXT(Regen!B93,"?00000000")&amp;TEXT(Regen!C93,""",""?0")&amp;SUBSTITUTE(TEXT(Regen!D93,""",""????0;"",""???-0;"",""????0;"", ////"""),"'","""")&amp;SUBSTITUTE(TEXT(Regen!E93,""",""?00;"",""?-00;"",""?00;"", //"""),"'","""")</f>
        <v>081, 19400401, 1,    0, 00</v>
      </c>
    </row>
    <row r="94" spans="1:1" x14ac:dyDescent="0.25">
      <c r="A94" s="25" t="str">
        <f ca="1">TEXT(Regen!A94,"000\,")&amp;TEXT(Regen!B94,"?00000000")&amp;TEXT(Regen!C94,""",""?0")&amp;SUBSTITUTE(TEXT(Regen!D94,""",""????0;"",""???-0;"",""????0;"", ////"""),"'","""")&amp;SUBSTITUTE(TEXT(Regen!E94,""",""?00;"",""?-00;"",""?00;"", //"""),"'","""")</f>
        <v>081, 19400402, 1,    0, 00</v>
      </c>
    </row>
    <row r="95" spans="1:1" x14ac:dyDescent="0.25">
      <c r="A95" s="25" t="str">
        <f ca="1">TEXT(Regen!A95,"000\,")&amp;TEXT(Regen!B95,"?00000000")&amp;TEXT(Regen!C95,""",""?0")&amp;SUBSTITUTE(TEXT(Regen!D95,""",""????0;"",""???-0;"",""????0;"", ////"""),"'","""")&amp;SUBSTITUTE(TEXT(Regen!E95,""",""?00;"",""?-00;"",""?00;"", //"""),"'","""")</f>
        <v>081, 19400403, 1,    0, 00</v>
      </c>
    </row>
    <row r="96" spans="1:1" x14ac:dyDescent="0.25">
      <c r="A96" s="25" t="str">
        <f ca="1">TEXT(Regen!A96,"000\,")&amp;TEXT(Regen!B96,"?00000000")&amp;TEXT(Regen!C96,""",""?0")&amp;SUBSTITUTE(TEXT(Regen!D96,""",""????0;"",""???-0;"",""????0;"", ////"""),"'","""")&amp;SUBSTITUTE(TEXT(Regen!E96,""",""?00;"",""?-00;"",""?00;"", //"""),"'","""")</f>
        <v>081, 19400404, 1,    0, 00</v>
      </c>
    </row>
    <row r="97" spans="1:1" x14ac:dyDescent="0.25">
      <c r="A97" s="25" t="str">
        <f ca="1">TEXT(Regen!A97,"000\,")&amp;TEXT(Regen!B97,"?00000000")&amp;TEXT(Regen!C97,""",""?0")&amp;SUBSTITUTE(TEXT(Regen!D97,""",""????0;"",""???-0;"",""????0;"", ////"""),"'","""")&amp;SUBSTITUTE(TEXT(Regen!E97,""",""?00;"",""?-00;"",""?00;"", //"""),"'","""")</f>
        <v>081, 19400405, 1,    0, 00</v>
      </c>
    </row>
    <row r="98" spans="1:1" x14ac:dyDescent="0.25">
      <c r="A98" s="25" t="str">
        <f ca="1">TEXT(Regen!A98,"000\,")&amp;TEXT(Regen!B98,"?00000000")&amp;TEXT(Regen!C98,""",""?0")&amp;SUBSTITUTE(TEXT(Regen!D98,""",""????0;"",""???-0;"",""????0;"", ////"""),"'","""")&amp;SUBSTITUTE(TEXT(Regen!E98,""",""?00;"",""?-00;"",""?00;"", //"""),"'","""")</f>
        <v>081, 19400406, 1,    0, 00</v>
      </c>
    </row>
    <row r="99" spans="1:1" x14ac:dyDescent="0.25">
      <c r="A99" s="25" t="str">
        <f ca="1">TEXT(Regen!A99,"000\,")&amp;TEXT(Regen!B99,"?00000000")&amp;TEXT(Regen!C99,""",""?0")&amp;SUBSTITUTE(TEXT(Regen!D99,""",""????0;"",""???-0;"",""????0;"", ////"""),"'","""")&amp;SUBSTITUTE(TEXT(Regen!E99,""",""?00;"",""?-00;"",""?00;"", //"""),"'","""")</f>
        <v>081, 19400407, 1,   15, 00</v>
      </c>
    </row>
    <row r="100" spans="1:1" x14ac:dyDescent="0.25">
      <c r="A100" s="25" t="str">
        <f ca="1">TEXT(Regen!A100,"000\,")&amp;TEXT(Regen!B100,"?00000000")&amp;TEXT(Regen!C100,""",""?0")&amp;SUBSTITUTE(TEXT(Regen!D100,""",""????0;"",""???-0;"",""????0;"", ////"""),"'","""")&amp;SUBSTITUTE(TEXT(Regen!E100,""",""?00;"",""?-00;"",""?00;"", //"""),"'","""")</f>
        <v>081, 19400408, 1,   14, 00</v>
      </c>
    </row>
    <row r="101" spans="1:1" x14ac:dyDescent="0.25">
      <c r="A101" s="25" t="str">
        <f ca="1">TEXT(Regen!A101,"000\,")&amp;TEXT(Regen!B101,"?00000000")&amp;TEXT(Regen!C101,""",""?0")&amp;SUBSTITUTE(TEXT(Regen!D101,""",""????0;"",""???-0;"",""????0;"", ////"""),"'","""")&amp;SUBSTITUTE(TEXT(Regen!E101,""",""?00;"",""?-00;"",""?00;"", //"""),"'","""")</f>
        <v>081, 19400409, 1,    0, 00</v>
      </c>
    </row>
    <row r="102" spans="1:1" x14ac:dyDescent="0.25">
      <c r="A102" s="25" t="str">
        <f ca="1">TEXT(Regen!A102,"000\,")&amp;TEXT(Regen!B102,"?00000000")&amp;TEXT(Regen!C102,""",""?0")&amp;SUBSTITUTE(TEXT(Regen!D102,""",""????0;"",""???-0;"",""????0;"", ////"""),"'","""")&amp;SUBSTITUTE(TEXT(Regen!E102,""",""?00;"",""?-00;"",""?00;"", //"""),"'","""")</f>
        <v>081, 19400410, 1,   20, 00</v>
      </c>
    </row>
    <row r="103" spans="1:1" x14ac:dyDescent="0.25">
      <c r="A103" s="25" t="str">
        <f ca="1">TEXT(Regen!A103,"000\,")&amp;TEXT(Regen!B103,"?00000000")&amp;TEXT(Regen!C103,""",""?0")&amp;SUBSTITUTE(TEXT(Regen!D103,""",""????0;"",""???-0;"",""????0;"", ////"""),"'","""")&amp;SUBSTITUTE(TEXT(Regen!E103,""",""?00;"",""?-00;"",""?00;"", //"""),"'","""")</f>
        <v>081, 19400411, 1,    8, 00</v>
      </c>
    </row>
    <row r="104" spans="1:1" x14ac:dyDescent="0.25">
      <c r="A104" s="25" t="str">
        <f ca="1">TEXT(Regen!A104,"000\,")&amp;TEXT(Regen!B104,"?00000000")&amp;TEXT(Regen!C104,""",""?0")&amp;SUBSTITUTE(TEXT(Regen!D104,""",""????0;"",""???-0;"",""????0;"", ////"""),"'","""")&amp;SUBSTITUTE(TEXT(Regen!E104,""",""?00;"",""?-00;"",""?00;"", //"""),"'","""")</f>
        <v>081, 19400412, 1,    0, 00</v>
      </c>
    </row>
    <row r="105" spans="1:1" x14ac:dyDescent="0.25">
      <c r="A105" s="25" t="str">
        <f ca="1">TEXT(Regen!A105,"000\,")&amp;TEXT(Regen!B105,"?00000000")&amp;TEXT(Regen!C105,""",""?0")&amp;SUBSTITUTE(TEXT(Regen!D105,""",""????0;"",""???-0;"",""????0;"", ////"""),"'","""")&amp;SUBSTITUTE(TEXT(Regen!E105,""",""?00;"",""?-00;"",""?00;"", //"""),"'","""")</f>
        <v>081, 19400413, 1,    0, 00</v>
      </c>
    </row>
    <row r="106" spans="1:1" x14ac:dyDescent="0.25">
      <c r="A106" s="25" t="str">
        <f ca="1">TEXT(Regen!A106,"000\,")&amp;TEXT(Regen!B106,"?00000000")&amp;TEXT(Regen!C106,""",""?0")&amp;SUBSTITUTE(TEXT(Regen!D106,""",""????0;"",""???-0;"",""????0;"", ////"""),"'","""")&amp;SUBSTITUTE(TEXT(Regen!E106,""",""?00;"",""?-00;"",""?00;"", //"""),"'","""")</f>
        <v>081, 19400414, 1,    0, 00</v>
      </c>
    </row>
    <row r="107" spans="1:1" x14ac:dyDescent="0.25">
      <c r="A107" s="25" t="str">
        <f ca="1">TEXT(Regen!A107,"000\,")&amp;TEXT(Regen!B107,"?00000000")&amp;TEXT(Regen!C107,""",""?0")&amp;SUBSTITUTE(TEXT(Regen!D107,""",""????0;"",""???-0;"",""????0;"", ////"""),"'","""")&amp;SUBSTITUTE(TEXT(Regen!E107,""",""?00;"",""?-00;"",""?00;"", //"""),"'","""")</f>
        <v>081, 19400415, 1,    0, 00</v>
      </c>
    </row>
    <row r="108" spans="1:1" x14ac:dyDescent="0.25">
      <c r="A108" s="25" t="str">
        <f ca="1">TEXT(Regen!A108,"000\,")&amp;TEXT(Regen!B108,"?00000000")&amp;TEXT(Regen!C108,""",""?0")&amp;SUBSTITUTE(TEXT(Regen!D108,""",""????0;"",""???-0;"",""????0;"", ////"""),"'","""")&amp;SUBSTITUTE(TEXT(Regen!E108,""",""?00;"",""?-00;"",""?00;"", //"""),"'","""")</f>
        <v>081, 19400416, 1,   88, 00</v>
      </c>
    </row>
    <row r="109" spans="1:1" x14ac:dyDescent="0.25">
      <c r="A109" s="25" t="str">
        <f ca="1">TEXT(Regen!A109,"000\,")&amp;TEXT(Regen!B109,"?00000000")&amp;TEXT(Regen!C109,""",""?0")&amp;SUBSTITUTE(TEXT(Regen!D109,""",""????0;"",""???-0;"",""????0;"", ////"""),"'","""")&amp;SUBSTITUTE(TEXT(Regen!E109,""",""?00;"",""?-00;"",""?00;"", //"""),"'","""")</f>
        <v>081, 19400417, 1,    3, 00</v>
      </c>
    </row>
    <row r="110" spans="1:1" x14ac:dyDescent="0.25">
      <c r="A110" s="25" t="str">
        <f ca="1">TEXT(Regen!A110,"000\,")&amp;TEXT(Regen!B110,"?00000000")&amp;TEXT(Regen!C110,""",""?0")&amp;SUBSTITUTE(TEXT(Regen!D110,""",""????0;"",""???-0;"",""????0;"", ////"""),"'","""")&amp;SUBSTITUTE(TEXT(Regen!E110,""",""?00;"",""?-00;"",""?00;"", //"""),"'","""")</f>
        <v>081, 19400418, 1,   71, 00</v>
      </c>
    </row>
    <row r="111" spans="1:1" x14ac:dyDescent="0.25">
      <c r="A111" s="25" t="str">
        <f ca="1">TEXT(Regen!A111,"000\,")&amp;TEXT(Regen!B111,"?00000000")&amp;TEXT(Regen!C111,""",""?0")&amp;SUBSTITUTE(TEXT(Regen!D111,""",""????0;"",""???-0;"",""????0;"", ////"""),"'","""")&amp;SUBSTITUTE(TEXT(Regen!E111,""",""?00;"",""?-00;"",""?00;"", //"""),"'","""")</f>
        <v>081, 19400419, 1,    0, 00</v>
      </c>
    </row>
    <row r="112" spans="1:1" x14ac:dyDescent="0.25">
      <c r="A112" s="25" t="str">
        <f ca="1">TEXT(Regen!A112,"000\,")&amp;TEXT(Regen!B112,"?00000000")&amp;TEXT(Regen!C112,""",""?0")&amp;SUBSTITUTE(TEXT(Regen!D112,""",""????0;"",""???-0;"",""????0;"", ////"""),"'","""")&amp;SUBSTITUTE(TEXT(Regen!E112,""",""?00;"",""?-00;"",""?00;"", //"""),"'","""")</f>
        <v>081, 19400420, 1,    0, 00</v>
      </c>
    </row>
    <row r="113" spans="1:1" x14ac:dyDescent="0.25">
      <c r="A113" s="25" t="str">
        <f ca="1">TEXT(Regen!A113,"000\,")&amp;TEXT(Regen!B113,"?00000000")&amp;TEXT(Regen!C113,""",""?0")&amp;SUBSTITUTE(TEXT(Regen!D113,""",""????0;"",""???-0;"",""????0;"", ////"""),"'","""")&amp;SUBSTITUTE(TEXT(Regen!E113,""",""?00;"",""?-00;"",""?00;"", //"""),"'","""")</f>
        <v>081, 19400421, 1,    0, 00</v>
      </c>
    </row>
    <row r="114" spans="1:1" x14ac:dyDescent="0.25">
      <c r="A114" s="25" t="str">
        <f ca="1">TEXT(Regen!A114,"000\,")&amp;TEXT(Regen!B114,"?00000000")&amp;TEXT(Regen!C114,""",""?0")&amp;SUBSTITUTE(TEXT(Regen!D114,""",""????0;"",""???-0;"",""????0;"", ////"""),"'","""")&amp;SUBSTITUTE(TEXT(Regen!E114,""",""?00;"",""?-00;"",""?00;"", //"""),"'","""")</f>
        <v>081, 19400422, 1,   55, 00</v>
      </c>
    </row>
    <row r="115" spans="1:1" x14ac:dyDescent="0.25">
      <c r="A115" s="25" t="str">
        <f ca="1">TEXT(Regen!A115,"000\,")&amp;TEXT(Regen!B115,"?00000000")&amp;TEXT(Regen!C115,""",""?0")&amp;SUBSTITUTE(TEXT(Regen!D115,""",""????0;"",""???-0;"",""????0;"", ////"""),"'","""")&amp;SUBSTITUTE(TEXT(Regen!E115,""",""?00;"",""?-00;"",""?00;"", //"""),"'","""")</f>
        <v>081, 19400423, 1,    0, 00</v>
      </c>
    </row>
    <row r="116" spans="1:1" x14ac:dyDescent="0.25">
      <c r="A116" s="25" t="str">
        <f ca="1">TEXT(Regen!A116,"000\,")&amp;TEXT(Regen!B116,"?00000000")&amp;TEXT(Regen!C116,""",""?0")&amp;SUBSTITUTE(TEXT(Regen!D116,""",""????0;"",""???-0;"",""????0;"", ////"""),"'","""")&amp;SUBSTITUTE(TEXT(Regen!E116,""",""?00;"",""?-00;"",""?00;"", //"""),"'","""")</f>
        <v>081, 19400424, 1,    0, 00</v>
      </c>
    </row>
    <row r="117" spans="1:1" x14ac:dyDescent="0.25">
      <c r="A117" s="25" t="str">
        <f ca="1">TEXT(Regen!A117,"000\,")&amp;TEXT(Regen!B117,"?00000000")&amp;TEXT(Regen!C117,""",""?0")&amp;SUBSTITUTE(TEXT(Regen!D117,""",""????0;"",""???-0;"",""????0;"", ////"""),"'","""")&amp;SUBSTITUTE(TEXT(Regen!E117,""",""?00;"",""?-00;"",""?00;"", //"""),"'","""")</f>
        <v>081, 19400425, 1,    0, 00</v>
      </c>
    </row>
    <row r="118" spans="1:1" x14ac:dyDescent="0.25">
      <c r="A118" s="25" t="str">
        <f ca="1">TEXT(Regen!A118,"000\,")&amp;TEXT(Regen!B118,"?00000000")&amp;TEXT(Regen!C118,""",""?0")&amp;SUBSTITUTE(TEXT(Regen!D118,""",""????0;"",""???-0;"",""????0;"", ////"""),"'","""")&amp;SUBSTITUTE(TEXT(Regen!E118,""",""?00;"",""?-00;"",""?00;"", //"""),"'","""")</f>
        <v>081, 19400426, 1,    0, 00</v>
      </c>
    </row>
    <row r="119" spans="1:1" x14ac:dyDescent="0.25">
      <c r="A119" s="25" t="str">
        <f ca="1">TEXT(Regen!A119,"000\,")&amp;TEXT(Regen!B119,"?00000000")&amp;TEXT(Regen!C119,""",""?0")&amp;SUBSTITUTE(TEXT(Regen!D119,""",""????0;"",""???-0;"",""????0;"", ////"""),"'","""")&amp;SUBSTITUTE(TEXT(Regen!E119,""",""?00;"",""?-00;"",""?00;"", //"""),"'","""")</f>
        <v>081, 19400427, 1,    0, 00</v>
      </c>
    </row>
    <row r="120" spans="1:1" x14ac:dyDescent="0.25">
      <c r="A120" s="25" t="str">
        <f ca="1">TEXT(Regen!A120,"000\,")&amp;TEXT(Regen!B120,"?00000000")&amp;TEXT(Regen!C120,""",""?0")&amp;SUBSTITUTE(TEXT(Regen!D120,""",""????0;"",""???-0;"",""????0;"", ////"""),"'","""")&amp;SUBSTITUTE(TEXT(Regen!E120,""",""?00;"",""?-00;"",""?00;"", //"""),"'","""")</f>
        <v>081, 19400428, 1,    0, 00</v>
      </c>
    </row>
    <row r="121" spans="1:1" x14ac:dyDescent="0.25">
      <c r="A121" s="25" t="str">
        <f ca="1">TEXT(Regen!A121,"000\,")&amp;TEXT(Regen!B121,"?00000000")&amp;TEXT(Regen!C121,""",""?0")&amp;SUBSTITUTE(TEXT(Regen!D121,""",""????0;"",""???-0;"",""????0;"", ////"""),"'","""")&amp;SUBSTITUTE(TEXT(Regen!E121,""",""?00;"",""?-00;"",""?00;"", //"""),"'","""")</f>
        <v>081, 19400429, 1,    0, 00</v>
      </c>
    </row>
    <row r="122" spans="1:1" x14ac:dyDescent="0.25">
      <c r="A122" s="25" t="str">
        <f ca="1">TEXT(Regen!A122,"000\,")&amp;TEXT(Regen!B122,"?00000000")&amp;TEXT(Regen!C122,""",""?0")&amp;SUBSTITUTE(TEXT(Regen!D122,""",""????0;"",""???-0;"",""????0;"", ////"""),"'","""")&amp;SUBSTITUTE(TEXT(Regen!E122,""",""?00;"",""?-00;"",""?00;"", //"""),"'","""")</f>
        <v>081, 19400430, 1,    0, 00</v>
      </c>
    </row>
    <row r="123" spans="1:1" x14ac:dyDescent="0.25">
      <c r="A123" s="25" t="str">
        <f ca="1">TEXT(Regen!A123,"000\,")&amp;TEXT(Regen!B123,"?00000000")&amp;TEXT(Regen!C123,""",""?0")&amp;SUBSTITUTE(TEXT(Regen!D123,""",""????0;"",""???-0;"",""????0;"", ////"""),"'","""")&amp;SUBSTITUTE(TEXT(Regen!E123,""",""?00;"",""?-00;"",""?00;"", //"""),"'","""")</f>
        <v>081, 19400501, 1,   45, 00</v>
      </c>
    </row>
    <row r="124" spans="1:1" x14ac:dyDescent="0.25">
      <c r="A124" s="25" t="str">
        <f ca="1">TEXT(Regen!A124,"000\,")&amp;TEXT(Regen!B124,"?00000000")&amp;TEXT(Regen!C124,""",""?0")&amp;SUBSTITUTE(TEXT(Regen!D124,""",""????0;"",""???-0;"",""????0;"", ////"""),"'","""")&amp;SUBSTITUTE(TEXT(Regen!E124,""",""?00;"",""?-00;"",""?00;"", //"""),"'","""")</f>
        <v>081, 19400502, 1,   23, 00</v>
      </c>
    </row>
    <row r="125" spans="1:1" x14ac:dyDescent="0.25">
      <c r="A125" s="25" t="str">
        <f ca="1">TEXT(Regen!A125,"000\,")&amp;TEXT(Regen!B125,"?00000000")&amp;TEXT(Regen!C125,""",""?0")&amp;SUBSTITUTE(TEXT(Regen!D125,""",""????0;"",""???-0;"",""????0;"", ////"""),"'","""")&amp;SUBSTITUTE(TEXT(Regen!E125,""",""?00;"",""?-00;"",""?00;"", //"""),"'","""")</f>
        <v>081, 19400503, 1,   80, 00</v>
      </c>
    </row>
    <row r="126" spans="1:1" x14ac:dyDescent="0.25">
      <c r="A126" s="25" t="str">
        <f ca="1">TEXT(Regen!A126,"000\,")&amp;TEXT(Regen!B126,"?00000000")&amp;TEXT(Regen!C126,""",""?0")&amp;SUBSTITUTE(TEXT(Regen!D126,""",""????0;"",""???-0;"",""????0;"", ////"""),"'","""")&amp;SUBSTITUTE(TEXT(Regen!E126,""",""?00;"",""?-00;"",""?00;"", //"""),"'","""")</f>
        <v>081, 19400504, 1,    0, 00</v>
      </c>
    </row>
    <row r="127" spans="1:1" x14ac:dyDescent="0.25">
      <c r="A127" s="25" t="str">
        <f ca="1">TEXT(Regen!A127,"000\,")&amp;TEXT(Regen!B127,"?00000000")&amp;TEXT(Regen!C127,""",""?0")&amp;SUBSTITUTE(TEXT(Regen!D127,""",""????0;"",""???-0;"",""????0;"", ////"""),"'","""")&amp;SUBSTITUTE(TEXT(Regen!E127,""",""?00;"",""?-00;"",""?00;"", //"""),"'","""")</f>
        <v>081, 19400505, 1,    0, 00</v>
      </c>
    </row>
    <row r="128" spans="1:1" x14ac:dyDescent="0.25">
      <c r="A128" s="25" t="str">
        <f ca="1">TEXT(Regen!A128,"000\,")&amp;TEXT(Regen!B128,"?00000000")&amp;TEXT(Regen!C128,""",""?0")&amp;SUBSTITUTE(TEXT(Regen!D128,""",""????0;"",""???-0;"",""????0;"", ////"""),"'","""")&amp;SUBSTITUTE(TEXT(Regen!E128,""",""?00;"",""?-00;"",""?00;"", //"""),"'","""")</f>
        <v>081, 19400506, 1,    0, 00</v>
      </c>
    </row>
    <row r="129" spans="1:1" x14ac:dyDescent="0.25">
      <c r="A129" s="25" t="str">
        <f ca="1">TEXT(Regen!A129,"000\,")&amp;TEXT(Regen!B129,"?00000000")&amp;TEXT(Regen!C129,""",""?0")&amp;SUBSTITUTE(TEXT(Regen!D129,""",""????0;"",""???-0;"",""????0;"", ////"""),"'","""")&amp;SUBSTITUTE(TEXT(Regen!E129,""",""?00;"",""?-00;"",""?00;"", //"""),"'","""")</f>
        <v>081, 19400507, 1,   33, 00</v>
      </c>
    </row>
    <row r="130" spans="1:1" x14ac:dyDescent="0.25">
      <c r="A130" s="25" t="str">
        <f ca="1">TEXT(Regen!A130,"000\,")&amp;TEXT(Regen!B130,"?00000000")&amp;TEXT(Regen!C130,""",""?0")&amp;SUBSTITUTE(TEXT(Regen!D130,""",""????0;"",""???-0;"",""????0;"", ////"""),"'","""")&amp;SUBSTITUTE(TEXT(Regen!E130,""",""?00;"",""?-00;"",""?00;"", //"""),"'","""")</f>
        <v>081, 19400508, 1,  113, 00</v>
      </c>
    </row>
    <row r="131" spans="1:1" x14ac:dyDescent="0.25">
      <c r="A131" s="25" t="str">
        <f ca="1">TEXT(Regen!A131,"000\,")&amp;TEXT(Regen!B131,"?00000000")&amp;TEXT(Regen!C131,""",""?0")&amp;SUBSTITUTE(TEXT(Regen!D131,""",""????0;"",""???-0;"",""????0;"", ////"""),"'","""")&amp;SUBSTITUTE(TEXT(Regen!E131,""",""?00;"",""?-00;"",""?00;"", //"""),"'","""")</f>
        <v>081, 19400509, 1,  226, 00</v>
      </c>
    </row>
    <row r="132" spans="1:1" x14ac:dyDescent="0.25">
      <c r="A132" s="25" t="str">
        <f ca="1">TEXT(Regen!A132,"000\,")&amp;TEXT(Regen!B132,"?00000000")&amp;TEXT(Regen!C132,""",""?0")&amp;SUBSTITUTE(TEXT(Regen!D132,""",""????0;"",""???-0;"",""????0;"", ////"""),"'","""")&amp;SUBSTITUTE(TEXT(Regen!E132,""",""?00;"",""?-00;"",""?00;"", //"""),"'","""")</f>
        <v>081, 19400510, 1,   40, 00</v>
      </c>
    </row>
    <row r="133" spans="1:1" x14ac:dyDescent="0.25">
      <c r="A133" s="25" t="str">
        <f ca="1">TEXT(Regen!A133,"000\,")&amp;TEXT(Regen!B133,"?00000000")&amp;TEXT(Regen!C133,""",""?0")&amp;SUBSTITUTE(TEXT(Regen!D133,""",""????0;"",""???-0;"",""????0;"", ////"""),"'","""")&amp;SUBSTITUTE(TEXT(Regen!E133,""",""?00;"",""?-00;"",""?00;"", //"""),"'","""")</f>
        <v>081, 19400511, 1,    0, 00</v>
      </c>
    </row>
    <row r="134" spans="1:1" x14ac:dyDescent="0.25">
      <c r="A134" s="25" t="str">
        <f ca="1">TEXT(Regen!A134,"000\,")&amp;TEXT(Regen!B134,"?00000000")&amp;TEXT(Regen!C134,""",""?0")&amp;SUBSTITUTE(TEXT(Regen!D134,""",""????0;"",""???-0;"",""????0;"", ////"""),"'","""")&amp;SUBSTITUTE(TEXT(Regen!E134,""",""?00;"",""?-00;"",""?00;"", //"""),"'","""")</f>
        <v>081, 19400512, 1,    0, 00</v>
      </c>
    </row>
    <row r="135" spans="1:1" x14ac:dyDescent="0.25">
      <c r="A135" s="25" t="str">
        <f ca="1">TEXT(Regen!A135,"000\,")&amp;TEXT(Regen!B135,"?00000000")&amp;TEXT(Regen!C135,""",""?0")&amp;SUBSTITUTE(TEXT(Regen!D135,""",""????0;"",""???-0;"",""????0;"", ////"""),"'","""")&amp;SUBSTITUTE(TEXT(Regen!E135,""",""?00;"",""?-00;"",""?00;"", //"""),"'","""")</f>
        <v>081, 19400513, 1,    0, 00</v>
      </c>
    </row>
    <row r="136" spans="1:1" x14ac:dyDescent="0.25">
      <c r="A136" s="25" t="str">
        <f ca="1">TEXT(Regen!A136,"000\,")&amp;TEXT(Regen!B136,"?00000000")&amp;TEXT(Regen!C136,""",""?0")&amp;SUBSTITUTE(TEXT(Regen!D136,""",""????0;"",""???-0;"",""????0;"", ////"""),"'","""")&amp;SUBSTITUTE(TEXT(Regen!E136,""",""?00;"",""?-00;"",""?00;"", //"""),"'","""")</f>
        <v>081, 19400514, 1,    0, 00</v>
      </c>
    </row>
    <row r="137" spans="1:1" x14ac:dyDescent="0.25">
      <c r="A137" s="25" t="str">
        <f ca="1">TEXT(Regen!A137,"000\,")&amp;TEXT(Regen!B137,"?00000000")&amp;TEXT(Regen!C137,""",""?0")&amp;SUBSTITUTE(TEXT(Regen!D137,""",""????0;"",""???-0;"",""????0;"", ////"""),"'","""")&amp;SUBSTITUTE(TEXT(Regen!E137,""",""?00;"",""?-00;"",""?00;"", //"""),"'","""")</f>
        <v>081, 19400515, 1,    0, 00</v>
      </c>
    </row>
    <row r="138" spans="1:1" x14ac:dyDescent="0.25">
      <c r="A138" s="25" t="str">
        <f ca="1">TEXT(Regen!A138,"000\,")&amp;TEXT(Regen!B138,"?00000000")&amp;TEXT(Regen!C138,""",""?0")&amp;SUBSTITUTE(TEXT(Regen!D138,""",""????0;"",""???-0;"",""????0;"", ////"""),"'","""")&amp;SUBSTITUTE(TEXT(Regen!E138,""",""?00;"",""?-00;"",""?00;"", //"""),"'","""")</f>
        <v>081, 19400516, 1,  210, 00</v>
      </c>
    </row>
    <row r="139" spans="1:1" x14ac:dyDescent="0.25">
      <c r="A139" s="25" t="str">
        <f ca="1">TEXT(Regen!A139,"000\,")&amp;TEXT(Regen!B139,"?00000000")&amp;TEXT(Regen!C139,""",""?0")&amp;SUBSTITUTE(TEXT(Regen!D139,""",""????0;"",""???-0;"",""????0;"", ////"""),"'","""")&amp;SUBSTITUTE(TEXT(Regen!E139,""",""?00;"",""?-00;"",""?00;"", //"""),"'","""")</f>
        <v>081, 19400517, 1,   23, 00</v>
      </c>
    </row>
    <row r="140" spans="1:1" x14ac:dyDescent="0.25">
      <c r="A140" s="25" t="str">
        <f ca="1">TEXT(Regen!A140,"000\,")&amp;TEXT(Regen!B140,"?00000000")&amp;TEXT(Regen!C140,""",""?0")&amp;SUBSTITUTE(TEXT(Regen!D140,""",""????0;"",""???-0;"",""????0;"", ////"""),"'","""")&amp;SUBSTITUTE(TEXT(Regen!E140,""",""?00;"",""?-00;"",""?00;"", //"""),"'","""")</f>
        <v>081, 19400518, 1,   15, 00</v>
      </c>
    </row>
    <row r="141" spans="1:1" x14ac:dyDescent="0.25">
      <c r="A141" s="25" t="str">
        <f ca="1">TEXT(Regen!A141,"000\,")&amp;TEXT(Regen!B141,"?00000000")&amp;TEXT(Regen!C141,""",""?0")&amp;SUBSTITUTE(TEXT(Regen!D141,""",""????0;"",""???-0;"",""????0;"", ////"""),"'","""")&amp;SUBSTITUTE(TEXT(Regen!E141,""",""?00;"",""?-00;"",""?00;"", //"""),"'","""")</f>
        <v>081, 19400519, 1,    5, 00</v>
      </c>
    </row>
    <row r="142" spans="1:1" x14ac:dyDescent="0.25">
      <c r="A142" s="25" t="str">
        <f ca="1">TEXT(Regen!A142,"000\,")&amp;TEXT(Regen!B142,"?00000000")&amp;TEXT(Regen!C142,""",""?0")&amp;SUBSTITUTE(TEXT(Regen!D142,""",""????0;"",""???-0;"",""????0;"", ////"""),"'","""")&amp;SUBSTITUTE(TEXT(Regen!E142,""",""?00;"",""?-00;"",""?00;"", //"""),"'","""")</f>
        <v>081, 19400520, 1,   13, 00</v>
      </c>
    </row>
    <row r="143" spans="1:1" x14ac:dyDescent="0.25">
      <c r="A143" s="25" t="str">
        <f ca="1">TEXT(Regen!A143,"000\,")&amp;TEXT(Regen!B143,"?00000000")&amp;TEXT(Regen!C143,""",""?0")&amp;SUBSTITUTE(TEXT(Regen!D143,""",""????0;"",""???-0;"",""????0;"", ////"""),"'","""")&amp;SUBSTITUTE(TEXT(Regen!E143,""",""?00;"",""?-00;"",""?00;"", //"""),"'","""")</f>
        <v>081, 19400521, 1,    5, 00</v>
      </c>
    </row>
    <row r="144" spans="1:1" x14ac:dyDescent="0.25">
      <c r="A144" s="25" t="str">
        <f ca="1">TEXT(Regen!A144,"000\,")&amp;TEXT(Regen!B144,"?00000000")&amp;TEXT(Regen!C144,""",""?0")&amp;SUBSTITUTE(TEXT(Regen!D144,""",""????0;"",""???-0;"",""????0;"", ////"""),"'","""")&amp;SUBSTITUTE(TEXT(Regen!E144,""",""?00;"",""?-00;"",""?00;"", //"""),"'","""")</f>
        <v>081, 19400522, 1,  110, 00</v>
      </c>
    </row>
    <row r="145" spans="1:1" x14ac:dyDescent="0.25">
      <c r="A145" s="25" t="str">
        <f ca="1">TEXT(Regen!A145,"000\,")&amp;TEXT(Regen!B145,"?00000000")&amp;TEXT(Regen!C145,""",""?0")&amp;SUBSTITUTE(TEXT(Regen!D145,""",""????0;"",""???-0;"",""????0;"", ////"""),"'","""")&amp;SUBSTITUTE(TEXT(Regen!E145,""",""?00;"",""?-00;"",""?00;"", //"""),"'","""")</f>
        <v>081, 19400523, 1,   12, 00</v>
      </c>
    </row>
    <row r="146" spans="1:1" x14ac:dyDescent="0.25">
      <c r="A146" s="25" t="str">
        <f ca="1">TEXT(Regen!A146,"000\,")&amp;TEXT(Regen!B146,"?00000000")&amp;TEXT(Regen!C146,""",""?0")&amp;SUBSTITUTE(TEXT(Regen!D146,""",""????0;"",""???-0;"",""????0;"", ////"""),"'","""")&amp;SUBSTITUTE(TEXT(Regen!E146,""",""?00;"",""?-00;"",""?00;"", //"""),"'","""")</f>
        <v>081, 19400524, 1,    0, 00</v>
      </c>
    </row>
    <row r="147" spans="1:1" x14ac:dyDescent="0.25">
      <c r="A147" s="25" t="str">
        <f ca="1">TEXT(Regen!A147,"000\,")&amp;TEXT(Regen!B147,"?00000000")&amp;TEXT(Regen!C147,""",""?0")&amp;SUBSTITUTE(TEXT(Regen!D147,""",""????0;"",""???-0;"",""????0;"", ////"""),"'","""")&amp;SUBSTITUTE(TEXT(Regen!E147,""",""?00;"",""?-00;"",""?00;"", //"""),"'","""")</f>
        <v>081, 19400525, 1,    0, 00</v>
      </c>
    </row>
    <row r="148" spans="1:1" x14ac:dyDescent="0.25">
      <c r="A148" s="25" t="str">
        <f ca="1">TEXT(Regen!A148,"000\,")&amp;TEXT(Regen!B148,"?00000000")&amp;TEXT(Regen!C148,""",""?0")&amp;SUBSTITUTE(TEXT(Regen!D148,""",""????0;"",""???-0;"",""????0;"", ////"""),"'","""")&amp;SUBSTITUTE(TEXT(Regen!E148,""",""?00;"",""?-00;"",""?00;"", //"""),"'","""")</f>
        <v>081, 19400526, 1,   25, 00</v>
      </c>
    </row>
    <row r="149" spans="1:1" x14ac:dyDescent="0.25">
      <c r="A149" s="25" t="str">
        <f ca="1">TEXT(Regen!A149,"000\,")&amp;TEXT(Regen!B149,"?00000000")&amp;TEXT(Regen!C149,""",""?0")&amp;SUBSTITUTE(TEXT(Regen!D149,""",""????0;"",""???-0;"",""????0;"", ////"""),"'","""")&amp;SUBSTITUTE(TEXT(Regen!E149,""",""?00;"",""?-00;"",""?00;"", //"""),"'","""")</f>
        <v>081, 19400527, 1,    5, 00</v>
      </c>
    </row>
    <row r="150" spans="1:1" x14ac:dyDescent="0.25">
      <c r="A150" s="25" t="str">
        <f ca="1">TEXT(Regen!A150,"000\,")&amp;TEXT(Regen!B150,"?00000000")&amp;TEXT(Regen!C150,""",""?0")&amp;SUBSTITUTE(TEXT(Regen!D150,""",""????0;"",""???-0;"",""????0;"", ////"""),"'","""")&amp;SUBSTITUTE(TEXT(Regen!E150,""",""?00;"",""?-00;"",""?00;"", //"""),"'","""")</f>
        <v>081, 19400528, 1,    0, 00</v>
      </c>
    </row>
    <row r="151" spans="1:1" x14ac:dyDescent="0.25">
      <c r="A151" s="25" t="str">
        <f ca="1">TEXT(Regen!A151,"000\,")&amp;TEXT(Regen!B151,"?00000000")&amp;TEXT(Regen!C151,""",""?0")&amp;SUBSTITUTE(TEXT(Regen!D151,""",""????0;"",""???-0;"",""????0;"", ////"""),"'","""")&amp;SUBSTITUTE(TEXT(Regen!E151,""",""?00;"",""?-00;"",""?00;"", //"""),"'","""")</f>
        <v>081, 19400529, 1,    0, 00</v>
      </c>
    </row>
    <row r="152" spans="1:1" x14ac:dyDescent="0.25">
      <c r="A152" s="25" t="str">
        <f ca="1">TEXT(Regen!A152,"000\,")&amp;TEXT(Regen!B152,"?00000000")&amp;TEXT(Regen!C152,""",""?0")&amp;SUBSTITUTE(TEXT(Regen!D152,""",""????0;"",""???-0;"",""????0;"", ////"""),"'","""")&amp;SUBSTITUTE(TEXT(Regen!E152,""",""?00;"",""?-00;"",""?00;"", //"""),"'","""")</f>
        <v>081, 19400530, 1,    0, 00</v>
      </c>
    </row>
    <row r="153" spans="1:1" x14ac:dyDescent="0.25">
      <c r="A153" s="25" t="str">
        <f ca="1">TEXT(Regen!A153,"000\,")&amp;TEXT(Regen!B153,"?00000000")&amp;TEXT(Regen!C153,""",""?0")&amp;SUBSTITUTE(TEXT(Regen!D153,""",""????0;"",""???-0;"",""????0;"", ////"""),"'","""")&amp;SUBSTITUTE(TEXT(Regen!E153,""",""?00;"",""?-00;"",""?00;"", //"""),"'","""")</f>
        <v>081, 19400531, 1,    0, 00</v>
      </c>
    </row>
    <row r="154" spans="1:1" x14ac:dyDescent="0.25">
      <c r="A154" s="25" t="str">
        <f ca="1">TEXT(Regen!A154,"000\,")&amp;TEXT(Regen!B154,"?00000000")&amp;TEXT(Regen!C154,""",""?0")&amp;SUBSTITUTE(TEXT(Regen!D154,""",""????0;"",""???-0;"",""????0;"", ////"""),"'","""")&amp;SUBSTITUTE(TEXT(Regen!E154,""",""?00;"",""?-00;"",""?00;"", //"""),"'","""")</f>
        <v>081, 19400601, 1, ////, 07</v>
      </c>
    </row>
    <row r="155" spans="1:1" x14ac:dyDescent="0.25">
      <c r="A155" s="25" t="str">
        <f ca="1">TEXT(Regen!A155,"000\,")&amp;TEXT(Regen!B155,"?00000000")&amp;TEXT(Regen!C155,""",""?0")&amp;SUBSTITUTE(TEXT(Regen!D155,""",""????0;"",""???-0;"",""????0;"", ////"""),"'","""")&amp;SUBSTITUTE(TEXT(Regen!E155,""",""?00;"",""?-00;"",""?00;"", //"""),"'","""")</f>
        <v>081, 19400602, 1, ////, 07</v>
      </c>
    </row>
    <row r="156" spans="1:1" x14ac:dyDescent="0.25">
      <c r="A156" s="25" t="str">
        <f ca="1">TEXT(Regen!A156,"000\,")&amp;TEXT(Regen!B156,"?00000000")&amp;TEXT(Regen!C156,""",""?0")&amp;SUBSTITUTE(TEXT(Regen!D156,""",""????0;"",""???-0;"",""????0;"", ////"""),"'","""")&amp;SUBSTITUTE(TEXT(Regen!E156,""",""?00;"",""?-00;"",""?00;"", //"""),"'","""")</f>
        <v>081, 19400603, 1, ////, 07</v>
      </c>
    </row>
    <row r="157" spans="1:1" x14ac:dyDescent="0.25">
      <c r="A157" s="25" t="str">
        <f ca="1">TEXT(Regen!A157,"000\,")&amp;TEXT(Regen!B157,"?00000000")&amp;TEXT(Regen!C157,""",""?0")&amp;SUBSTITUTE(TEXT(Regen!D157,""",""????0;"",""???-0;"",""????0;"", ////"""),"'","""")&amp;SUBSTITUTE(TEXT(Regen!E157,""",""?00;"",""?-00;"",""?00;"", //"""),"'","""")</f>
        <v>081, 19400604, 1, ////, 07</v>
      </c>
    </row>
    <row r="158" spans="1:1" x14ac:dyDescent="0.25">
      <c r="A158" s="25" t="str">
        <f ca="1">TEXT(Regen!A158,"000\,")&amp;TEXT(Regen!B158,"?00000000")&amp;TEXT(Regen!C158,""",""?0")&amp;SUBSTITUTE(TEXT(Regen!D158,""",""????0;"",""???-0;"",""????0;"", ////"""),"'","""")&amp;SUBSTITUTE(TEXT(Regen!E158,""",""?00;"",""?-00;"",""?00;"", //"""),"'","""")</f>
        <v>081, 19400605, 1, ////, 07</v>
      </c>
    </row>
    <row r="159" spans="1:1" x14ac:dyDescent="0.25">
      <c r="A159" s="25" t="str">
        <f ca="1">TEXT(Regen!A159,"000\,")&amp;TEXT(Regen!B159,"?00000000")&amp;TEXT(Regen!C159,""",""?0")&amp;SUBSTITUTE(TEXT(Regen!D159,""",""????0;"",""???-0;"",""????0;"", ////"""),"'","""")&amp;SUBSTITUTE(TEXT(Regen!E159,""",""?00;"",""?-00;"",""?00;"", //"""),"'","""")</f>
        <v>081, 19400606, 1, ////, 07</v>
      </c>
    </row>
    <row r="160" spans="1:1" x14ac:dyDescent="0.25">
      <c r="A160" s="25" t="str">
        <f ca="1">TEXT(Regen!A160,"000\,")&amp;TEXT(Regen!B160,"?00000000")&amp;TEXT(Regen!C160,""",""?0")&amp;SUBSTITUTE(TEXT(Regen!D160,""",""????0;"",""???-0;"",""????0;"", ////"""),"'","""")&amp;SUBSTITUTE(TEXT(Regen!E160,""",""?00;"",""?-00;"",""?00;"", //"""),"'","""")</f>
        <v>081, 19400607, 1, ////, 07</v>
      </c>
    </row>
    <row r="161" spans="1:1" x14ac:dyDescent="0.25">
      <c r="A161" s="25" t="str">
        <f ca="1">TEXT(Regen!A161,"000\,")&amp;TEXT(Regen!B161,"?00000000")&amp;TEXT(Regen!C161,""",""?0")&amp;SUBSTITUTE(TEXT(Regen!D161,""",""????0;"",""???-0;"",""????0;"", ////"""),"'","""")&amp;SUBSTITUTE(TEXT(Regen!E161,""",""?00;"",""?-00;"",""?00;"", //"""),"'","""")</f>
        <v>081, 19400608, 1, ////, 07</v>
      </c>
    </row>
    <row r="162" spans="1:1" x14ac:dyDescent="0.25">
      <c r="A162" s="25" t="str">
        <f ca="1">TEXT(Regen!A162,"000\,")&amp;TEXT(Regen!B162,"?00000000")&amp;TEXT(Regen!C162,""",""?0")&amp;SUBSTITUTE(TEXT(Regen!D162,""",""????0;"",""???-0;"",""????0;"", ////"""),"'","""")&amp;SUBSTITUTE(TEXT(Regen!E162,""",""?00;"",""?-00;"",""?00;"", //"""),"'","""")</f>
        <v>081, 19400609, 1, ////, 07</v>
      </c>
    </row>
    <row r="163" spans="1:1" x14ac:dyDescent="0.25">
      <c r="A163" s="25" t="str">
        <f ca="1">TEXT(Regen!A163,"000\,")&amp;TEXT(Regen!B163,"?00000000")&amp;TEXT(Regen!C163,""",""?0")&amp;SUBSTITUTE(TEXT(Regen!D163,""",""????0;"",""???-0;"",""????0;"", ////"""),"'","""")&amp;SUBSTITUTE(TEXT(Regen!E163,""",""?00;"",""?-00;"",""?00;"", //"""),"'","""")</f>
        <v>081, 19400610, 1, ////, 07</v>
      </c>
    </row>
    <row r="164" spans="1:1" x14ac:dyDescent="0.25">
      <c r="A164" s="25" t="str">
        <f ca="1">TEXT(Regen!A164,"000\,")&amp;TEXT(Regen!B164,"?00000000")&amp;TEXT(Regen!C164,""",""?0")&amp;SUBSTITUTE(TEXT(Regen!D164,""",""????0;"",""???-0;"",""????0;"", ////"""),"'","""")&amp;SUBSTITUTE(TEXT(Regen!E164,""",""?00;"",""?-00;"",""?00;"", //"""),"'","""")</f>
        <v>081, 19400611, 1, ////, 07</v>
      </c>
    </row>
    <row r="165" spans="1:1" x14ac:dyDescent="0.25">
      <c r="A165" s="25" t="str">
        <f ca="1">TEXT(Regen!A165,"000\,")&amp;TEXT(Regen!B165,"?00000000")&amp;TEXT(Regen!C165,""",""?0")&amp;SUBSTITUTE(TEXT(Regen!D165,""",""????0;"",""???-0;"",""????0;"", ////"""),"'","""")&amp;SUBSTITUTE(TEXT(Regen!E165,""",""?00;"",""?-00;"",""?00;"", //"""),"'","""")</f>
        <v>081, 19400612, 1, ////, 07</v>
      </c>
    </row>
    <row r="166" spans="1:1" x14ac:dyDescent="0.25">
      <c r="A166" s="25" t="str">
        <f ca="1">TEXT(Regen!A166,"000\,")&amp;TEXT(Regen!B166,"?00000000")&amp;TEXT(Regen!C166,""",""?0")&amp;SUBSTITUTE(TEXT(Regen!D166,""",""????0;"",""???-0;"",""????0;"", ////"""),"'","""")&amp;SUBSTITUTE(TEXT(Regen!E166,""",""?00;"",""?-00;"",""?00;"", //"""),"'","""")</f>
        <v>081, 19400613, 1, ////, 07</v>
      </c>
    </row>
    <row r="167" spans="1:1" x14ac:dyDescent="0.25">
      <c r="A167" s="25" t="str">
        <f ca="1">TEXT(Regen!A167,"000\,")&amp;TEXT(Regen!B167,"?00000000")&amp;TEXT(Regen!C167,""",""?0")&amp;SUBSTITUTE(TEXT(Regen!D167,""",""????0;"",""???-0;"",""????0;"", ////"""),"'","""")&amp;SUBSTITUTE(TEXT(Regen!E167,""",""?00;"",""?-00;"",""?00;"", //"""),"'","""")</f>
        <v>081, 19400614, 1, ////, 07</v>
      </c>
    </row>
    <row r="168" spans="1:1" x14ac:dyDescent="0.25">
      <c r="A168" s="25" t="str">
        <f ca="1">TEXT(Regen!A168,"000\,")&amp;TEXT(Regen!B168,"?00000000")&amp;TEXT(Regen!C168,""",""?0")&amp;SUBSTITUTE(TEXT(Regen!D168,""",""????0;"",""???-0;"",""????0;"", ////"""),"'","""")&amp;SUBSTITUTE(TEXT(Regen!E168,""",""?00;"",""?-00;"",""?00;"", //"""),"'","""")</f>
        <v>081, 19400615, 1, ////, 07</v>
      </c>
    </row>
    <row r="169" spans="1:1" x14ac:dyDescent="0.25">
      <c r="A169" s="25" t="str">
        <f ca="1">TEXT(Regen!A169,"000\,")&amp;TEXT(Regen!B169,"?00000000")&amp;TEXT(Regen!C169,""",""?0")&amp;SUBSTITUTE(TEXT(Regen!D169,""",""????0;"",""???-0;"",""????0;"", ////"""),"'","""")&amp;SUBSTITUTE(TEXT(Regen!E169,""",""?00;"",""?-00;"",""?00;"", //"""),"'","""")</f>
        <v>081, 19400616, 1, ////, 07</v>
      </c>
    </row>
    <row r="170" spans="1:1" x14ac:dyDescent="0.25">
      <c r="A170" s="25" t="str">
        <f ca="1">TEXT(Regen!A170,"000\,")&amp;TEXT(Regen!B170,"?00000000")&amp;TEXT(Regen!C170,""",""?0")&amp;SUBSTITUTE(TEXT(Regen!D170,""",""????0;"",""???-0;"",""????0;"", ////"""),"'","""")&amp;SUBSTITUTE(TEXT(Regen!E170,""",""?00;"",""?-00;"",""?00;"", //"""),"'","""")</f>
        <v>081, 19400617, 1, ////, 07</v>
      </c>
    </row>
    <row r="171" spans="1:1" x14ac:dyDescent="0.25">
      <c r="A171" s="25" t="str">
        <f ca="1">TEXT(Regen!A171,"000\,")&amp;TEXT(Regen!B171,"?00000000")&amp;TEXT(Regen!C171,""",""?0")&amp;SUBSTITUTE(TEXT(Regen!D171,""",""????0;"",""???-0;"",""????0;"", ////"""),"'","""")&amp;SUBSTITUTE(TEXT(Regen!E171,""",""?00;"",""?-00;"",""?00;"", //"""),"'","""")</f>
        <v>081, 19400618, 1, ////, 07</v>
      </c>
    </row>
    <row r="172" spans="1:1" x14ac:dyDescent="0.25">
      <c r="A172" s="25" t="str">
        <f ca="1">TEXT(Regen!A172,"000\,")&amp;TEXT(Regen!B172,"?00000000")&amp;TEXT(Regen!C172,""",""?0")&amp;SUBSTITUTE(TEXT(Regen!D172,""",""????0;"",""???-0;"",""????0;"", ////"""),"'","""")&amp;SUBSTITUTE(TEXT(Regen!E172,""",""?00;"",""?-00;"",""?00;"", //"""),"'","""")</f>
        <v>081, 19400619, 1, ////, 07</v>
      </c>
    </row>
    <row r="173" spans="1:1" x14ac:dyDescent="0.25">
      <c r="A173" s="25" t="str">
        <f ca="1">TEXT(Regen!A173,"000\,")&amp;TEXT(Regen!B173,"?00000000")&amp;TEXT(Regen!C173,""",""?0")&amp;SUBSTITUTE(TEXT(Regen!D173,""",""????0;"",""???-0;"",""????0;"", ////"""),"'","""")&amp;SUBSTITUTE(TEXT(Regen!E173,""",""?00;"",""?-00;"",""?00;"", //"""),"'","""")</f>
        <v>081, 19400620, 1, ////, 07</v>
      </c>
    </row>
    <row r="174" spans="1:1" x14ac:dyDescent="0.25">
      <c r="A174" s="25" t="str">
        <f ca="1">TEXT(Regen!A174,"000\,")&amp;TEXT(Regen!B174,"?00000000")&amp;TEXT(Regen!C174,""",""?0")&amp;SUBSTITUTE(TEXT(Regen!D174,""",""????0;"",""???-0;"",""????0;"", ////"""),"'","""")&amp;SUBSTITUTE(TEXT(Regen!E174,""",""?00;"",""?-00;"",""?00;"", //"""),"'","""")</f>
        <v>081, 19400621, 1, ////, 07</v>
      </c>
    </row>
    <row r="175" spans="1:1" x14ac:dyDescent="0.25">
      <c r="A175" s="25" t="str">
        <f ca="1">TEXT(Regen!A175,"000\,")&amp;TEXT(Regen!B175,"?00000000")&amp;TEXT(Regen!C175,""",""?0")&amp;SUBSTITUTE(TEXT(Regen!D175,""",""????0;"",""???-0;"",""????0;"", ////"""),"'","""")&amp;SUBSTITUTE(TEXT(Regen!E175,""",""?00;"",""?-00;"",""?00;"", //"""),"'","""")</f>
        <v>081, 19400622, 1, ////, 07</v>
      </c>
    </row>
    <row r="176" spans="1:1" x14ac:dyDescent="0.25">
      <c r="A176" s="25" t="str">
        <f ca="1">TEXT(Regen!A176,"000\,")&amp;TEXT(Regen!B176,"?00000000")&amp;TEXT(Regen!C176,""",""?0")&amp;SUBSTITUTE(TEXT(Regen!D176,""",""????0;"",""???-0;"",""????0;"", ////"""),"'","""")&amp;SUBSTITUTE(TEXT(Regen!E176,""",""?00;"",""?-00;"",""?00;"", //"""),"'","""")</f>
        <v>081, 19400623, 1, ////, 07</v>
      </c>
    </row>
    <row r="177" spans="1:1" x14ac:dyDescent="0.25">
      <c r="A177" s="25" t="str">
        <f ca="1">TEXT(Regen!A177,"000\,")&amp;TEXT(Regen!B177,"?00000000")&amp;TEXT(Regen!C177,""",""?0")&amp;SUBSTITUTE(TEXT(Regen!D177,""",""????0;"",""???-0;"",""????0;"", ////"""),"'","""")&amp;SUBSTITUTE(TEXT(Regen!E177,""",""?00;"",""?-00;"",""?00;"", //"""),"'","""")</f>
        <v>081, 19400624, 1, ////, 07</v>
      </c>
    </row>
    <row r="178" spans="1:1" x14ac:dyDescent="0.25">
      <c r="A178" s="25" t="str">
        <f ca="1">TEXT(Regen!A178,"000\,")&amp;TEXT(Regen!B178,"?00000000")&amp;TEXT(Regen!C178,""",""?0")&amp;SUBSTITUTE(TEXT(Regen!D178,""",""????0;"",""???-0;"",""????0;"", ////"""),"'","""")&amp;SUBSTITUTE(TEXT(Regen!E178,""",""?00;"",""?-00;"",""?00;"", //"""),"'","""")</f>
        <v>081, 19400625, 1, ////, 07</v>
      </c>
    </row>
    <row r="179" spans="1:1" x14ac:dyDescent="0.25">
      <c r="A179" s="25" t="str">
        <f ca="1">TEXT(Regen!A179,"000\,")&amp;TEXT(Regen!B179,"?00000000")&amp;TEXT(Regen!C179,""",""?0")&amp;SUBSTITUTE(TEXT(Regen!D179,""",""????0;"",""???-0;"",""????0;"", ////"""),"'","""")&amp;SUBSTITUTE(TEXT(Regen!E179,""",""?00;"",""?-00;"",""?00;"", //"""),"'","""")</f>
        <v>081, 19400626, 1, ////, 07</v>
      </c>
    </row>
    <row r="180" spans="1:1" x14ac:dyDescent="0.25">
      <c r="A180" s="25" t="str">
        <f ca="1">TEXT(Regen!A180,"000\,")&amp;TEXT(Regen!B180,"?00000000")&amp;TEXT(Regen!C180,""",""?0")&amp;SUBSTITUTE(TEXT(Regen!D180,""",""????0;"",""???-0;"",""????0;"", ////"""),"'","""")&amp;SUBSTITUTE(TEXT(Regen!E180,""",""?00;"",""?-00;"",""?00;"", //"""),"'","""")</f>
        <v>081, 19400627, 1, ////, 07</v>
      </c>
    </row>
    <row r="181" spans="1:1" x14ac:dyDescent="0.25">
      <c r="A181" s="25" t="str">
        <f ca="1">TEXT(Regen!A181,"000\,")&amp;TEXT(Regen!B181,"?00000000")&amp;TEXT(Regen!C181,""",""?0")&amp;SUBSTITUTE(TEXT(Regen!D181,""",""????0;"",""???-0;"",""????0;"", ////"""),"'","""")&amp;SUBSTITUTE(TEXT(Regen!E181,""",""?00;"",""?-00;"",""?00;"", //"""),"'","""")</f>
        <v>081, 19400628, 1, ////, 07</v>
      </c>
    </row>
    <row r="182" spans="1:1" x14ac:dyDescent="0.25">
      <c r="A182" s="25" t="str">
        <f ca="1">TEXT(Regen!A182,"000\,")&amp;TEXT(Regen!B182,"?00000000")&amp;TEXT(Regen!C182,""",""?0")&amp;SUBSTITUTE(TEXT(Regen!D182,""",""????0;"",""???-0;"",""????0;"", ////"""),"'","""")&amp;SUBSTITUTE(TEXT(Regen!E182,""",""?00;"",""?-00;"",""?00;"", //"""),"'","""")</f>
        <v>081, 19400629, 1, ////, 07</v>
      </c>
    </row>
    <row r="183" spans="1:1" x14ac:dyDescent="0.25">
      <c r="A183" s="25" t="str">
        <f ca="1">TEXT(Regen!A183,"000\,")&amp;TEXT(Regen!B183,"?00000000")&amp;TEXT(Regen!C183,""",""?0")&amp;SUBSTITUTE(TEXT(Regen!D183,""",""????0;"",""???-0;"",""????0;"", ////"""),"'","""")&amp;SUBSTITUTE(TEXT(Regen!E183,""",""?00;"",""?-00;"",""?00;"", //"""),"'","""")</f>
        <v>081, 19400630, 1, ////, 07</v>
      </c>
    </row>
    <row r="184" spans="1:1" x14ac:dyDescent="0.25">
      <c r="A184" s="25" t="str">
        <f ca="1">TEXT(Regen!A184,"000\,")&amp;TEXT(Regen!B184,"?00000000")&amp;TEXT(Regen!C184,""",""?0")&amp;SUBSTITUTE(TEXT(Regen!D184,""",""????0;"",""???-0;"",""????0;"", ////"""),"'","""")&amp;SUBSTITUTE(TEXT(Regen!E184,""",""?00;"",""?-00;"",""?00;"", //"""),"'","""")</f>
        <v>081, 19400701, 1,  300, 00</v>
      </c>
    </row>
    <row r="185" spans="1:1" x14ac:dyDescent="0.25">
      <c r="A185" s="25" t="str">
        <f ca="1">TEXT(Regen!A185,"000\,")&amp;TEXT(Regen!B185,"?00000000")&amp;TEXT(Regen!C185,""",""?0")&amp;SUBSTITUTE(TEXT(Regen!D185,""",""????0;"",""???-0;"",""????0;"", ////"""),"'","""")&amp;SUBSTITUTE(TEXT(Regen!E185,""",""?00;"",""?-00;"",""?00;"", //"""),"'","""")</f>
        <v>081, 19400702, 1,    0, 00</v>
      </c>
    </row>
    <row r="186" spans="1:1" x14ac:dyDescent="0.25">
      <c r="A186" s="25" t="str">
        <f ca="1">TEXT(Regen!A186,"000\,")&amp;TEXT(Regen!B186,"?00000000")&amp;TEXT(Regen!C186,""",""?0")&amp;SUBSTITUTE(TEXT(Regen!D186,""",""????0;"",""???-0;"",""????0;"", ////"""),"'","""")&amp;SUBSTITUTE(TEXT(Regen!E186,""",""?00;"",""?-00;"",""?00;"", //"""),"'","""")</f>
        <v>081, 19400703, 1,    4, 00</v>
      </c>
    </row>
    <row r="187" spans="1:1" x14ac:dyDescent="0.25">
      <c r="A187" s="25" t="str">
        <f ca="1">TEXT(Regen!A187,"000\,")&amp;TEXT(Regen!B187,"?00000000")&amp;TEXT(Regen!C187,""",""?0")&amp;SUBSTITUTE(TEXT(Regen!D187,""",""????0;"",""???-0;"",""????0;"", ////"""),"'","""")&amp;SUBSTITUTE(TEXT(Regen!E187,""",""?00;"",""?-00;"",""?00;"", //"""),"'","""")</f>
        <v>081, 19400704, 1,    0, 00</v>
      </c>
    </row>
    <row r="188" spans="1:1" x14ac:dyDescent="0.25">
      <c r="A188" s="25" t="str">
        <f ca="1">TEXT(Regen!A188,"000\,")&amp;TEXT(Regen!B188,"?00000000")&amp;TEXT(Regen!C188,""",""?0")&amp;SUBSTITUTE(TEXT(Regen!D188,""",""????0;"",""???-0;"",""????0;"", ////"""),"'","""")&amp;SUBSTITUTE(TEXT(Regen!E188,""",""?00;"",""?-00;"",""?00;"", //"""),"'","""")</f>
        <v>081, 19400705, 1,    0, 00</v>
      </c>
    </row>
    <row r="189" spans="1:1" x14ac:dyDescent="0.25">
      <c r="A189" s="25" t="str">
        <f ca="1">TEXT(Regen!A189,"000\,")&amp;TEXT(Regen!B189,"?00000000")&amp;TEXT(Regen!C189,""",""?0")&amp;SUBSTITUTE(TEXT(Regen!D189,""",""????0;"",""???-0;"",""????0;"", ////"""),"'","""")&amp;SUBSTITUTE(TEXT(Regen!E189,""",""?00;"",""?-00;"",""?00;"", //"""),"'","""")</f>
        <v>081, 19400706, 1,  100, 00</v>
      </c>
    </row>
    <row r="190" spans="1:1" x14ac:dyDescent="0.25">
      <c r="A190" s="25" t="str">
        <f ca="1">TEXT(Regen!A190,"000\,")&amp;TEXT(Regen!B190,"?00000000")&amp;TEXT(Regen!C190,""",""?0")&amp;SUBSTITUTE(TEXT(Regen!D190,""",""????0;"",""???-0;"",""????0;"", ////"""),"'","""")&amp;SUBSTITUTE(TEXT(Regen!E190,""",""?00;"",""?-00;"",""?00;"", //"""),"'","""")</f>
        <v>081, 19400707, 1,   65, 00</v>
      </c>
    </row>
    <row r="191" spans="1:1" x14ac:dyDescent="0.25">
      <c r="A191" s="25" t="str">
        <f ca="1">TEXT(Regen!A191,"000\,")&amp;TEXT(Regen!B191,"?00000000")&amp;TEXT(Regen!C191,""",""?0")&amp;SUBSTITUTE(TEXT(Regen!D191,""",""????0;"",""???-0;"",""????0;"", ////"""),"'","""")&amp;SUBSTITUTE(TEXT(Regen!E191,""",""?00;"",""?-00;"",""?00;"", //"""),"'","""")</f>
        <v>081, 19400708, 1,   35, 00</v>
      </c>
    </row>
    <row r="192" spans="1:1" x14ac:dyDescent="0.25">
      <c r="A192" s="25" t="str">
        <f ca="1">TEXT(Regen!A192,"000\,")&amp;TEXT(Regen!B192,"?00000000")&amp;TEXT(Regen!C192,""",""?0")&amp;SUBSTITUTE(TEXT(Regen!D192,""",""????0;"",""???-0;"",""????0;"", ////"""),"'","""")&amp;SUBSTITUTE(TEXT(Regen!E192,""",""?00;"",""?-00;"",""?00;"", //"""),"'","""")</f>
        <v>081, 19400709, 1,    0, 00</v>
      </c>
    </row>
    <row r="193" spans="1:1" x14ac:dyDescent="0.25">
      <c r="A193" s="25" t="str">
        <f ca="1">TEXT(Regen!A193,"000\,")&amp;TEXT(Regen!B193,"?00000000")&amp;TEXT(Regen!C193,""",""?0")&amp;SUBSTITUTE(TEXT(Regen!D193,""",""????0;"",""???-0;"",""????0;"", ////"""),"'","""")&amp;SUBSTITUTE(TEXT(Regen!E193,""",""?00;"",""?-00;"",""?00;"", //"""),"'","""")</f>
        <v>081, 19400710, 1,    0, 00</v>
      </c>
    </row>
    <row r="194" spans="1:1" x14ac:dyDescent="0.25">
      <c r="A194" s="25" t="str">
        <f ca="1">TEXT(Regen!A194,"000\,")&amp;TEXT(Regen!B194,"?00000000")&amp;TEXT(Regen!C194,""",""?0")&amp;SUBSTITUTE(TEXT(Regen!D194,""",""????0;"",""???-0;"",""????0;"", ////"""),"'","""")&amp;SUBSTITUTE(TEXT(Regen!E194,""",""?00;"",""?-00;"",""?00;"", //"""),"'","""")</f>
        <v>081, 19400711, 1,   60, 00</v>
      </c>
    </row>
    <row r="195" spans="1:1" x14ac:dyDescent="0.25">
      <c r="A195" s="25" t="str">
        <f ca="1">TEXT(Regen!A195,"000\,")&amp;TEXT(Regen!B195,"?00000000")&amp;TEXT(Regen!C195,""",""?0")&amp;SUBSTITUTE(TEXT(Regen!D195,""",""????0;"",""???-0;"",""????0;"", ////"""),"'","""")&amp;SUBSTITUTE(TEXT(Regen!E195,""",""?00;"",""?-00;"",""?00;"", //"""),"'","""")</f>
        <v>081, 19400712, 1,   35, 00</v>
      </c>
    </row>
    <row r="196" spans="1:1" x14ac:dyDescent="0.25">
      <c r="A196" s="25" t="str">
        <f ca="1">TEXT(Regen!A196,"000\,")&amp;TEXT(Regen!B196,"?00000000")&amp;TEXT(Regen!C196,""",""?0")&amp;SUBSTITUTE(TEXT(Regen!D196,""",""????0;"",""???-0;"",""????0;"", ////"""),"'","""")&amp;SUBSTITUTE(TEXT(Regen!E196,""",""?00;"",""?-00;"",""?00;"", //"""),"'","""")</f>
        <v>081, 19400713, 1,    5, 00</v>
      </c>
    </row>
    <row r="197" spans="1:1" x14ac:dyDescent="0.25">
      <c r="A197" s="25" t="str">
        <f ca="1">TEXT(Regen!A197,"000\,")&amp;TEXT(Regen!B197,"?00000000")&amp;TEXT(Regen!C197,""",""?0")&amp;SUBSTITUTE(TEXT(Regen!D197,""",""????0;"",""???-0;"",""????0;"", ////"""),"'","""")&amp;SUBSTITUTE(TEXT(Regen!E197,""",""?00;"",""?-00;"",""?00;"", //"""),"'","""")</f>
        <v>081, 19400714, 1,    0, 00</v>
      </c>
    </row>
    <row r="198" spans="1:1" x14ac:dyDescent="0.25">
      <c r="A198" s="25" t="str">
        <f ca="1">TEXT(Regen!A198,"000\,")&amp;TEXT(Regen!B198,"?00000000")&amp;TEXT(Regen!C198,""",""?0")&amp;SUBSTITUTE(TEXT(Regen!D198,""",""????0;"",""???-0;"",""????0;"", ////"""),"'","""")&amp;SUBSTITUTE(TEXT(Regen!E198,""",""?00;"",""?-00;"",""?00;"", //"""),"'","""")</f>
        <v>081, 19400715, 1,   35, 00</v>
      </c>
    </row>
    <row r="199" spans="1:1" x14ac:dyDescent="0.25">
      <c r="A199" s="25" t="str">
        <f ca="1">TEXT(Regen!A199,"000\,")&amp;TEXT(Regen!B199,"?00000000")&amp;TEXT(Regen!C199,""",""?0")&amp;SUBSTITUTE(TEXT(Regen!D199,""",""????0;"",""???-0;"",""????0;"", ////"""),"'","""")&amp;SUBSTITUTE(TEXT(Regen!E199,""",""?00;"",""?-00;"",""?00;"", //"""),"'","""")</f>
        <v>081, 19400716, 1,   55, 00</v>
      </c>
    </row>
    <row r="200" spans="1:1" x14ac:dyDescent="0.25">
      <c r="A200" s="25" t="str">
        <f ca="1">TEXT(Regen!A200,"000\,")&amp;TEXT(Regen!B200,"?00000000")&amp;TEXT(Regen!C200,""",""?0")&amp;SUBSTITUTE(TEXT(Regen!D200,""",""????0;"",""???-0;"",""????0;"", ////"""),"'","""")&amp;SUBSTITUTE(TEXT(Regen!E200,""",""?00;"",""?-00;"",""?00;"", //"""),"'","""")</f>
        <v>081, 19400717, 1,   85, 00</v>
      </c>
    </row>
    <row r="201" spans="1:1" x14ac:dyDescent="0.25">
      <c r="A201" s="25" t="str">
        <f ca="1">TEXT(Regen!A201,"000\,")&amp;TEXT(Regen!B201,"?00000000")&amp;TEXT(Regen!C201,""",""?0")&amp;SUBSTITUTE(TEXT(Regen!D201,""",""????0;"",""???-0;"",""????0;"", ////"""),"'","""")&amp;SUBSTITUTE(TEXT(Regen!E201,""",""?00;"",""?-00;"",""?00;"", //"""),"'","""")</f>
        <v>081, 19400718, 1,    5, 00</v>
      </c>
    </row>
    <row r="202" spans="1:1" x14ac:dyDescent="0.25">
      <c r="A202" s="25" t="str">
        <f ca="1">TEXT(Regen!A202,"000\,")&amp;TEXT(Regen!B202,"?00000000")&amp;TEXT(Regen!C202,""",""?0")&amp;SUBSTITUTE(TEXT(Regen!D202,""",""????0;"",""???-0;"",""????0;"", ////"""),"'","""")&amp;SUBSTITUTE(TEXT(Regen!E202,""",""?00;"",""?-00;"",""?00;"", //"""),"'","""")</f>
        <v>081, 19400719, 1,    0, 00</v>
      </c>
    </row>
    <row r="203" spans="1:1" x14ac:dyDescent="0.25">
      <c r="A203" s="25" t="str">
        <f ca="1">TEXT(Regen!A203,"000\,")&amp;TEXT(Regen!B203,"?00000000")&amp;TEXT(Regen!C203,""",""?0")&amp;SUBSTITUTE(TEXT(Regen!D203,""",""????0;"",""???-0;"",""????0;"", ////"""),"'","""")&amp;SUBSTITUTE(TEXT(Regen!E203,""",""?00;"",""?-00;"",""?00;"", //"""),"'","""")</f>
        <v>081, 19400720, 1,   33, 00</v>
      </c>
    </row>
    <row r="204" spans="1:1" x14ac:dyDescent="0.25">
      <c r="A204" s="25" t="str">
        <f ca="1">TEXT(Regen!A204,"000\,")&amp;TEXT(Regen!B204,"?00000000")&amp;TEXT(Regen!C204,""",""?0")&amp;SUBSTITUTE(TEXT(Regen!D204,""",""????0;"",""???-0;"",""????0;"", ////"""),"'","""")&amp;SUBSTITUTE(TEXT(Regen!E204,""",""?00;"",""?-00;"",""?00;"", //"""),"'","""")</f>
        <v>081, 19400721, 1,   15, 00</v>
      </c>
    </row>
    <row r="205" spans="1:1" x14ac:dyDescent="0.25">
      <c r="A205" s="25" t="str">
        <f ca="1">TEXT(Regen!A205,"000\,")&amp;TEXT(Regen!B205,"?00000000")&amp;TEXT(Regen!C205,""",""?0")&amp;SUBSTITUTE(TEXT(Regen!D205,""",""????0;"",""???-0;"",""????0;"", ////"""),"'","""")&amp;SUBSTITUTE(TEXT(Regen!E205,""",""?00;"",""?-00;"",""?00;"", //"""),"'","""")</f>
        <v>081, 19400722, 1,   57, 00</v>
      </c>
    </row>
    <row r="206" spans="1:1" x14ac:dyDescent="0.25">
      <c r="A206" s="25" t="str">
        <f ca="1">TEXT(Regen!A206,"000\,")&amp;TEXT(Regen!B206,"?00000000")&amp;TEXT(Regen!C206,""",""?0")&amp;SUBSTITUTE(TEXT(Regen!D206,""",""????0;"",""???-0;"",""????0;"", ////"""),"'","""")&amp;SUBSTITUTE(TEXT(Regen!E206,""",""?00;"",""?-00;"",""?00;"", //"""),"'","""")</f>
        <v>081, 19400723, 1,   35, 00</v>
      </c>
    </row>
    <row r="207" spans="1:1" x14ac:dyDescent="0.25">
      <c r="A207" s="25" t="str">
        <f ca="1">TEXT(Regen!A207,"000\,")&amp;TEXT(Regen!B207,"?00000000")&amp;TEXT(Regen!C207,""",""?0")&amp;SUBSTITUTE(TEXT(Regen!D207,""",""????0;"",""???-0;"",""????0;"", ////"""),"'","""")&amp;SUBSTITUTE(TEXT(Regen!E207,""",""?00;"",""?-00;"",""?00;"", //"""),"'","""")</f>
        <v>081, 19400724, 1,   45, 00</v>
      </c>
    </row>
    <row r="208" spans="1:1" x14ac:dyDescent="0.25">
      <c r="A208" s="25" t="str">
        <f ca="1">TEXT(Regen!A208,"000\,")&amp;TEXT(Regen!B208,"?00000000")&amp;TEXT(Regen!C208,""",""?0")&amp;SUBSTITUTE(TEXT(Regen!D208,""",""????0;"",""???-0;"",""????0;"", ////"""),"'","""")&amp;SUBSTITUTE(TEXT(Regen!E208,""",""?00;"",""?-00;"",""?00;"", //"""),"'","""")</f>
        <v>081, 19400725, 1,    8, 00</v>
      </c>
    </row>
    <row r="209" spans="1:1" x14ac:dyDescent="0.25">
      <c r="A209" s="25" t="str">
        <f ca="1">TEXT(Regen!A209,"000\,")&amp;TEXT(Regen!B209,"?00000000")&amp;TEXT(Regen!C209,""",""?0")&amp;SUBSTITUTE(TEXT(Regen!D209,""",""????0;"",""???-0;"",""????0;"", ////"""),"'","""")&amp;SUBSTITUTE(TEXT(Regen!E209,""",""?00;"",""?-00;"",""?00;"", //"""),"'","""")</f>
        <v>081, 19400726, 1,    0, 00</v>
      </c>
    </row>
    <row r="210" spans="1:1" x14ac:dyDescent="0.25">
      <c r="A210" s="25" t="str">
        <f ca="1">TEXT(Regen!A210,"000\,")&amp;TEXT(Regen!B210,"?00000000")&amp;TEXT(Regen!C210,""",""?0")&amp;SUBSTITUTE(TEXT(Regen!D210,""",""????0;"",""???-0;"",""????0;"", ////"""),"'","""")&amp;SUBSTITUTE(TEXT(Regen!E210,""",""?00;"",""?-00;"",""?00;"", //"""),"'","""")</f>
        <v>081, 19400727, 1,   12, 00</v>
      </c>
    </row>
    <row r="211" spans="1:1" x14ac:dyDescent="0.25">
      <c r="A211" s="25" t="str">
        <f ca="1">TEXT(Regen!A211,"000\,")&amp;TEXT(Regen!B211,"?00000000")&amp;TEXT(Regen!C211,""",""?0")&amp;SUBSTITUTE(TEXT(Regen!D211,""",""????0;"",""???-0;"",""????0;"", ////"""),"'","""")&amp;SUBSTITUTE(TEXT(Regen!E211,""",""?00;"",""?-00;"",""?00;"", //"""),"'","""")</f>
        <v>081, 19400728, 1,    0, 00</v>
      </c>
    </row>
    <row r="212" spans="1:1" x14ac:dyDescent="0.25">
      <c r="A212" s="25" t="str">
        <f ca="1">TEXT(Regen!A212,"000\,")&amp;TEXT(Regen!B212,"?00000000")&amp;TEXT(Regen!C212,""",""?0")&amp;SUBSTITUTE(TEXT(Regen!D212,""",""????0;"",""???-0;"",""????0;"", ////"""),"'","""")&amp;SUBSTITUTE(TEXT(Regen!E212,""",""?00;"",""?-00;"",""?00;"", //"""),"'","""")</f>
        <v>081, 19400729, 1,    0, 00</v>
      </c>
    </row>
    <row r="213" spans="1:1" x14ac:dyDescent="0.25">
      <c r="A213" s="25" t="str">
        <f ca="1">TEXT(Regen!A213,"000\,")&amp;TEXT(Regen!B213,"?00000000")&amp;TEXT(Regen!C213,""",""?0")&amp;SUBSTITUTE(TEXT(Regen!D213,""",""????0;"",""???-0;"",""????0;"", ////"""),"'","""")&amp;SUBSTITUTE(TEXT(Regen!E213,""",""?00;"",""?-00;"",""?00;"", //"""),"'","""")</f>
        <v>081, 19400730, 1,    0, 00</v>
      </c>
    </row>
    <row r="214" spans="1:1" x14ac:dyDescent="0.25">
      <c r="A214" s="25" t="str">
        <f ca="1">TEXT(Regen!A214,"000\,")&amp;TEXT(Regen!B214,"?00000000")&amp;TEXT(Regen!C214,""",""?0")&amp;SUBSTITUTE(TEXT(Regen!D214,""",""????0;"",""???-0;"",""????0;"", ////"""),"'","""")&amp;SUBSTITUTE(TEXT(Regen!E214,""",""?00;"",""?-00;"",""?00;"", //"""),"'","""")</f>
        <v>081, 19400731, 1,    0, 00</v>
      </c>
    </row>
    <row r="215" spans="1:1" x14ac:dyDescent="0.25">
      <c r="A215" s="25" t="str">
        <f ca="1">TEXT(Regen!A215,"000\,")&amp;TEXT(Regen!B215,"?00000000")&amp;TEXT(Regen!C215,""",""?0")&amp;SUBSTITUTE(TEXT(Regen!D215,""",""????0;"",""???-0;"",""????0;"", ////"""),"'","""")&amp;SUBSTITUTE(TEXT(Regen!E215,""",""?00;"",""?-00;"",""?00;"", //"""),"'","""")</f>
        <v>081, 19400801, 1,    0, 00</v>
      </c>
    </row>
    <row r="216" spans="1:1" x14ac:dyDescent="0.25">
      <c r="A216" s="25" t="str">
        <f ca="1">TEXT(Regen!A216,"000\,")&amp;TEXT(Regen!B216,"?00000000")&amp;TEXT(Regen!C216,""",""?0")&amp;SUBSTITUTE(TEXT(Regen!D216,""",""????0;"",""???-0;"",""????0;"", ////"""),"'","""")&amp;SUBSTITUTE(TEXT(Regen!E216,""",""?00;"",""?-00;"",""?00;"", //"""),"'","""")</f>
        <v>081, 19400802, 1,   16, 00</v>
      </c>
    </row>
    <row r="217" spans="1:1" x14ac:dyDescent="0.25">
      <c r="A217" s="25" t="str">
        <f ca="1">TEXT(Regen!A217,"000\,")&amp;TEXT(Regen!B217,"?00000000")&amp;TEXT(Regen!C217,""",""?0")&amp;SUBSTITUTE(TEXT(Regen!D217,""",""????0;"",""???-0;"",""????0;"", ////"""),"'","""")&amp;SUBSTITUTE(TEXT(Regen!E217,""",""?00;"",""?-00;"",""?00;"", //"""),"'","""")</f>
        <v>081, 19400803, 1,   40, 00</v>
      </c>
    </row>
    <row r="218" spans="1:1" x14ac:dyDescent="0.25">
      <c r="A218" s="25" t="str">
        <f ca="1">TEXT(Regen!A218,"000\,")&amp;TEXT(Regen!B218,"?00000000")&amp;TEXT(Regen!C218,""",""?0")&amp;SUBSTITUTE(TEXT(Regen!D218,""",""????0;"",""???-0;"",""????0;"", ////"""),"'","""")&amp;SUBSTITUTE(TEXT(Regen!E218,""",""?00;"",""?-00;"",""?00;"", //"""),"'","""")</f>
        <v>081, 19400804, 1,    0, 00</v>
      </c>
    </row>
    <row r="219" spans="1:1" x14ac:dyDescent="0.25">
      <c r="A219" s="25" t="str">
        <f ca="1">TEXT(Regen!A219,"000\,")&amp;TEXT(Regen!B219,"?00000000")&amp;TEXT(Regen!C219,""",""?0")&amp;SUBSTITUTE(TEXT(Regen!D219,""",""????0;"",""???-0;"",""????0;"", ////"""),"'","""")&amp;SUBSTITUTE(TEXT(Regen!E219,""",""?00;"",""?-00;"",""?00;"", //"""),"'","""")</f>
        <v>081, 19400805, 1,  323, 00</v>
      </c>
    </row>
    <row r="220" spans="1:1" x14ac:dyDescent="0.25">
      <c r="A220" s="25" t="str">
        <f ca="1">TEXT(Regen!A220,"000\,")&amp;TEXT(Regen!B220,"?00000000")&amp;TEXT(Regen!C220,""",""?0")&amp;SUBSTITUTE(TEXT(Regen!D220,""",""????0;"",""???-0;"",""????0;"", ////"""),"'","""")&amp;SUBSTITUTE(TEXT(Regen!E220,""",""?00;"",""?-00;"",""?00;"", //"""),"'","""")</f>
        <v>081, 19400806, 1,   43, 00</v>
      </c>
    </row>
    <row r="221" spans="1:1" x14ac:dyDescent="0.25">
      <c r="A221" s="25" t="str">
        <f ca="1">TEXT(Regen!A221,"000\,")&amp;TEXT(Regen!B221,"?00000000")&amp;TEXT(Regen!C221,""",""?0")&amp;SUBSTITUTE(TEXT(Regen!D221,""",""????0;"",""???-0;"",""????0;"", ////"""),"'","""")&amp;SUBSTITUTE(TEXT(Regen!E221,""",""?00;"",""?-00;"",""?00;"", //"""),"'","""")</f>
        <v>081, 19400807, 1,    0, 00</v>
      </c>
    </row>
    <row r="222" spans="1:1" x14ac:dyDescent="0.25">
      <c r="A222" s="25" t="str">
        <f ca="1">TEXT(Regen!A222,"000\,")&amp;TEXT(Regen!B222,"?00000000")&amp;TEXT(Regen!C222,""",""?0")&amp;SUBSTITUTE(TEXT(Regen!D222,""",""????0;"",""???-0;"",""????0;"", ////"""),"'","""")&amp;SUBSTITUTE(TEXT(Regen!E222,""",""?00;"",""?-00;"",""?00;"", //"""),"'","""")</f>
        <v>081, 19400808, 1,    0, 00</v>
      </c>
    </row>
    <row r="223" spans="1:1" x14ac:dyDescent="0.25">
      <c r="A223" s="25" t="str">
        <f ca="1">TEXT(Regen!A223,"000\,")&amp;TEXT(Regen!B223,"?00000000")&amp;TEXT(Regen!C223,""",""?0")&amp;SUBSTITUTE(TEXT(Regen!D223,""",""????0;"",""???-0;"",""????0;"", ////"""),"'","""")&amp;SUBSTITUTE(TEXT(Regen!E223,""",""?00;"",""?-00;"",""?00;"", //"""),"'","""")</f>
        <v>081, 19400809, 1,    0, 00</v>
      </c>
    </row>
    <row r="224" spans="1:1" x14ac:dyDescent="0.25">
      <c r="A224" s="25" t="str">
        <f ca="1">TEXT(Regen!A224,"000\,")&amp;TEXT(Regen!B224,"?00000000")&amp;TEXT(Regen!C224,""",""?0")&amp;SUBSTITUTE(TEXT(Regen!D224,""",""????0;"",""???-0;"",""????0;"", ////"""),"'","""")&amp;SUBSTITUTE(TEXT(Regen!E224,""",""?00;"",""?-00;"",""?00;"", //"""),"'","""")</f>
        <v>081, 19400810, 1,    0, 00</v>
      </c>
    </row>
    <row r="225" spans="1:1" x14ac:dyDescent="0.25">
      <c r="A225" s="25" t="str">
        <f ca="1">TEXT(Regen!A225,"000\,")&amp;TEXT(Regen!B225,"?00000000")&amp;TEXT(Regen!C225,""",""?0")&amp;SUBSTITUTE(TEXT(Regen!D225,""",""????0;"",""???-0;"",""????0;"", ////"""),"'","""")&amp;SUBSTITUTE(TEXT(Regen!E225,""",""?00;"",""?-00;"",""?00;"", //"""),"'","""")</f>
        <v>081, 19400811, 1,    0, 00</v>
      </c>
    </row>
    <row r="226" spans="1:1" x14ac:dyDescent="0.25">
      <c r="A226" s="25" t="str">
        <f ca="1">TEXT(Regen!A226,"000\,")&amp;TEXT(Regen!B226,"?00000000")&amp;TEXT(Regen!C226,""",""?0")&amp;SUBSTITUTE(TEXT(Regen!D226,""",""????0;"",""???-0;"",""????0;"", ////"""),"'","""")&amp;SUBSTITUTE(TEXT(Regen!E226,""",""?00;"",""?-00;"",""?00;"", //"""),"'","""")</f>
        <v>081, 19400812, 1,   55, 00</v>
      </c>
    </row>
    <row r="227" spans="1:1" x14ac:dyDescent="0.25">
      <c r="A227" s="25" t="str">
        <f ca="1">TEXT(Regen!A227,"000\,")&amp;TEXT(Regen!B227,"?00000000")&amp;TEXT(Regen!C227,""",""?0")&amp;SUBSTITUTE(TEXT(Regen!D227,""",""????0;"",""???-0;"",""????0;"", ////"""),"'","""")&amp;SUBSTITUTE(TEXT(Regen!E227,""",""?00;"",""?-00;"",""?00;"", //"""),"'","""")</f>
        <v>081, 19400813, 1,    0, 00</v>
      </c>
    </row>
    <row r="228" spans="1:1" x14ac:dyDescent="0.25">
      <c r="A228" s="25" t="str">
        <f ca="1">TEXT(Regen!A228,"000\,")&amp;TEXT(Regen!B228,"?00000000")&amp;TEXT(Regen!C228,""",""?0")&amp;SUBSTITUTE(TEXT(Regen!D228,""",""????0;"",""???-0;"",""????0;"", ////"""),"'","""")&amp;SUBSTITUTE(TEXT(Regen!E228,""",""?00;"",""?-00;"",""?00;"", //"""),"'","""")</f>
        <v>081, 19400814, 1,    0, 00</v>
      </c>
    </row>
    <row r="229" spans="1:1" x14ac:dyDescent="0.25">
      <c r="A229" s="25" t="str">
        <f ca="1">TEXT(Regen!A229,"000\,")&amp;TEXT(Regen!B229,"?00000000")&amp;TEXT(Regen!C229,""",""?0")&amp;SUBSTITUTE(TEXT(Regen!D229,""",""????0;"",""???-0;"",""????0;"", ////"""),"'","""")&amp;SUBSTITUTE(TEXT(Regen!E229,""",""?00;"",""?-00;"",""?00;"", //"""),"'","""")</f>
        <v>081, 19400815, 1,    0, 00</v>
      </c>
    </row>
    <row r="230" spans="1:1" x14ac:dyDescent="0.25">
      <c r="A230" s="25" t="str">
        <f ca="1">TEXT(Regen!A230,"000\,")&amp;TEXT(Regen!B230,"?00000000")&amp;TEXT(Regen!C230,""",""?0")&amp;SUBSTITUTE(TEXT(Regen!D230,""",""????0;"",""???-0;"",""????0;"", ////"""),"'","""")&amp;SUBSTITUTE(TEXT(Regen!E230,""",""?00;"",""?-00;"",""?00;"", //"""),"'","""")</f>
        <v>081, 19400816, 1,    0, 00</v>
      </c>
    </row>
    <row r="231" spans="1:1" x14ac:dyDescent="0.25">
      <c r="A231" s="25" t="str">
        <f ca="1">TEXT(Regen!A231,"000\,")&amp;TEXT(Regen!B231,"?00000000")&amp;TEXT(Regen!C231,""",""?0")&amp;SUBSTITUTE(TEXT(Regen!D231,""",""????0;"",""???-0;"",""????0;"", ////"""),"'","""")&amp;SUBSTITUTE(TEXT(Regen!E231,""",""?00;"",""?-00;"",""?00;"", //"""),"'","""")</f>
        <v>081, 19400817, 1,    0, 00</v>
      </c>
    </row>
    <row r="232" spans="1:1" x14ac:dyDescent="0.25">
      <c r="A232" s="25" t="str">
        <f ca="1">TEXT(Regen!A232,"000\,")&amp;TEXT(Regen!B232,"?00000000")&amp;TEXT(Regen!C232,""",""?0")&amp;SUBSTITUTE(TEXT(Regen!D232,""",""????0;"",""???-0;"",""????0;"", ////"""),"'","""")&amp;SUBSTITUTE(TEXT(Regen!E232,""",""?00;"",""?-00;"",""?00;"", //"""),"'","""")</f>
        <v>081, 19400818, 1,    0, 00</v>
      </c>
    </row>
    <row r="233" spans="1:1" x14ac:dyDescent="0.25">
      <c r="A233" s="25" t="str">
        <f ca="1">TEXT(Regen!A233,"000\,")&amp;TEXT(Regen!B233,"?00000000")&amp;TEXT(Regen!C233,""",""?0")&amp;SUBSTITUTE(TEXT(Regen!D233,""",""????0;"",""???-0;"",""????0;"", ////"""),"'","""")&amp;SUBSTITUTE(TEXT(Regen!E233,""",""?00;"",""?-00;"",""?00;"", //"""),"'","""")</f>
        <v>081, 19400819, 1,  114, 00</v>
      </c>
    </row>
    <row r="234" spans="1:1" x14ac:dyDescent="0.25">
      <c r="A234" s="25" t="str">
        <f ca="1">TEXT(Regen!A234,"000\,")&amp;TEXT(Regen!B234,"?00000000")&amp;TEXT(Regen!C234,""",""?0")&amp;SUBSTITUTE(TEXT(Regen!D234,""",""????0;"",""???-0;"",""????0;"", ////"""),"'","""")&amp;SUBSTITUTE(TEXT(Regen!E234,""",""?00;"",""?-00;"",""?00;"", //"""),"'","""")</f>
        <v>081, 19400820, 1,    0, 00</v>
      </c>
    </row>
    <row r="235" spans="1:1" x14ac:dyDescent="0.25">
      <c r="A235" s="25" t="str">
        <f ca="1">TEXT(Regen!A235,"000\,")&amp;TEXT(Regen!B235,"?00000000")&amp;TEXT(Regen!C235,""",""?0")&amp;SUBSTITUTE(TEXT(Regen!D235,""",""????0;"",""???-0;"",""????0;"", ////"""),"'","""")&amp;SUBSTITUTE(TEXT(Regen!E235,""",""?00;"",""?-00;"",""?00;"", //"""),"'","""")</f>
        <v>081, 19400821, 1,    0, 00</v>
      </c>
    </row>
    <row r="236" spans="1:1" x14ac:dyDescent="0.25">
      <c r="A236" s="25" t="str">
        <f ca="1">TEXT(Regen!A236,"000\,")&amp;TEXT(Regen!B236,"?00000000")&amp;TEXT(Regen!C236,""",""?0")&amp;SUBSTITUTE(TEXT(Regen!D236,""",""????0;"",""???-0;"",""????0;"", ////"""),"'","""")&amp;SUBSTITUTE(TEXT(Regen!E236,""",""?00;"",""?-00;"",""?00;"", //"""),"'","""")</f>
        <v>081, 19400822, 1,    0, 00</v>
      </c>
    </row>
    <row r="237" spans="1:1" x14ac:dyDescent="0.25">
      <c r="A237" s="25" t="str">
        <f ca="1">TEXT(Regen!A237,"000\,")&amp;TEXT(Regen!B237,"?00000000")&amp;TEXT(Regen!C237,""",""?0")&amp;SUBSTITUTE(TEXT(Regen!D237,""",""????0;"",""???-0;"",""????0;"", ////"""),"'","""")&amp;SUBSTITUTE(TEXT(Regen!E237,""",""?00;"",""?-00;"",""?00;"", //"""),"'","""")</f>
        <v>081, 19400823, 1,    0, 00</v>
      </c>
    </row>
    <row r="238" spans="1:1" x14ac:dyDescent="0.25">
      <c r="A238" s="25" t="str">
        <f ca="1">TEXT(Regen!A238,"000\,")&amp;TEXT(Regen!B238,"?00000000")&amp;TEXT(Regen!C238,""",""?0")&amp;SUBSTITUTE(TEXT(Regen!D238,""",""????0;"",""???-0;"",""????0;"", ////"""),"'","""")&amp;SUBSTITUTE(TEXT(Regen!E238,""",""?00;"",""?-00;"",""?00;"", //"""),"'","""")</f>
        <v>081, 19400824, 1,    0, 00</v>
      </c>
    </row>
    <row r="239" spans="1:1" x14ac:dyDescent="0.25">
      <c r="A239" s="25" t="str">
        <f ca="1">TEXT(Regen!A239,"000\,")&amp;TEXT(Regen!B239,"?00000000")&amp;TEXT(Regen!C239,""",""?0")&amp;SUBSTITUTE(TEXT(Regen!D239,""",""????0;"",""???-0;"",""????0;"", ////"""),"'","""")&amp;SUBSTITUTE(TEXT(Regen!E239,""",""?00;"",""?-00;"",""?00;"", //"""),"'","""")</f>
        <v>081, 19400825, 1,   20, 00</v>
      </c>
    </row>
    <row r="240" spans="1:1" x14ac:dyDescent="0.25">
      <c r="A240" s="25" t="str">
        <f ca="1">TEXT(Regen!A240,"000\,")&amp;TEXT(Regen!B240,"?00000000")&amp;TEXT(Regen!C240,""",""?0")&amp;SUBSTITUTE(TEXT(Regen!D240,""",""????0;"",""???-0;"",""????0;"", ////"""),"'","""")&amp;SUBSTITUTE(TEXT(Regen!E240,""",""?00;"",""?-00;"",""?00;"", //"""),"'","""")</f>
        <v>081, 19400826, 1,    0, 00</v>
      </c>
    </row>
    <row r="241" spans="1:1" x14ac:dyDescent="0.25">
      <c r="A241" s="25" t="str">
        <f ca="1">TEXT(Regen!A241,"000\,")&amp;TEXT(Regen!B241,"?00000000")&amp;TEXT(Regen!C241,""",""?0")&amp;SUBSTITUTE(TEXT(Regen!D241,""",""????0;"",""???-0;"",""????0;"", ////"""),"'","""")&amp;SUBSTITUTE(TEXT(Regen!E241,""",""?00;"",""?-00;"",""?00;"", //"""),"'","""")</f>
        <v>081, 19400827, 1,   10, 00</v>
      </c>
    </row>
    <row r="242" spans="1:1" x14ac:dyDescent="0.25">
      <c r="A242" s="25" t="str">
        <f ca="1">TEXT(Regen!A242,"000\,")&amp;TEXT(Regen!B242,"?00000000")&amp;TEXT(Regen!C242,""",""?0")&amp;SUBSTITUTE(TEXT(Regen!D242,""",""????0;"",""???-0;"",""????0;"", ////"""),"'","""")&amp;SUBSTITUTE(TEXT(Regen!E242,""",""?00;"",""?-00;"",""?00;"", //"""),"'","""")</f>
        <v>081, 19400828, 1,    0, 00</v>
      </c>
    </row>
    <row r="243" spans="1:1" x14ac:dyDescent="0.25">
      <c r="A243" s="25" t="str">
        <f ca="1">TEXT(Regen!A243,"000\,")&amp;TEXT(Regen!B243,"?00000000")&amp;TEXT(Regen!C243,""",""?0")&amp;SUBSTITUTE(TEXT(Regen!D243,""",""????0;"",""???-0;"",""????0;"", ////"""),"'","""")&amp;SUBSTITUTE(TEXT(Regen!E243,""",""?00;"",""?-00;"",""?00;"", //"""),"'","""")</f>
        <v>081, 19400829, 1,    0, 00</v>
      </c>
    </row>
    <row r="244" spans="1:1" x14ac:dyDescent="0.25">
      <c r="A244" s="25" t="str">
        <f ca="1">TEXT(Regen!A244,"000\,")&amp;TEXT(Regen!B244,"?00000000")&amp;TEXT(Regen!C244,""",""?0")&amp;SUBSTITUTE(TEXT(Regen!D244,""",""????0;"",""???-0;"",""????0;"", ////"""),"'","""")&amp;SUBSTITUTE(TEXT(Regen!E244,""",""?00;"",""?-00;"",""?00;"", //"""),"'","""")</f>
        <v>081, 19400830, 1,    0, 00</v>
      </c>
    </row>
    <row r="245" spans="1:1" x14ac:dyDescent="0.25">
      <c r="A245" s="25" t="str">
        <f ca="1">TEXT(Regen!A245,"000\,")&amp;TEXT(Regen!B245,"?00000000")&amp;TEXT(Regen!C245,""",""?0")&amp;SUBSTITUTE(TEXT(Regen!D245,""",""????0;"",""???-0;"",""????0;"", ////"""),"'","""")&amp;SUBSTITUTE(TEXT(Regen!E245,""",""?00;"",""?-00;"",""?00;"", //"""),"'","""")</f>
        <v>081, 19400831, 1,  290, 00</v>
      </c>
    </row>
    <row r="246" spans="1:1" x14ac:dyDescent="0.25">
      <c r="A246" s="25" t="str">
        <f ca="1">TEXT(Regen!A246,"000\,")&amp;TEXT(Regen!B246,"?00000000")&amp;TEXT(Regen!C246,""",""?0")&amp;SUBSTITUTE(TEXT(Regen!D246,""",""????0;"",""???-0;"",""????0;"", ////"""),"'","""")&amp;SUBSTITUTE(TEXT(Regen!E246,""",""?00;"",""?-00;"",""?00;"", //"""),"'","""")</f>
        <v>081, 19400901, 1,    0, 00</v>
      </c>
    </row>
    <row r="247" spans="1:1" x14ac:dyDescent="0.25">
      <c r="A247" s="25" t="str">
        <f ca="1">TEXT(Regen!A247,"000\,")&amp;TEXT(Regen!B247,"?00000000")&amp;TEXT(Regen!C247,""",""?0")&amp;SUBSTITUTE(TEXT(Regen!D247,""",""????0;"",""???-0;"",""????0;"", ////"""),"'","""")&amp;SUBSTITUTE(TEXT(Regen!E247,""",""?00;"",""?-00;"",""?00;"", //"""),"'","""")</f>
        <v>081, 19400902, 1,    0, 00</v>
      </c>
    </row>
    <row r="248" spans="1:1" x14ac:dyDescent="0.25">
      <c r="A248" s="25" t="str">
        <f ca="1">TEXT(Regen!A248,"000\,")&amp;TEXT(Regen!B248,"?00000000")&amp;TEXT(Regen!C248,""",""?0")&amp;SUBSTITUTE(TEXT(Regen!D248,""",""????0;"",""???-0;"",""????0;"", ////"""),"'","""")&amp;SUBSTITUTE(TEXT(Regen!E248,""",""?00;"",""?-00;"",""?00;"", //"""),"'","""")</f>
        <v>081, 19400903, 1,    0, 00</v>
      </c>
    </row>
    <row r="249" spans="1:1" x14ac:dyDescent="0.25">
      <c r="A249" s="25" t="str">
        <f ca="1">TEXT(Regen!A249,"000\,")&amp;TEXT(Regen!B249,"?00000000")&amp;TEXT(Regen!C249,""",""?0")&amp;SUBSTITUTE(TEXT(Regen!D249,""",""????0;"",""???-0;"",""????0;"", ////"""),"'","""")&amp;SUBSTITUTE(TEXT(Regen!E249,""",""?00;"",""?-00;"",""?00;"", //"""),"'","""")</f>
        <v>081, 19400904, 1,    0, 00</v>
      </c>
    </row>
    <row r="250" spans="1:1" x14ac:dyDescent="0.25">
      <c r="A250" s="25" t="str">
        <f ca="1">TEXT(Regen!A250,"000\,")&amp;TEXT(Regen!B250,"?00000000")&amp;TEXT(Regen!C250,""",""?0")&amp;SUBSTITUTE(TEXT(Regen!D250,""",""????0;"",""???-0;"",""????0;"", ////"""),"'","""")&amp;SUBSTITUTE(TEXT(Regen!E250,""",""?00;"",""?-00;"",""?00;"", //"""),"'","""")</f>
        <v>081, 19400905, 1,    0, 00</v>
      </c>
    </row>
    <row r="251" spans="1:1" x14ac:dyDescent="0.25">
      <c r="A251" s="25" t="str">
        <f ca="1">TEXT(Regen!A251,"000\,")&amp;TEXT(Regen!B251,"?00000000")&amp;TEXT(Regen!C251,""",""?0")&amp;SUBSTITUTE(TEXT(Regen!D251,""",""????0;"",""???-0;"",""????0;"", ////"""),"'","""")&amp;SUBSTITUTE(TEXT(Regen!E251,""",""?00;"",""?-00;"",""?00;"", //"""),"'","""")</f>
        <v>081, 19400906, 1,  305, 00</v>
      </c>
    </row>
    <row r="252" spans="1:1" x14ac:dyDescent="0.25">
      <c r="A252" s="25" t="str">
        <f ca="1">TEXT(Regen!A252,"000\,")&amp;TEXT(Regen!B252,"?00000000")&amp;TEXT(Regen!C252,""",""?0")&amp;SUBSTITUTE(TEXT(Regen!D252,""",""????0;"",""???-0;"",""????0;"", ////"""),"'","""")&amp;SUBSTITUTE(TEXT(Regen!E252,""",""?00;"",""?-00;"",""?00;"", //"""),"'","""")</f>
        <v>081, 19400907, 1,   85, 00</v>
      </c>
    </row>
    <row r="253" spans="1:1" x14ac:dyDescent="0.25">
      <c r="A253" s="25" t="str">
        <f ca="1">TEXT(Regen!A253,"000\,")&amp;TEXT(Regen!B253,"?00000000")&amp;TEXT(Regen!C253,""",""?0")&amp;SUBSTITUTE(TEXT(Regen!D253,""",""????0;"",""???-0;"",""????0;"", ////"""),"'","""")&amp;SUBSTITUTE(TEXT(Regen!E253,""",""?00;"",""?-00;"",""?00;"", //"""),"'","""")</f>
        <v>081, 19400908, 1,    0, 00</v>
      </c>
    </row>
    <row r="254" spans="1:1" x14ac:dyDescent="0.25">
      <c r="A254" s="25" t="str">
        <f ca="1">TEXT(Regen!A254,"000\,")&amp;TEXT(Regen!B254,"?00000000")&amp;TEXT(Regen!C254,""",""?0")&amp;SUBSTITUTE(TEXT(Regen!D254,""",""????0;"",""???-0;"",""????0;"", ////"""),"'","""")&amp;SUBSTITUTE(TEXT(Regen!E254,""",""?00;"",""?-00;"",""?00;"", //"""),"'","""")</f>
        <v>081, 19400909, 1,    0, 00</v>
      </c>
    </row>
    <row r="255" spans="1:1" x14ac:dyDescent="0.25">
      <c r="A255" s="25" t="str">
        <f ca="1">TEXT(Regen!A255,"000\,")&amp;TEXT(Regen!B255,"?00000000")&amp;TEXT(Regen!C255,""",""?0")&amp;SUBSTITUTE(TEXT(Regen!D255,""",""????0;"",""???-0;"",""????0;"", ////"""),"'","""")&amp;SUBSTITUTE(TEXT(Regen!E255,""",""?00;"",""?-00;"",""?00;"", //"""),"'","""")</f>
        <v>081, 19400910, 1,    0, 00</v>
      </c>
    </row>
    <row r="256" spans="1:1" x14ac:dyDescent="0.25">
      <c r="A256" s="25" t="str">
        <f ca="1">TEXT(Regen!A256,"000\,")&amp;TEXT(Regen!B256,"?00000000")&amp;TEXT(Regen!C256,""",""?0")&amp;SUBSTITUTE(TEXT(Regen!D256,""",""????0;"",""???-0;"",""????0;"", ////"""),"'","""")&amp;SUBSTITUTE(TEXT(Regen!E256,""",""?00;"",""?-00;"",""?00;"", //"""),"'","""")</f>
        <v>081, 19400911, 1,    0, 00</v>
      </c>
    </row>
    <row r="257" spans="1:1" x14ac:dyDescent="0.25">
      <c r="A257" s="25" t="str">
        <f ca="1">TEXT(Regen!A257,"000\,")&amp;TEXT(Regen!B257,"?00000000")&amp;TEXT(Regen!C257,""",""?0")&amp;SUBSTITUTE(TEXT(Regen!D257,""",""????0;"",""???-0;"",""????0;"", ////"""),"'","""")&amp;SUBSTITUTE(TEXT(Regen!E257,""",""?00;"",""?-00;"",""?00;"", //"""),"'","""")</f>
        <v>081, 19400912, 1,    0, 00</v>
      </c>
    </row>
    <row r="258" spans="1:1" x14ac:dyDescent="0.25">
      <c r="A258" s="25" t="str">
        <f ca="1">TEXT(Regen!A258,"000\,")&amp;TEXT(Regen!B258,"?00000000")&amp;TEXT(Regen!C258,""",""?0")&amp;SUBSTITUTE(TEXT(Regen!D258,""",""????0;"",""???-0;"",""????0;"", ////"""),"'","""")&amp;SUBSTITUTE(TEXT(Regen!E258,""",""?00;"",""?-00;"",""?00;"", //"""),"'","""")</f>
        <v>081, 19400913, 1,    0, 00</v>
      </c>
    </row>
    <row r="259" spans="1:1" x14ac:dyDescent="0.25">
      <c r="A259" s="25" t="str">
        <f ca="1">TEXT(Regen!A259,"000\,")&amp;TEXT(Regen!B259,"?00000000")&amp;TEXT(Regen!C259,""",""?0")&amp;SUBSTITUTE(TEXT(Regen!D259,""",""????0;"",""???-0;"",""????0;"", ////"""),"'","""")&amp;SUBSTITUTE(TEXT(Regen!E259,""",""?00;"",""?-00;"",""?00;"", //"""),"'","""")</f>
        <v>081, 19400914, 1,    0, 00</v>
      </c>
    </row>
    <row r="260" spans="1:1" x14ac:dyDescent="0.25">
      <c r="A260" s="25" t="str">
        <f ca="1">TEXT(Regen!A260,"000\,")&amp;TEXT(Regen!B260,"?00000000")&amp;TEXT(Regen!C260,""",""?0")&amp;SUBSTITUTE(TEXT(Regen!D260,""",""????0;"",""???-0;"",""????0;"", ////"""),"'","""")&amp;SUBSTITUTE(TEXT(Regen!E260,""",""?00;"",""?-00;"",""?00;"", //"""),"'","""")</f>
        <v>081, 19400915, 1,    0, 00</v>
      </c>
    </row>
    <row r="261" spans="1:1" x14ac:dyDescent="0.25">
      <c r="A261" s="25" t="str">
        <f ca="1">TEXT(Regen!A261,"000\,")&amp;TEXT(Regen!B261,"?00000000")&amp;TEXT(Regen!C261,""",""?0")&amp;SUBSTITUTE(TEXT(Regen!D261,""",""????0;"",""???-0;"",""????0;"", ////"""),"'","""")&amp;SUBSTITUTE(TEXT(Regen!E261,""",""?00;"",""?-00;"",""?00;"", //"""),"'","""")</f>
        <v>081, 19400916, 1,    0, 00</v>
      </c>
    </row>
    <row r="262" spans="1:1" x14ac:dyDescent="0.25">
      <c r="A262" s="25" t="str">
        <f ca="1">TEXT(Regen!A262,"000\,")&amp;TEXT(Regen!B262,"?00000000")&amp;TEXT(Regen!C262,""",""?0")&amp;SUBSTITUTE(TEXT(Regen!D262,""",""????0;"",""???-0;"",""????0;"", ////"""),"'","""")&amp;SUBSTITUTE(TEXT(Regen!E262,""",""?00;"",""?-00;"",""?00;"", //"""),"'","""")</f>
        <v>081, 19400917, 1,  100, 00</v>
      </c>
    </row>
    <row r="263" spans="1:1" x14ac:dyDescent="0.25">
      <c r="A263" s="25" t="str">
        <f ca="1">TEXT(Regen!A263,"000\,")&amp;TEXT(Regen!B263,"?00000000")&amp;TEXT(Regen!C263,""",""?0")&amp;SUBSTITUTE(TEXT(Regen!D263,""",""????0;"",""???-0;"",""????0;"", ////"""),"'","""")&amp;SUBSTITUTE(TEXT(Regen!E263,""",""?00;"",""?-00;"",""?00;"", //"""),"'","""")</f>
        <v>081, 19400918, 1,  150, 00</v>
      </c>
    </row>
    <row r="264" spans="1:1" x14ac:dyDescent="0.25">
      <c r="A264" s="25" t="str">
        <f ca="1">TEXT(Regen!A264,"000\,")&amp;TEXT(Regen!B264,"?00000000")&amp;TEXT(Regen!C264,""",""?0")&amp;SUBSTITUTE(TEXT(Regen!D264,""",""????0;"",""???-0;"",""????0;"", ////"""),"'","""")&amp;SUBSTITUTE(TEXT(Regen!E264,""",""?00;"",""?-00;"",""?00;"", //"""),"'","""")</f>
        <v>081, 19400919, 1,    0, 00</v>
      </c>
    </row>
    <row r="265" spans="1:1" x14ac:dyDescent="0.25">
      <c r="A265" s="25" t="str">
        <f ca="1">TEXT(Regen!A265,"000\,")&amp;TEXT(Regen!B265,"?00000000")&amp;TEXT(Regen!C265,""",""?0")&amp;SUBSTITUTE(TEXT(Regen!D265,""",""????0;"",""???-0;"",""????0;"", ////"""),"'","""")&amp;SUBSTITUTE(TEXT(Regen!E265,""",""?00;"",""?-00;"",""?00;"", //"""),"'","""")</f>
        <v>081, 19400920, 1,    0, 00</v>
      </c>
    </row>
    <row r="266" spans="1:1" x14ac:dyDescent="0.25">
      <c r="A266" s="25" t="str">
        <f ca="1">TEXT(Regen!A266,"000\,")&amp;TEXT(Regen!B266,"?00000000")&amp;TEXT(Regen!C266,""",""?0")&amp;SUBSTITUTE(TEXT(Regen!D266,""",""????0;"",""???-0;"",""????0;"", ////"""),"'","""")&amp;SUBSTITUTE(TEXT(Regen!E266,""",""?00;"",""?-00;"",""?00;"", //"""),"'","""")</f>
        <v>081, 19400921, 1,   50, 00</v>
      </c>
    </row>
    <row r="267" spans="1:1" x14ac:dyDescent="0.25">
      <c r="A267" s="25" t="str">
        <f ca="1">TEXT(Regen!A267,"000\,")&amp;TEXT(Regen!B267,"?00000000")&amp;TEXT(Regen!C267,""",""?0")&amp;SUBSTITUTE(TEXT(Regen!D267,""",""????0;"",""???-0;"",""????0;"", ////"""),"'","""")&amp;SUBSTITUTE(TEXT(Regen!E267,""",""?00;"",""?-00;"",""?00;"", //"""),"'","""")</f>
        <v>081, 19400922, 1,    0, 00</v>
      </c>
    </row>
    <row r="268" spans="1:1" x14ac:dyDescent="0.25">
      <c r="A268" s="25" t="str">
        <f ca="1">TEXT(Regen!A268,"000\,")&amp;TEXT(Regen!B268,"?00000000")&amp;TEXT(Regen!C268,""",""?0")&amp;SUBSTITUTE(TEXT(Regen!D268,""",""????0;"",""???-0;"",""????0;"", ////"""),"'","""")&amp;SUBSTITUTE(TEXT(Regen!E268,""",""?00;"",""?-00;"",""?00;"", //"""),"'","""")</f>
        <v>081, 19400923, 1,    0, 00</v>
      </c>
    </row>
    <row r="269" spans="1:1" x14ac:dyDescent="0.25">
      <c r="A269" s="25" t="str">
        <f ca="1">TEXT(Regen!A269,"000\,")&amp;TEXT(Regen!B269,"?00000000")&amp;TEXT(Regen!C269,""",""?0")&amp;SUBSTITUTE(TEXT(Regen!D269,""",""????0;"",""???-0;"",""????0;"", ////"""),"'","""")&amp;SUBSTITUTE(TEXT(Regen!E269,""",""?00;"",""?-00;"",""?00;"", //"""),"'","""")</f>
        <v>081, 19400924, 1,    0, 00</v>
      </c>
    </row>
    <row r="270" spans="1:1" x14ac:dyDescent="0.25">
      <c r="A270" s="25" t="str">
        <f ca="1">TEXT(Regen!A270,"000\,")&amp;TEXT(Regen!B270,"?00000000")&amp;TEXT(Regen!C270,""",""?0")&amp;SUBSTITUTE(TEXT(Regen!D270,""",""????0;"",""???-0;"",""????0;"", ////"""),"'","""")&amp;SUBSTITUTE(TEXT(Regen!E270,""",""?00;"",""?-00;"",""?00;"", //"""),"'","""")</f>
        <v>081, 19400925, 1,    0, 00</v>
      </c>
    </row>
    <row r="271" spans="1:1" x14ac:dyDescent="0.25">
      <c r="A271" s="25" t="str">
        <f ca="1">TEXT(Regen!A271,"000\,")&amp;TEXT(Regen!B271,"?00000000")&amp;TEXT(Regen!C271,""",""?0")&amp;SUBSTITUTE(TEXT(Regen!D271,""",""????0;"",""???-0;"",""????0;"", ////"""),"'","""")&amp;SUBSTITUTE(TEXT(Regen!E271,""",""?00;"",""?-00;"",""?00;"", //"""),"'","""")</f>
        <v>081, 19400926, 1,   45, 00</v>
      </c>
    </row>
    <row r="272" spans="1:1" x14ac:dyDescent="0.25">
      <c r="A272" s="25" t="str">
        <f ca="1">TEXT(Regen!A272,"000\,")&amp;TEXT(Regen!B272,"?00000000")&amp;TEXT(Regen!C272,""",""?0")&amp;SUBSTITUTE(TEXT(Regen!D272,""",""????0;"",""???-0;"",""????0;"", ////"""),"'","""")&amp;SUBSTITUTE(TEXT(Regen!E272,""",""?00;"",""?-00;"",""?00;"", //"""),"'","""")</f>
        <v>081, 19400927, 1,    0, 00</v>
      </c>
    </row>
    <row r="273" spans="1:1" x14ac:dyDescent="0.25">
      <c r="A273" s="25" t="str">
        <f ca="1">TEXT(Regen!A273,"000\,")&amp;TEXT(Regen!B273,"?00000000")&amp;TEXT(Regen!C273,""",""?0")&amp;SUBSTITUTE(TEXT(Regen!D273,""",""????0;"",""???-0;"",""????0;"", ////"""),"'","""")&amp;SUBSTITUTE(TEXT(Regen!E273,""",""?00;"",""?-00;"",""?00;"", //"""),"'","""")</f>
        <v>081, 19400928, 1,    5, 00</v>
      </c>
    </row>
    <row r="274" spans="1:1" x14ac:dyDescent="0.25">
      <c r="A274" s="25" t="str">
        <f ca="1">TEXT(Regen!A274,"000\,")&amp;TEXT(Regen!B274,"?00000000")&amp;TEXT(Regen!C274,""",""?0")&amp;SUBSTITUTE(TEXT(Regen!D274,""",""????0;"",""???-0;"",""????0;"", ////"""),"'","""")&amp;SUBSTITUTE(TEXT(Regen!E274,""",""?00;"",""?-00;"",""?00;"", //"""),"'","""")</f>
        <v>081, 19400929, 1,  480, 00</v>
      </c>
    </row>
    <row r="275" spans="1:1" x14ac:dyDescent="0.25">
      <c r="A275" s="25" t="str">
        <f ca="1">TEXT(Regen!A275,"000\,")&amp;TEXT(Regen!B275,"?00000000")&amp;TEXT(Regen!C275,""",""?0")&amp;SUBSTITUTE(TEXT(Regen!D275,""",""????0;"",""???-0;"",""????0;"", ////"""),"'","""")&amp;SUBSTITUTE(TEXT(Regen!E275,""",""?00;"",""?-00;"",""?00;"", //"""),"'","""")</f>
        <v>081, 19400930, 1,    0, 00</v>
      </c>
    </row>
    <row r="276" spans="1:1" x14ac:dyDescent="0.25">
      <c r="A276" s="25" t="str">
        <f ca="1">TEXT(Regen!A276,"000\,")&amp;TEXT(Regen!B276,"?00000000")&amp;TEXT(Regen!C276,""",""?0")&amp;SUBSTITUTE(TEXT(Regen!D276,""",""????0;"",""???-0;"",""????0;"", ////"""),"'","""")&amp;SUBSTITUTE(TEXT(Regen!E276,""",""?00;"",""?-00;"",""?00;"", //"""),"'","""")</f>
        <v>081, 19401001, 1,  165, 00</v>
      </c>
    </row>
    <row r="277" spans="1:1" x14ac:dyDescent="0.25">
      <c r="A277" s="25" t="str">
        <f ca="1">TEXT(Regen!A277,"000\,")&amp;TEXT(Regen!B277,"?00000000")&amp;TEXT(Regen!C277,""",""?0")&amp;SUBSTITUTE(TEXT(Regen!D277,""",""????0;"",""???-0;"",""????0;"", ////"""),"'","""")&amp;SUBSTITUTE(TEXT(Regen!E277,""",""?00;"",""?-00;"",""?00;"", //"""),"'","""")</f>
        <v>081, 19401002, 1,    0, 00</v>
      </c>
    </row>
    <row r="278" spans="1:1" x14ac:dyDescent="0.25">
      <c r="A278" s="25" t="str">
        <f ca="1">TEXT(Regen!A278,"000\,")&amp;TEXT(Regen!B278,"?00000000")&amp;TEXT(Regen!C278,""",""?0")&amp;SUBSTITUTE(TEXT(Regen!D278,""",""????0;"",""???-0;"",""????0;"", ////"""),"'","""")&amp;SUBSTITUTE(TEXT(Regen!E278,""",""?00;"",""?-00;"",""?00;"", //"""),"'","""")</f>
        <v>081, 19401003, 1,  100, 00</v>
      </c>
    </row>
    <row r="279" spans="1:1" x14ac:dyDescent="0.25">
      <c r="A279" s="25" t="str">
        <f ca="1">TEXT(Regen!A279,"000\,")&amp;TEXT(Regen!B279,"?00000000")&amp;TEXT(Regen!C279,""",""?0")&amp;SUBSTITUTE(TEXT(Regen!D279,""",""????0;"",""???-0;"",""????0;"", ////"""),"'","""")&amp;SUBSTITUTE(TEXT(Regen!E279,""",""?00;"",""?-00;"",""?00;"", //"""),"'","""")</f>
        <v>081, 19401004, 1,    0, 00</v>
      </c>
    </row>
    <row r="280" spans="1:1" x14ac:dyDescent="0.25">
      <c r="A280" s="25" t="str">
        <f ca="1">TEXT(Regen!A280,"000\,")&amp;TEXT(Regen!B280,"?00000000")&amp;TEXT(Regen!C280,""",""?0")&amp;SUBSTITUTE(TEXT(Regen!D280,""",""????0;"",""???-0;"",""????0;"", ////"""),"'","""")&amp;SUBSTITUTE(TEXT(Regen!E280,""",""?00;"",""?-00;"",""?00;"", //"""),"'","""")</f>
        <v>081, 19401005, 1,    0, 00</v>
      </c>
    </row>
    <row r="281" spans="1:1" x14ac:dyDescent="0.25">
      <c r="A281" s="25" t="str">
        <f ca="1">TEXT(Regen!A281,"000\,")&amp;TEXT(Regen!B281,"?00000000")&amp;TEXT(Regen!C281,""",""?0")&amp;SUBSTITUTE(TEXT(Regen!D281,""",""????0;"",""???-0;"",""????0;"", ////"""),"'","""")&amp;SUBSTITUTE(TEXT(Regen!E281,""",""?00;"",""?-00;"",""?00;"", //"""),"'","""")</f>
        <v>081, 19401006, 1,    0, 00</v>
      </c>
    </row>
    <row r="282" spans="1:1" x14ac:dyDescent="0.25">
      <c r="A282" s="25" t="str">
        <f ca="1">TEXT(Regen!A282,"000\,")&amp;TEXT(Regen!B282,"?00000000")&amp;TEXT(Regen!C282,""",""?0")&amp;SUBSTITUTE(TEXT(Regen!D282,""",""????0;"",""???-0;"",""????0;"", ////"""),"'","""")&amp;SUBSTITUTE(TEXT(Regen!E282,""",""?00;"",""?-00;"",""?00;"", //"""),"'","""")</f>
        <v>081, 19401007, 1,    0, 00</v>
      </c>
    </row>
    <row r="283" spans="1:1" x14ac:dyDescent="0.25">
      <c r="A283" s="25" t="str">
        <f ca="1">TEXT(Regen!A283,"000\,")&amp;TEXT(Regen!B283,"?00000000")&amp;TEXT(Regen!C283,""",""?0")&amp;SUBSTITUTE(TEXT(Regen!D283,""",""????0;"",""???-0;"",""????0;"", ////"""),"'","""")&amp;SUBSTITUTE(TEXT(Regen!E283,""",""?00;"",""?-00;"",""?00;"", //"""),"'","""")</f>
        <v>081, 19401008, 1,    0, 00</v>
      </c>
    </row>
    <row r="284" spans="1:1" x14ac:dyDescent="0.25">
      <c r="A284" s="25" t="str">
        <f ca="1">TEXT(Regen!A284,"000\,")&amp;TEXT(Regen!B284,"?00000000")&amp;TEXT(Regen!C284,""",""?0")&amp;SUBSTITUTE(TEXT(Regen!D284,""",""????0;"",""???-0;"",""????0;"", ////"""),"'","""")&amp;SUBSTITUTE(TEXT(Regen!E284,""",""?00;"",""?-00;"",""?00;"", //"""),"'","""")</f>
        <v>081, 19401009, 1,    0, 00</v>
      </c>
    </row>
    <row r="285" spans="1:1" x14ac:dyDescent="0.25">
      <c r="A285" s="25" t="str">
        <f ca="1">TEXT(Regen!A285,"000\,")&amp;TEXT(Regen!B285,"?00000000")&amp;TEXT(Regen!C285,""",""?0")&amp;SUBSTITUTE(TEXT(Regen!D285,""",""????0;"",""???-0;"",""????0;"", ////"""),"'","""")&amp;SUBSTITUTE(TEXT(Regen!E285,""",""?00;"",""?-00;"",""?00;"", //"""),"'","""")</f>
        <v>081, 19401010, 1,    0, 00</v>
      </c>
    </row>
    <row r="286" spans="1:1" x14ac:dyDescent="0.25">
      <c r="A286" s="25" t="str">
        <f ca="1">TEXT(Regen!A286,"000\,")&amp;TEXT(Regen!B286,"?00000000")&amp;TEXT(Regen!C286,""",""?0")&amp;SUBSTITUTE(TEXT(Regen!D286,""",""????0;"",""???-0;"",""????0;"", ////"""),"'","""")&amp;SUBSTITUTE(TEXT(Regen!E286,""",""?00;"",""?-00;"",""?00;"", //"""),"'","""")</f>
        <v>081, 19401011, 1,    0, 00</v>
      </c>
    </row>
    <row r="287" spans="1:1" x14ac:dyDescent="0.25">
      <c r="A287" s="25" t="str">
        <f ca="1">TEXT(Regen!A287,"000\,")&amp;TEXT(Regen!B287,"?00000000")&amp;TEXT(Regen!C287,""",""?0")&amp;SUBSTITUTE(TEXT(Regen!D287,""",""????0;"",""???-0;"",""????0;"", ////"""),"'","""")&amp;SUBSTITUTE(TEXT(Regen!E287,""",""?00;"",""?-00;"",""?00;"", //"""),"'","""")</f>
        <v>081, 19401012, 1,   55, 00</v>
      </c>
    </row>
    <row r="288" spans="1:1" x14ac:dyDescent="0.25">
      <c r="A288" s="25" t="str">
        <f ca="1">TEXT(Regen!A288,"000\,")&amp;TEXT(Regen!B288,"?00000000")&amp;TEXT(Regen!C288,""",""?0")&amp;SUBSTITUTE(TEXT(Regen!D288,""",""????0;"",""???-0;"",""????0;"", ////"""),"'","""")&amp;SUBSTITUTE(TEXT(Regen!E288,""",""?00;"",""?-00;"",""?00;"", //"""),"'","""")</f>
        <v>081, 19401013, 1,  370, 00</v>
      </c>
    </row>
    <row r="289" spans="1:1" x14ac:dyDescent="0.25">
      <c r="A289" s="25" t="str">
        <f ca="1">TEXT(Regen!A289,"000\,")&amp;TEXT(Regen!B289,"?00000000")&amp;TEXT(Regen!C289,""",""?0")&amp;SUBSTITUTE(TEXT(Regen!D289,""",""????0;"",""???-0;"",""????0;"", ////"""),"'","""")&amp;SUBSTITUTE(TEXT(Regen!E289,""",""?00;"",""?-00;"",""?00;"", //"""),"'","""")</f>
        <v>081, 19401014, 1,  100, 00</v>
      </c>
    </row>
    <row r="290" spans="1:1" x14ac:dyDescent="0.25">
      <c r="A290" s="25" t="str">
        <f ca="1">TEXT(Regen!A290,"000\,")&amp;TEXT(Regen!B290,"?00000000")&amp;TEXT(Regen!C290,""",""?0")&amp;SUBSTITUTE(TEXT(Regen!D290,""",""????0;"",""???-0;"",""????0;"", ////"""),"'","""")&amp;SUBSTITUTE(TEXT(Regen!E290,""",""?00;"",""?-00;"",""?00;"", //"""),"'","""")</f>
        <v>081, 19401015, 1,  125, 00</v>
      </c>
    </row>
    <row r="291" spans="1:1" x14ac:dyDescent="0.25">
      <c r="A291" s="25" t="str">
        <f ca="1">TEXT(Regen!A291,"000\,")&amp;TEXT(Regen!B291,"?00000000")&amp;TEXT(Regen!C291,""",""?0")&amp;SUBSTITUTE(TEXT(Regen!D291,""",""????0;"",""???-0;"",""????0;"", ////"""),"'","""")&amp;SUBSTITUTE(TEXT(Regen!E291,""",""?00;"",""?-00;"",""?00;"", //"""),"'","""")</f>
        <v>081, 19401016, 1,   65, 00</v>
      </c>
    </row>
    <row r="292" spans="1:1" x14ac:dyDescent="0.25">
      <c r="A292" s="25" t="str">
        <f ca="1">TEXT(Regen!A292,"000\,")&amp;TEXT(Regen!B292,"?00000000")&amp;TEXT(Regen!C292,""",""?0")&amp;SUBSTITUTE(TEXT(Regen!D292,""",""????0;"",""???-0;"",""????0;"", ////"""),"'","""")&amp;SUBSTITUTE(TEXT(Regen!E292,""",""?00;"",""?-00;"",""?00;"", //"""),"'","""")</f>
        <v>081, 19401017, 1,  100, 00</v>
      </c>
    </row>
    <row r="293" spans="1:1" x14ac:dyDescent="0.25">
      <c r="A293" s="25" t="str">
        <f ca="1">TEXT(Regen!A293,"000\,")&amp;TEXT(Regen!B293,"?00000000")&amp;TEXT(Regen!C293,""",""?0")&amp;SUBSTITUTE(TEXT(Regen!D293,""",""????0;"",""???-0;"",""????0;"", ////"""),"'","""")&amp;SUBSTITUTE(TEXT(Regen!E293,""",""?00;"",""?-00;"",""?00;"", //"""),"'","""")</f>
        <v>081, 19401018, 1,   25, 00</v>
      </c>
    </row>
    <row r="294" spans="1:1" x14ac:dyDescent="0.25">
      <c r="A294" s="25" t="str">
        <f ca="1">TEXT(Regen!A294,"000\,")&amp;TEXT(Regen!B294,"?00000000")&amp;TEXT(Regen!C294,""",""?0")&amp;SUBSTITUTE(TEXT(Regen!D294,""",""????0;"",""???-0;"",""????0;"", ////"""),"'","""")&amp;SUBSTITUTE(TEXT(Regen!E294,""",""?00;"",""?-00;"",""?00;"", //"""),"'","""")</f>
        <v>081, 19401019, 1,    0, 00</v>
      </c>
    </row>
    <row r="295" spans="1:1" x14ac:dyDescent="0.25">
      <c r="A295" s="25" t="str">
        <f ca="1">TEXT(Regen!A295,"000\,")&amp;TEXT(Regen!B295,"?00000000")&amp;TEXT(Regen!C295,""",""?0")&amp;SUBSTITUTE(TEXT(Regen!D295,""",""????0;"",""???-0;"",""????0;"", ////"""),"'","""")&amp;SUBSTITUTE(TEXT(Regen!E295,""",""?00;"",""?-00;"",""?00;"", //"""),"'","""")</f>
        <v>081, 19401020, 1,    0, 00</v>
      </c>
    </row>
    <row r="296" spans="1:1" x14ac:dyDescent="0.25">
      <c r="A296" s="25" t="str">
        <f ca="1">TEXT(Regen!A296,"000\,")&amp;TEXT(Regen!B296,"?00000000")&amp;TEXT(Regen!C296,""",""?0")&amp;SUBSTITUTE(TEXT(Regen!D296,""",""????0;"",""???-0;"",""????0;"", ////"""),"'","""")&amp;SUBSTITUTE(TEXT(Regen!E296,""",""?00;"",""?-00;"",""?00;"", //"""),"'","""")</f>
        <v>081, 19401021, 1,   27, 00</v>
      </c>
    </row>
    <row r="297" spans="1:1" x14ac:dyDescent="0.25">
      <c r="A297" s="25" t="str">
        <f ca="1">TEXT(Regen!A297,"000\,")&amp;TEXT(Regen!B297,"?00000000")&amp;TEXT(Regen!C297,""",""?0")&amp;SUBSTITUTE(TEXT(Regen!D297,""",""????0;"",""???-0;"",""????0;"", ////"""),"'","""")&amp;SUBSTITUTE(TEXT(Regen!E297,""",""?00;"",""?-00;"",""?00;"", //"""),"'","""")</f>
        <v>081, 19401022, 1,    0, 00</v>
      </c>
    </row>
    <row r="298" spans="1:1" x14ac:dyDescent="0.25">
      <c r="A298" s="25" t="str">
        <f ca="1">TEXT(Regen!A298,"000\,")&amp;TEXT(Regen!B298,"?00000000")&amp;TEXT(Regen!C298,""",""?0")&amp;SUBSTITUTE(TEXT(Regen!D298,""",""????0;"",""???-0;"",""????0;"", ////"""),"'","""")&amp;SUBSTITUTE(TEXT(Regen!E298,""",""?00;"",""?-00;"",""?00;"", //"""),"'","""")</f>
        <v>081, 19401023, 1,    0, 00</v>
      </c>
    </row>
    <row r="299" spans="1:1" x14ac:dyDescent="0.25">
      <c r="A299" s="25" t="str">
        <f ca="1">TEXT(Regen!A299,"000\,")&amp;TEXT(Regen!B299,"?00000000")&amp;TEXT(Regen!C299,""",""?0")&amp;SUBSTITUTE(TEXT(Regen!D299,""",""????0;"",""???-0;"",""????0;"", ////"""),"'","""")&amp;SUBSTITUTE(TEXT(Regen!E299,""",""?00;"",""?-00;"",""?00;"", //"""),"'","""")</f>
        <v>081, 19401024, 1,    0, 00</v>
      </c>
    </row>
    <row r="300" spans="1:1" x14ac:dyDescent="0.25">
      <c r="A300" s="25" t="str">
        <f ca="1">TEXT(Regen!A300,"000\,")&amp;TEXT(Regen!B300,"?00000000")&amp;TEXT(Regen!C300,""",""?0")&amp;SUBSTITUTE(TEXT(Regen!D300,""",""????0;"",""???-0;"",""????0;"", ////"""),"'","""")&amp;SUBSTITUTE(TEXT(Regen!E300,""",""?00;"",""?-00;"",""?00;"", //"""),"'","""")</f>
        <v>081, 19401025, 1,  220, 00</v>
      </c>
    </row>
    <row r="301" spans="1:1" x14ac:dyDescent="0.25">
      <c r="A301" s="25" t="str">
        <f ca="1">TEXT(Regen!A301,"000\,")&amp;TEXT(Regen!B301,"?00000000")&amp;TEXT(Regen!C301,""",""?0")&amp;SUBSTITUTE(TEXT(Regen!D301,""",""????0;"",""???-0;"",""????0;"", ////"""),"'","""")&amp;SUBSTITUTE(TEXT(Regen!E301,""",""?00;"",""?-00;"",""?00;"", //"""),"'","""")</f>
        <v>081, 19401026, 1,    0, 00</v>
      </c>
    </row>
    <row r="302" spans="1:1" x14ac:dyDescent="0.25">
      <c r="A302" s="25" t="str">
        <f ca="1">TEXT(Regen!A302,"000\,")&amp;TEXT(Regen!B302,"?00000000")&amp;TEXT(Regen!C302,""",""?0")&amp;SUBSTITUTE(TEXT(Regen!D302,""",""????0;"",""???-0;"",""????0;"", ////"""),"'","""")&amp;SUBSTITUTE(TEXT(Regen!E302,""",""?00;"",""?-00;"",""?00;"", //"""),"'","""")</f>
        <v>081, 19401027, 1,    0, 00</v>
      </c>
    </row>
    <row r="303" spans="1:1" x14ac:dyDescent="0.25">
      <c r="A303" s="25" t="str">
        <f ca="1">TEXT(Regen!A303,"000\,")&amp;TEXT(Regen!B303,"?00000000")&amp;TEXT(Regen!C303,""",""?0")&amp;SUBSTITUTE(TEXT(Regen!D303,""",""????0;"",""???-0;"",""????0;"", ////"""),"'","""")&amp;SUBSTITUTE(TEXT(Regen!E303,""",""?00;"",""?-00;"",""?00;"", //"""),"'","""")</f>
        <v>081, 19401028, 1,    0, 00</v>
      </c>
    </row>
    <row r="304" spans="1:1" x14ac:dyDescent="0.25">
      <c r="A304" s="25" t="str">
        <f ca="1">TEXT(Regen!A304,"000\,")&amp;TEXT(Regen!B304,"?00000000")&amp;TEXT(Regen!C304,""",""?0")&amp;SUBSTITUTE(TEXT(Regen!D304,""",""????0;"",""???-0;"",""????0;"", ////"""),"'","""")&amp;SUBSTITUTE(TEXT(Regen!E304,""",""?00;"",""?-00;"",""?00;"", //"""),"'","""")</f>
        <v>081, 19401029, 1,    0, 00</v>
      </c>
    </row>
    <row r="305" spans="1:1" x14ac:dyDescent="0.25">
      <c r="A305" s="25" t="str">
        <f ca="1">TEXT(Regen!A305,"000\,")&amp;TEXT(Regen!B305,"?00000000")&amp;TEXT(Regen!C305,""",""?0")&amp;SUBSTITUTE(TEXT(Regen!D305,""",""????0;"",""???-0;"",""????0;"", ////"""),"'","""")&amp;SUBSTITUTE(TEXT(Regen!E305,""",""?00;"",""?-00;"",""?00;"", //"""),"'","""")</f>
        <v>081, 19401030, 1,   25, 00</v>
      </c>
    </row>
    <row r="306" spans="1:1" x14ac:dyDescent="0.25">
      <c r="A306" s="25" t="str">
        <f ca="1">TEXT(Regen!A306,"000\,")&amp;TEXT(Regen!B306,"?00000000")&amp;TEXT(Regen!C306,""",""?0")&amp;SUBSTITUTE(TEXT(Regen!D306,""",""????0;"",""???-0;"",""????0;"", ////"""),"'","""")&amp;SUBSTITUTE(TEXT(Regen!E306,""",""?00;"",""?-00;"",""?00;"", //"""),"'","""")</f>
        <v>081, 19401031, 1,   35, 00</v>
      </c>
    </row>
    <row r="307" spans="1:1" x14ac:dyDescent="0.25">
      <c r="A307" s="25" t="str">
        <f ca="1">TEXT(Regen!A307,"000\,")&amp;TEXT(Regen!B307,"?00000000")&amp;TEXT(Regen!C307,""",""?0")&amp;SUBSTITUTE(TEXT(Regen!D307,""",""????0;"",""???-0;"",""????0;"", ////"""),"'","""")&amp;SUBSTITUTE(TEXT(Regen!E307,""",""?00;"",""?-00;"",""?00;"", //"""),"'","""")</f>
        <v>081, 19401101, 1,   50, 00</v>
      </c>
    </row>
    <row r="308" spans="1:1" x14ac:dyDescent="0.25">
      <c r="A308" s="25" t="str">
        <f ca="1">TEXT(Regen!A308,"000\,")&amp;TEXT(Regen!B308,"?00000000")&amp;TEXT(Regen!C308,""",""?0")&amp;SUBSTITUTE(TEXT(Regen!D308,""",""????0;"",""???-0;"",""????0;"", ////"""),"'","""")&amp;SUBSTITUTE(TEXT(Regen!E308,""",""?00;"",""?-00;"",""?00;"", //"""),"'","""")</f>
        <v>081, 19401102, 1,    0, 00</v>
      </c>
    </row>
    <row r="309" spans="1:1" x14ac:dyDescent="0.25">
      <c r="A309" s="25" t="str">
        <f ca="1">TEXT(Regen!A309,"000\,")&amp;TEXT(Regen!B309,"?00000000")&amp;TEXT(Regen!C309,""",""?0")&amp;SUBSTITUTE(TEXT(Regen!D309,""",""????0;"",""???-0;"",""????0;"", ////"""),"'","""")&amp;SUBSTITUTE(TEXT(Regen!E309,""",""?00;"",""?-00;"",""?00;"", //"""),"'","""")</f>
        <v>081, 19401103, 1,   10, 00</v>
      </c>
    </row>
    <row r="310" spans="1:1" x14ac:dyDescent="0.25">
      <c r="A310" s="25" t="str">
        <f ca="1">TEXT(Regen!A310,"000\,")&amp;TEXT(Regen!B310,"?00000000")&amp;TEXT(Regen!C310,""",""?0")&amp;SUBSTITUTE(TEXT(Regen!D310,""",""????0;"",""???-0;"",""????0;"", ////"""),"'","""")&amp;SUBSTITUTE(TEXT(Regen!E310,""",""?00;"",""?-00;"",""?00;"", //"""),"'","""")</f>
        <v>081, 19401104, 1,  330, 00</v>
      </c>
    </row>
    <row r="311" spans="1:1" x14ac:dyDescent="0.25">
      <c r="A311" s="25" t="str">
        <f ca="1">TEXT(Regen!A311,"000\,")&amp;TEXT(Regen!B311,"?00000000")&amp;TEXT(Regen!C311,""",""?0")&amp;SUBSTITUTE(TEXT(Regen!D311,""",""????0;"",""???-0;"",""????0;"", ////"""),"'","""")&amp;SUBSTITUTE(TEXT(Regen!E311,""",""?00;"",""?-00;"",""?00;"", //"""),"'","""")</f>
        <v>081, 19401105, 1,   55, 00</v>
      </c>
    </row>
    <row r="312" spans="1:1" x14ac:dyDescent="0.25">
      <c r="A312" s="25" t="str">
        <f ca="1">TEXT(Regen!A312,"000\,")&amp;TEXT(Regen!B312,"?00000000")&amp;TEXT(Regen!C312,""",""?0")&amp;SUBSTITUTE(TEXT(Regen!D312,""",""????0;"",""???-0;"",""????0;"", ////"""),"'","""")&amp;SUBSTITUTE(TEXT(Regen!E312,""",""?00;"",""?-00;"",""?00;"", //"""),"'","""")</f>
        <v>081, 19401106, 1,    0, 00</v>
      </c>
    </row>
    <row r="313" spans="1:1" x14ac:dyDescent="0.25">
      <c r="A313" s="25" t="str">
        <f ca="1">TEXT(Regen!A313,"000\,")&amp;TEXT(Regen!B313,"?00000000")&amp;TEXT(Regen!C313,""",""?0")&amp;SUBSTITUTE(TEXT(Regen!D313,""",""????0;"",""???-0;"",""????0;"", ////"""),"'","""")&amp;SUBSTITUTE(TEXT(Regen!E313,""",""?00;"",""?-00;"",""?00;"", //"""),"'","""")</f>
        <v>081, 19401107, 1,    0, 00</v>
      </c>
    </row>
    <row r="314" spans="1:1" x14ac:dyDescent="0.25">
      <c r="A314" s="25" t="str">
        <f ca="1">TEXT(Regen!A314,"000\,")&amp;TEXT(Regen!B314,"?00000000")&amp;TEXT(Regen!C314,""",""?0")&amp;SUBSTITUTE(TEXT(Regen!D314,""",""????0;"",""???-0;"",""????0;"", ////"""),"'","""")&amp;SUBSTITUTE(TEXT(Regen!E314,""",""?00;"",""?-00;"",""?00;"", //"""),"'","""")</f>
        <v>081, 19401108, 1,    0, 00</v>
      </c>
    </row>
    <row r="315" spans="1:1" x14ac:dyDescent="0.25">
      <c r="A315" s="25" t="str">
        <f ca="1">TEXT(Regen!A315,"000\,")&amp;TEXT(Regen!B315,"?00000000")&amp;TEXT(Regen!C315,""",""?0")&amp;SUBSTITUTE(TEXT(Regen!D315,""",""????0;"",""???-0;"",""????0;"", ////"""),"'","""")&amp;SUBSTITUTE(TEXT(Regen!E315,""",""?00;"",""?-00;"",""?00;"", //"""),"'","""")</f>
        <v>081, 19401109, 1,    0, 00</v>
      </c>
    </row>
    <row r="316" spans="1:1" x14ac:dyDescent="0.25">
      <c r="A316" s="25" t="str">
        <f ca="1">TEXT(Regen!A316,"000\,")&amp;TEXT(Regen!B316,"?00000000")&amp;TEXT(Regen!C316,""",""?0")&amp;SUBSTITUTE(TEXT(Regen!D316,""",""????0;"",""???-0;"",""????0;"", ////"""),"'","""")&amp;SUBSTITUTE(TEXT(Regen!E316,""",""?00;"",""?-00;"",""?00;"", //"""),"'","""")</f>
        <v>081, 19401110, 1,   70, 00</v>
      </c>
    </row>
    <row r="317" spans="1:1" x14ac:dyDescent="0.25">
      <c r="A317" s="25" t="str">
        <f ca="1">TEXT(Regen!A317,"000\,")&amp;TEXT(Regen!B317,"?00000000")&amp;TEXT(Regen!C317,""",""?0")&amp;SUBSTITUTE(TEXT(Regen!D317,""",""????0;"",""???-0;"",""????0;"", ////"""),"'","""")&amp;SUBSTITUTE(TEXT(Regen!E317,""",""?00;"",""?-00;"",""?00;"", //"""),"'","""")</f>
        <v>081, 19401111, 1,   70, 00</v>
      </c>
    </row>
    <row r="318" spans="1:1" x14ac:dyDescent="0.25">
      <c r="A318" s="25" t="str">
        <f ca="1">TEXT(Regen!A318,"000\,")&amp;TEXT(Regen!B318,"?00000000")&amp;TEXT(Regen!C318,""",""?0")&amp;SUBSTITUTE(TEXT(Regen!D318,""",""????0;"",""???-0;"",""????0;"", ////"""),"'","""")&amp;SUBSTITUTE(TEXT(Regen!E318,""",""?00;"",""?-00;"",""?00;"", //"""),"'","""")</f>
        <v>081, 19401112, 1,    0, 00</v>
      </c>
    </row>
    <row r="319" spans="1:1" x14ac:dyDescent="0.25">
      <c r="A319" s="25" t="str">
        <f ca="1">TEXT(Regen!A319,"000\,")&amp;TEXT(Regen!B319,"?00000000")&amp;TEXT(Regen!C319,""",""?0")&amp;SUBSTITUTE(TEXT(Regen!D319,""",""????0;"",""???-0;"",""????0;"", ////"""),"'","""")&amp;SUBSTITUTE(TEXT(Regen!E319,""",""?00;"",""?-00;"",""?00;"", //"""),"'","""")</f>
        <v>081, 19401113, 1,   85, 00</v>
      </c>
    </row>
    <row r="320" spans="1:1" x14ac:dyDescent="0.25">
      <c r="A320" s="25" t="str">
        <f ca="1">TEXT(Regen!A320,"000\,")&amp;TEXT(Regen!B320,"?00000000")&amp;TEXT(Regen!C320,""",""?0")&amp;SUBSTITUTE(TEXT(Regen!D320,""",""????0;"",""???-0;"",""????0;"", ////"""),"'","""")&amp;SUBSTITUTE(TEXT(Regen!E320,""",""?00;"",""?-00;"",""?00;"", //"""),"'","""")</f>
        <v>081, 19401114, 1,  100, 00</v>
      </c>
    </row>
    <row r="321" spans="1:1" x14ac:dyDescent="0.25">
      <c r="A321" s="25" t="str">
        <f ca="1">TEXT(Regen!A321,"000\,")&amp;TEXT(Regen!B321,"?00000000")&amp;TEXT(Regen!C321,""",""?0")&amp;SUBSTITUTE(TEXT(Regen!D321,""",""????0;"",""???-0;"",""????0;"", ////"""),"'","""")&amp;SUBSTITUTE(TEXT(Regen!E321,""",""?00;"",""?-00;"",""?00;"", //"""),"'","""")</f>
        <v>081, 19401115, 1,  100, 00</v>
      </c>
    </row>
    <row r="322" spans="1:1" x14ac:dyDescent="0.25">
      <c r="A322" s="25" t="str">
        <f ca="1">TEXT(Regen!A322,"000\,")&amp;TEXT(Regen!B322,"?00000000")&amp;TEXT(Regen!C322,""",""?0")&amp;SUBSTITUTE(TEXT(Regen!D322,""",""????0;"",""???-0;"",""????0;"", ////"""),"'","""")&amp;SUBSTITUTE(TEXT(Regen!E322,""",""?00;"",""?-00;"",""?00;"", //"""),"'","""")</f>
        <v>081, 19401116, 1,   15, 00</v>
      </c>
    </row>
    <row r="323" spans="1:1" x14ac:dyDescent="0.25">
      <c r="A323" s="25" t="str">
        <f ca="1">TEXT(Regen!A323,"000\,")&amp;TEXT(Regen!B323,"?00000000")&amp;TEXT(Regen!C323,""",""?0")&amp;SUBSTITUTE(TEXT(Regen!D323,""",""????0;"",""???-0;"",""????0;"", ////"""),"'","""")&amp;SUBSTITUTE(TEXT(Regen!E323,""",""?00;"",""?-00;"",""?00;"", //"""),"'","""")</f>
        <v>081, 19401117, 1,    0, 00</v>
      </c>
    </row>
    <row r="324" spans="1:1" x14ac:dyDescent="0.25">
      <c r="A324" s="25" t="str">
        <f ca="1">TEXT(Regen!A324,"000\,")&amp;TEXT(Regen!B324,"?00000000")&amp;TEXT(Regen!C324,""",""?0")&amp;SUBSTITUTE(TEXT(Regen!D324,""",""????0;"",""???-0;"",""????0;"", ////"""),"'","""")&amp;SUBSTITUTE(TEXT(Regen!E324,""",""?00;"",""?-00;"",""?00;"", //"""),"'","""")</f>
        <v>081, 19401118, 1,    0, 00</v>
      </c>
    </row>
    <row r="325" spans="1:1" x14ac:dyDescent="0.25">
      <c r="A325" s="25" t="str">
        <f ca="1">TEXT(Regen!A325,"000\,")&amp;TEXT(Regen!B325,"?00000000")&amp;TEXT(Regen!C325,""",""?0")&amp;SUBSTITUTE(TEXT(Regen!D325,""",""????0;"",""???-0;"",""????0;"", ////"""),"'","""")&amp;SUBSTITUTE(TEXT(Regen!E325,""",""?00;"",""?-00;"",""?00;"", //"""),"'","""")</f>
        <v>081, 19401119, 1,   40, 00</v>
      </c>
    </row>
    <row r="326" spans="1:1" x14ac:dyDescent="0.25">
      <c r="A326" s="25" t="str">
        <f ca="1">TEXT(Regen!A326,"000\,")&amp;TEXT(Regen!B326,"?00000000")&amp;TEXT(Regen!C326,""",""?0")&amp;SUBSTITUTE(TEXT(Regen!D326,""",""????0;"",""???-0;"",""????0;"", ////"""),"'","""")&amp;SUBSTITUTE(TEXT(Regen!E326,""",""?00;"",""?-00;"",""?00;"", //"""),"'","""")</f>
        <v>081, 19401120, 1,  110, 00</v>
      </c>
    </row>
    <row r="327" spans="1:1" x14ac:dyDescent="0.25">
      <c r="A327" s="25" t="str">
        <f ca="1">TEXT(Regen!A327,"000\,")&amp;TEXT(Regen!B327,"?00000000")&amp;TEXT(Regen!C327,""",""?0")&amp;SUBSTITUTE(TEXT(Regen!D327,""",""????0;"",""???-0;"",""????0;"", ////"""),"'","""")&amp;SUBSTITUTE(TEXT(Regen!E327,""",""?00;"",""?-00;"",""?00;"", //"""),"'","""")</f>
        <v>081, 19401121, 1,    0, 00</v>
      </c>
    </row>
    <row r="328" spans="1:1" x14ac:dyDescent="0.25">
      <c r="A328" s="25" t="str">
        <f ca="1">TEXT(Regen!A328,"000\,")&amp;TEXT(Regen!B328,"?00000000")&amp;TEXT(Regen!C328,""",""?0")&amp;SUBSTITUTE(TEXT(Regen!D328,""",""????0;"",""???-0;"",""????0;"", ////"""),"'","""")&amp;SUBSTITUTE(TEXT(Regen!E328,""",""?00;"",""?-00;"",""?00;"", //"""),"'","""")</f>
        <v>081, 19401122, 1,    0, 00</v>
      </c>
    </row>
    <row r="329" spans="1:1" x14ac:dyDescent="0.25">
      <c r="A329" s="25" t="str">
        <f ca="1">TEXT(Regen!A329,"000\,")&amp;TEXT(Regen!B329,"?00000000")&amp;TEXT(Regen!C329,""",""?0")&amp;SUBSTITUTE(TEXT(Regen!D329,""",""????0;"",""???-0;"",""????0;"", ////"""),"'","""")&amp;SUBSTITUTE(TEXT(Regen!E329,""",""?00;"",""?-00;"",""?00;"", //"""),"'","""")</f>
        <v>081, 19401123, 1,   45, 00</v>
      </c>
    </row>
    <row r="330" spans="1:1" x14ac:dyDescent="0.25">
      <c r="A330" s="25" t="str">
        <f ca="1">TEXT(Regen!A330,"000\,")&amp;TEXT(Regen!B330,"?00000000")&amp;TEXT(Regen!C330,""",""?0")&amp;SUBSTITUTE(TEXT(Regen!D330,""",""????0;"",""???-0;"",""????0;"", ////"""),"'","""")&amp;SUBSTITUTE(TEXT(Regen!E330,""",""?00;"",""?-00;"",""?00;"", //"""),"'","""")</f>
        <v>081, 19401124, 1,  190, 00</v>
      </c>
    </row>
    <row r="331" spans="1:1" x14ac:dyDescent="0.25">
      <c r="A331" s="25" t="str">
        <f ca="1">TEXT(Regen!A331,"000\,")&amp;TEXT(Regen!B331,"?00000000")&amp;TEXT(Regen!C331,""",""?0")&amp;SUBSTITUTE(TEXT(Regen!D331,""",""????0;"",""???-0;"",""????0;"", ////"""),"'","""")&amp;SUBSTITUTE(TEXT(Regen!E331,""",""?00;"",""?-00;"",""?00;"", //"""),"'","""")</f>
        <v>081, 19401125, 1,    0, 00</v>
      </c>
    </row>
    <row r="332" spans="1:1" x14ac:dyDescent="0.25">
      <c r="A332" s="25" t="str">
        <f ca="1">TEXT(Regen!A332,"000\,")&amp;TEXT(Regen!B332,"?00000000")&amp;TEXT(Regen!C332,""",""?0")&amp;SUBSTITUTE(TEXT(Regen!D332,""",""????0;"",""???-0;"",""????0;"", ////"""),"'","""")&amp;SUBSTITUTE(TEXT(Regen!E332,""",""?00;"",""?-00;"",""?00;"", //"""),"'","""")</f>
        <v>081, 19401126, 1,   25, 00</v>
      </c>
    </row>
    <row r="333" spans="1:1" x14ac:dyDescent="0.25">
      <c r="A333" s="25" t="str">
        <f ca="1">TEXT(Regen!A333,"000\,")&amp;TEXT(Regen!B333,"?00000000")&amp;TEXT(Regen!C333,""",""?0")&amp;SUBSTITUTE(TEXT(Regen!D333,""",""????0;"",""???-0;"",""????0;"", ////"""),"'","""")&amp;SUBSTITUTE(TEXT(Regen!E333,""",""?00;"",""?-00;"",""?00;"", //"""),"'","""")</f>
        <v>081, 19401127, 1,    0, 00</v>
      </c>
    </row>
    <row r="334" spans="1:1" x14ac:dyDescent="0.25">
      <c r="A334" s="25" t="str">
        <f ca="1">TEXT(Regen!A334,"000\,")&amp;TEXT(Regen!B334,"?00000000")&amp;TEXT(Regen!C334,""",""?0")&amp;SUBSTITUTE(TEXT(Regen!D334,""",""????0;"",""???-0;"",""????0;"", ////"""),"'","""")&amp;SUBSTITUTE(TEXT(Regen!E334,""",""?00;"",""?-00;"",""?00;"", //"""),"'","""")</f>
        <v>081, 19401128, 1,   10, 00</v>
      </c>
    </row>
    <row r="335" spans="1:1" x14ac:dyDescent="0.25">
      <c r="A335" s="25" t="str">
        <f ca="1">TEXT(Regen!A335,"000\,")&amp;TEXT(Regen!B335,"?00000000")&amp;TEXT(Regen!C335,""",""?0")&amp;SUBSTITUTE(TEXT(Regen!D335,""",""????0;"",""???-0;"",""????0;"", ////"""),"'","""")&amp;SUBSTITUTE(TEXT(Regen!E335,""",""?00;"",""?-00;"",""?00;"", //"""),"'","""")</f>
        <v>081, 19401129, 1,   50, 00</v>
      </c>
    </row>
    <row r="336" spans="1:1" x14ac:dyDescent="0.25">
      <c r="A336" s="25" t="str">
        <f ca="1">TEXT(Regen!A336,"000\,")&amp;TEXT(Regen!B336,"?00000000")&amp;TEXT(Regen!C336,""",""?0")&amp;SUBSTITUTE(TEXT(Regen!D336,""",""????0;"",""???-0;"",""????0;"", ////"""),"'","""")&amp;SUBSTITUTE(TEXT(Regen!E336,""",""?00;"",""?-00;"",""?00;"", //"""),"'","""")</f>
        <v>081, 19401130, 1,    5, 00</v>
      </c>
    </row>
    <row r="337" spans="1:1" x14ac:dyDescent="0.25">
      <c r="A337" s="25" t="str">
        <f ca="1">TEXT(Regen!A337,"000\,")&amp;TEXT(Regen!B337,"?00000000")&amp;TEXT(Regen!C337,""",""?0")&amp;SUBSTITUTE(TEXT(Regen!D337,""",""????0;"",""???-0;"",""????0;"", ////"""),"'","""")&amp;SUBSTITUTE(TEXT(Regen!E337,""",""?00;"",""?-00;"",""?00;"", //"""),"'","""")</f>
        <v>081, 19401201, 1,    0, 00</v>
      </c>
    </row>
    <row r="338" spans="1:1" x14ac:dyDescent="0.25">
      <c r="A338" s="25" t="str">
        <f ca="1">TEXT(Regen!A338,"000\,")&amp;TEXT(Regen!B338,"?00000000")&amp;TEXT(Regen!C338,""",""?0")&amp;SUBSTITUTE(TEXT(Regen!D338,""",""????0;"",""???-0;"",""????0;"", ////"""),"'","""")&amp;SUBSTITUTE(TEXT(Regen!E338,""",""?00;"",""?-00;"",""?00;"", //"""),"'","""")</f>
        <v>081, 19401202, 1,    0, 00</v>
      </c>
    </row>
    <row r="339" spans="1:1" x14ac:dyDescent="0.25">
      <c r="A339" s="25" t="str">
        <f ca="1">TEXT(Regen!A339,"000\,")&amp;TEXT(Regen!B339,"?00000000")&amp;TEXT(Regen!C339,""",""?0")&amp;SUBSTITUTE(TEXT(Regen!D339,""",""????0;"",""???-0;"",""????0;"", ////"""),"'","""")&amp;SUBSTITUTE(TEXT(Regen!E339,""",""?00;"",""?-00;"",""?00;"", //"""),"'","""")</f>
        <v>081, 19401203, 1,    0, 00</v>
      </c>
    </row>
    <row r="340" spans="1:1" x14ac:dyDescent="0.25">
      <c r="A340" s="25" t="str">
        <f ca="1">TEXT(Regen!A340,"000\,")&amp;TEXT(Regen!B340,"?00000000")&amp;TEXT(Regen!C340,""",""?0")&amp;SUBSTITUTE(TEXT(Regen!D340,""",""????0;"",""???-0;"",""????0;"", ////"""),"'","""")&amp;SUBSTITUTE(TEXT(Regen!E340,""",""?00;"",""?-00;"",""?00;"", //"""),"'","""")</f>
        <v>081, 19401204, 1,    0, 00</v>
      </c>
    </row>
    <row r="341" spans="1:1" x14ac:dyDescent="0.25">
      <c r="A341" s="25" t="str">
        <f ca="1">TEXT(Regen!A341,"000\,")&amp;TEXT(Regen!B341,"?00000000")&amp;TEXT(Regen!C341,""",""?0")&amp;SUBSTITUTE(TEXT(Regen!D341,""",""????0;"",""???-0;"",""????0;"", ////"""),"'","""")&amp;SUBSTITUTE(TEXT(Regen!E341,""",""?00;"",""?-00;"",""?00;"", //"""),"'","""")</f>
        <v>081, 19401205, 1,   75, 00</v>
      </c>
    </row>
    <row r="342" spans="1:1" x14ac:dyDescent="0.25">
      <c r="A342" s="25" t="str">
        <f ca="1">TEXT(Regen!A342,"000\,")&amp;TEXT(Regen!B342,"?00000000")&amp;TEXT(Regen!C342,""",""?0")&amp;SUBSTITUTE(TEXT(Regen!D342,""",""????0;"",""???-0;"",""????0;"", ////"""),"'","""")&amp;SUBSTITUTE(TEXT(Regen!E342,""",""?00;"",""?-00;"",""?00;"", //"""),"'","""")</f>
        <v>081, 19401206, 1,   20, 00</v>
      </c>
    </row>
    <row r="343" spans="1:1" x14ac:dyDescent="0.25">
      <c r="A343" s="25" t="str">
        <f ca="1">TEXT(Regen!A343,"000\,")&amp;TEXT(Regen!B343,"?00000000")&amp;TEXT(Regen!C343,""",""?0")&amp;SUBSTITUTE(TEXT(Regen!D343,""",""????0;"",""???-0;"",""????0;"", ////"""),"'","""")&amp;SUBSTITUTE(TEXT(Regen!E343,""",""?00;"",""?-00;"",""?00;"", //"""),"'","""")</f>
        <v>081, 19401207, 1,    0, 00</v>
      </c>
    </row>
    <row r="344" spans="1:1" x14ac:dyDescent="0.25">
      <c r="A344" s="25" t="str">
        <f ca="1">TEXT(Regen!A344,"000\,")&amp;TEXT(Regen!B344,"?00000000")&amp;TEXT(Regen!C344,""",""?0")&amp;SUBSTITUTE(TEXT(Regen!D344,""",""????0;"",""???-0;"",""????0;"", ////"""),"'","""")&amp;SUBSTITUTE(TEXT(Regen!E344,""",""?00;"",""?-00;"",""?00;"", //"""),"'","""")</f>
        <v>081, 19401208, 1,    0, 00</v>
      </c>
    </row>
    <row r="345" spans="1:1" x14ac:dyDescent="0.25">
      <c r="A345" s="25" t="str">
        <f ca="1">TEXT(Regen!A345,"000\,")&amp;TEXT(Regen!B345,"?00000000")&amp;TEXT(Regen!C345,""",""?0")&amp;SUBSTITUTE(TEXT(Regen!D345,""",""????0;"",""???-0;"",""????0;"", ////"""),"'","""")&amp;SUBSTITUTE(TEXT(Regen!E345,""",""?00;"",""?-00;"",""?00;"", //"""),"'","""")</f>
        <v>081, 19401209, 1,    0, 00</v>
      </c>
    </row>
    <row r="346" spans="1:1" x14ac:dyDescent="0.25">
      <c r="A346" s="25" t="str">
        <f ca="1">TEXT(Regen!A346,"000\,")&amp;TEXT(Regen!B346,"?00000000")&amp;TEXT(Regen!C346,""",""?0")&amp;SUBSTITUTE(TEXT(Regen!D346,""",""????0;"",""???-0;"",""????0;"", ////"""),"'","""")&amp;SUBSTITUTE(TEXT(Regen!E346,""",""?00;"",""?-00;"",""?00;"", //"""),"'","""")</f>
        <v>081, 19401210, 1,    0, 00</v>
      </c>
    </row>
    <row r="347" spans="1:1" x14ac:dyDescent="0.25">
      <c r="A347" s="25" t="str">
        <f ca="1">TEXT(Regen!A347,"000\,")&amp;TEXT(Regen!B347,"?00000000")&amp;TEXT(Regen!C347,""",""?0")&amp;SUBSTITUTE(TEXT(Regen!D347,""",""????0;"",""???-0;"",""????0;"", ////"""),"'","""")&amp;SUBSTITUTE(TEXT(Regen!E347,""",""?00;"",""?-00;"",""?00;"", //"""),"'","""")</f>
        <v>081, 19401211, 1,   25, 00</v>
      </c>
    </row>
    <row r="348" spans="1:1" x14ac:dyDescent="0.25">
      <c r="A348" s="25" t="str">
        <f ca="1">TEXT(Regen!A348,"000\,")&amp;TEXT(Regen!B348,"?00000000")&amp;TEXT(Regen!C348,""",""?0")&amp;SUBSTITUTE(TEXT(Regen!D348,""",""????0;"",""???-0;"",""????0;"", ////"""),"'","""")&amp;SUBSTITUTE(TEXT(Regen!E348,""",""?00;"",""?-00;"",""?00;"", //"""),"'","""")</f>
        <v>081, 19401212, 1,    0, 00</v>
      </c>
    </row>
    <row r="349" spans="1:1" x14ac:dyDescent="0.25">
      <c r="A349" s="25" t="str">
        <f ca="1">TEXT(Regen!A349,"000\,")&amp;TEXT(Regen!B349,"?00000000")&amp;TEXT(Regen!C349,""",""?0")&amp;SUBSTITUTE(TEXT(Regen!D349,""",""????0;"",""???-0;"",""????0;"", ////"""),"'","""")&amp;SUBSTITUTE(TEXT(Regen!E349,""",""?00;"",""?-00;"",""?00;"", //"""),"'","""")</f>
        <v>081, 19401213, 1,    0, 00</v>
      </c>
    </row>
    <row r="350" spans="1:1" x14ac:dyDescent="0.25">
      <c r="A350" s="25" t="str">
        <f ca="1">TEXT(Regen!A350,"000\,")&amp;TEXT(Regen!B350,"?00000000")&amp;TEXT(Regen!C350,""",""?0")&amp;SUBSTITUTE(TEXT(Regen!D350,""",""????0;"",""???-0;"",""????0;"", ////"""),"'","""")&amp;SUBSTITUTE(TEXT(Regen!E350,""",""?00;"",""?-00;"",""?00;"", //"""),"'","""")</f>
        <v>081, 19401214, 1,  100, 00</v>
      </c>
    </row>
    <row r="351" spans="1:1" x14ac:dyDescent="0.25">
      <c r="A351" s="25" t="str">
        <f ca="1">TEXT(Regen!A351,"000\,")&amp;TEXT(Regen!B351,"?00000000")&amp;TEXT(Regen!C351,""",""?0")&amp;SUBSTITUTE(TEXT(Regen!D351,""",""????0;"",""???-0;"",""????0;"", ////"""),"'","""")&amp;SUBSTITUTE(TEXT(Regen!E351,""",""?00;"",""?-00;"",""?00;"", //"""),"'","""")</f>
        <v>081, 19401215, 1,   50, 00</v>
      </c>
    </row>
    <row r="352" spans="1:1" x14ac:dyDescent="0.25">
      <c r="A352" s="25" t="str">
        <f ca="1">TEXT(Regen!A352,"000\,")&amp;TEXT(Regen!B352,"?00000000")&amp;TEXT(Regen!C352,""",""?0")&amp;SUBSTITUTE(TEXT(Regen!D352,""",""????0;"",""???-0;"",""????0;"", ////"""),"'","""")&amp;SUBSTITUTE(TEXT(Regen!E352,""",""?00;"",""?-00;"",""?00;"", //"""),"'","""")</f>
        <v>081, 19401216, 1,    0, 00</v>
      </c>
    </row>
    <row r="353" spans="1:1" x14ac:dyDescent="0.25">
      <c r="A353" s="25" t="str">
        <f ca="1">TEXT(Regen!A353,"000\,")&amp;TEXT(Regen!B353,"?00000000")&amp;TEXT(Regen!C353,""",""?0")&amp;SUBSTITUTE(TEXT(Regen!D353,""",""????0;"",""???-0;"",""????0;"", ////"""),"'","""")&amp;SUBSTITUTE(TEXT(Regen!E353,""",""?00;"",""?-00;"",""?00;"", //"""),"'","""")</f>
        <v>081, 19401217, 1,   12, 00</v>
      </c>
    </row>
    <row r="354" spans="1:1" x14ac:dyDescent="0.25">
      <c r="A354" s="25" t="str">
        <f ca="1">TEXT(Regen!A354,"000\,")&amp;TEXT(Regen!B354,"?00000000")&amp;TEXT(Regen!C354,""",""?0")&amp;SUBSTITUTE(TEXT(Regen!D354,""",""????0;"",""???-0;"",""????0;"", ////"""),"'","""")&amp;SUBSTITUTE(TEXT(Regen!E354,""",""?00;"",""?-00;"",""?00;"", //"""),"'","""")</f>
        <v>081, 19401218, 1,    0, 00</v>
      </c>
    </row>
    <row r="355" spans="1:1" x14ac:dyDescent="0.25">
      <c r="A355" s="25" t="str">
        <f ca="1">TEXT(Regen!A355,"000\,")&amp;TEXT(Regen!B355,"?00000000")&amp;TEXT(Regen!C355,""",""?0")&amp;SUBSTITUTE(TEXT(Regen!D355,""",""????0;"",""???-0;"",""????0;"", ////"""),"'","""")&amp;SUBSTITUTE(TEXT(Regen!E355,""",""?00;"",""?-00;"",""?00;"", //"""),"'","""")</f>
        <v>081, 19401219, 1,   95, 00</v>
      </c>
    </row>
    <row r="356" spans="1:1" x14ac:dyDescent="0.25">
      <c r="A356" s="25" t="str">
        <f ca="1">TEXT(Regen!A356,"000\,")&amp;TEXT(Regen!B356,"?00000000")&amp;TEXT(Regen!C356,""",""?0")&amp;SUBSTITUTE(TEXT(Regen!D356,""",""????0;"",""???-0;"",""????0;"", ////"""),"'","""")&amp;SUBSTITUTE(TEXT(Regen!E356,""",""?00;"",""?-00;"",""?00;"", //"""),"'","""")</f>
        <v>081, 19401220, 1,    0, 00</v>
      </c>
    </row>
    <row r="357" spans="1:1" x14ac:dyDescent="0.25">
      <c r="A357" s="25" t="str">
        <f ca="1">TEXT(Regen!A357,"000\,")&amp;TEXT(Regen!B357,"?00000000")&amp;TEXT(Regen!C357,""",""?0")&amp;SUBSTITUTE(TEXT(Regen!D357,""",""????0;"",""???-0;"",""????0;"", ////"""),"'","""")&amp;SUBSTITUTE(TEXT(Regen!E357,""",""?00;"",""?-00;"",""?00;"", //"""),"'","""")</f>
        <v>081, 19401221, 1,   60, 00</v>
      </c>
    </row>
    <row r="358" spans="1:1" x14ac:dyDescent="0.25">
      <c r="A358" s="25" t="str">
        <f ca="1">TEXT(Regen!A358,"000\,")&amp;TEXT(Regen!B358,"?00000000")&amp;TEXT(Regen!C358,""",""?0")&amp;SUBSTITUTE(TEXT(Regen!D358,""",""????0;"",""???-0;"",""????0;"", ////"""),"'","""")&amp;SUBSTITUTE(TEXT(Regen!E358,""",""?00;"",""?-00;"",""?00;"", //"""),"'","""")</f>
        <v>081, 19401222, 1,    0, 00</v>
      </c>
    </row>
    <row r="359" spans="1:1" x14ac:dyDescent="0.25">
      <c r="A359" s="25" t="str">
        <f ca="1">TEXT(Regen!A359,"000\,")&amp;TEXT(Regen!B359,"?00000000")&amp;TEXT(Regen!C359,""",""?0")&amp;SUBSTITUTE(TEXT(Regen!D359,""",""????0;"",""???-0;"",""????0;"", ////"""),"'","""")&amp;SUBSTITUTE(TEXT(Regen!E359,""",""?00;"",""?-00;"",""?00;"", //"""),"'","""")</f>
        <v>081, 19401223, 1,    0, 00</v>
      </c>
    </row>
    <row r="360" spans="1:1" x14ac:dyDescent="0.25">
      <c r="A360" s="25" t="str">
        <f ca="1">TEXT(Regen!A360,"000\,")&amp;TEXT(Regen!B360,"?00000000")&amp;TEXT(Regen!C360,""",""?0")&amp;SUBSTITUTE(TEXT(Regen!D360,""",""????0;"",""???-0;"",""????0;"", ////"""),"'","""")&amp;SUBSTITUTE(TEXT(Regen!E360,""",""?00;"",""?-00;"",""?00;"", //"""),"'","""")</f>
        <v>081, 19401224, 1,  345, 00</v>
      </c>
    </row>
    <row r="361" spans="1:1" x14ac:dyDescent="0.25">
      <c r="A361" s="25" t="str">
        <f ca="1">TEXT(Regen!A361,"000\,")&amp;TEXT(Regen!B361,"?00000000")&amp;TEXT(Regen!C361,""",""?0")&amp;SUBSTITUTE(TEXT(Regen!D361,""",""????0;"",""???-0;"",""????0;"", ////"""),"'","""")&amp;SUBSTITUTE(TEXT(Regen!E361,""",""?00;"",""?-00;"",""?00;"", //"""),"'","""")</f>
        <v>081, 19401225, 1,    0, 00</v>
      </c>
    </row>
    <row r="362" spans="1:1" x14ac:dyDescent="0.25">
      <c r="A362" s="25" t="str">
        <f ca="1">TEXT(Regen!A362,"000\,")&amp;TEXT(Regen!B362,"?00000000")&amp;TEXT(Regen!C362,""",""?0")&amp;SUBSTITUTE(TEXT(Regen!D362,""",""????0;"",""???-0;"",""????0;"", ////"""),"'","""")&amp;SUBSTITUTE(TEXT(Regen!E362,""",""?00;"",""?-00;"",""?00;"", //"""),"'","""")</f>
        <v>081, 19401226, 1,    0, 00</v>
      </c>
    </row>
    <row r="363" spans="1:1" x14ac:dyDescent="0.25">
      <c r="A363" s="25" t="str">
        <f ca="1">TEXT(Regen!A363,"000\,")&amp;TEXT(Regen!B363,"?00000000")&amp;TEXT(Regen!C363,""",""?0")&amp;SUBSTITUTE(TEXT(Regen!D363,""",""????0;"",""???-0;"",""????0;"", ////"""),"'","""")&amp;SUBSTITUTE(TEXT(Regen!E363,""",""?00;"",""?-00;"",""?00;"", //"""),"'","""")</f>
        <v>081, 19401227, 1,    0, 00</v>
      </c>
    </row>
    <row r="364" spans="1:1" x14ac:dyDescent="0.25">
      <c r="A364" s="25" t="str">
        <f ca="1">TEXT(Regen!A364,"000\,")&amp;TEXT(Regen!B364,"?00000000")&amp;TEXT(Regen!C364,""",""?0")&amp;SUBSTITUTE(TEXT(Regen!D364,""",""????0;"",""???-0;"",""????0;"", ////"""),"'","""")&amp;SUBSTITUTE(TEXT(Regen!E364,""",""?00;"",""?-00;"",""?00;"", //"""),"'","""")</f>
        <v>081, 19401228, 1,    0, 00</v>
      </c>
    </row>
    <row r="365" spans="1:1" x14ac:dyDescent="0.25">
      <c r="A365" s="25" t="str">
        <f ca="1">TEXT(Regen!A365,"000\,")&amp;TEXT(Regen!B365,"?00000000")&amp;TEXT(Regen!C365,""",""?0")&amp;SUBSTITUTE(TEXT(Regen!D365,""",""????0;"",""???-0;"",""????0;"", ////"""),"'","""")&amp;SUBSTITUTE(TEXT(Regen!E365,""",""?00;"",""?-00;"",""?00;"", //"""),"'","""")</f>
        <v>081, 19401229, 1,   10, 00</v>
      </c>
    </row>
    <row r="366" spans="1:1" x14ac:dyDescent="0.25">
      <c r="A366" s="25" t="str">
        <f ca="1">TEXT(Regen!A366,"000\,")&amp;TEXT(Regen!B366,"?00000000")&amp;TEXT(Regen!C366,""",""?0")&amp;SUBSTITUTE(TEXT(Regen!D366,""",""????0;"",""???-0;"",""????0;"", ////"""),"'","""")&amp;SUBSTITUTE(TEXT(Regen!E366,""",""?00;"",""?-00;"",""?00;"", //"""),"'","""")</f>
        <v>081, 19401230, 1,    0, 00</v>
      </c>
    </row>
    <row r="367" spans="1:1" x14ac:dyDescent="0.25">
      <c r="A367" s="25" t="str">
        <f ca="1">TEXT(Regen!A367,"000\,")&amp;TEXT(Regen!B367,"?00000000")&amp;TEXT(Regen!C367,""",""?0")&amp;SUBSTITUTE(TEXT(Regen!D367,""",""????0;"",""???-0;"",""????0;"", ////"""),"'","""")&amp;SUBSTITUTE(TEXT(Regen!E367,""",""?00;"",""?-00;"",""?00;"", //"""),"'","""")</f>
        <v>081, 19401231, 1,    0, 00</v>
      </c>
    </row>
    <row r="368" spans="1:1" x14ac:dyDescent="0.25">
      <c r="A368" s="25" t="str">
        <f ca="1">TEXT(Regen!A368,"000\,")&amp;TEXT(Regen!B368,"?00000000")&amp;TEXT(Regen!C368,""",""?0")&amp;SUBSTITUTE(TEXT(Regen!D368,""",""????0;"",""???-0;"",""????0;"", ////"""),"'","""")&amp;SUBSTITUTE(TEXT(Regen!E368,""",""?00;"",""?-00;"",""?00;"", //"""),"'","""")</f>
        <v>083, 19400101, 1,   15, 00</v>
      </c>
    </row>
    <row r="369" spans="1:1" x14ac:dyDescent="0.25">
      <c r="A369" s="25" t="str">
        <f ca="1">TEXT(Regen!A369,"000\,")&amp;TEXT(Regen!B369,"?00000000")&amp;TEXT(Regen!C369,""",""?0")&amp;SUBSTITUTE(TEXT(Regen!D369,""",""????0;"",""???-0;"",""????0;"", ////"""),"'","""")&amp;SUBSTITUTE(TEXT(Regen!E369,""",""?00;"",""?-00;"",""?00;"", //"""),"'","""")</f>
        <v>083, 19400102, 1,    0, 00</v>
      </c>
    </row>
    <row r="370" spans="1:1" x14ac:dyDescent="0.25">
      <c r="A370" s="25" t="str">
        <f ca="1">TEXT(Regen!A370,"000\,")&amp;TEXT(Regen!B370,"?00000000")&amp;TEXT(Regen!C370,""",""?0")&amp;SUBSTITUTE(TEXT(Regen!D370,""",""????0;"",""???-0;"",""????0;"", ////"""),"'","""")&amp;SUBSTITUTE(TEXT(Regen!E370,""",""?00;"",""?-00;"",""?00;"", //"""),"'","""")</f>
        <v>083, 19400103, 1,    0, 00</v>
      </c>
    </row>
    <row r="371" spans="1:1" x14ac:dyDescent="0.25">
      <c r="A371" s="25" t="str">
        <f ca="1">TEXT(Regen!A371,"000\,")&amp;TEXT(Regen!B371,"?00000000")&amp;TEXT(Regen!C371,""",""?0")&amp;SUBSTITUTE(TEXT(Regen!D371,""",""????0;"",""???-0;"",""????0;"", ////"""),"'","""")&amp;SUBSTITUTE(TEXT(Regen!E371,""",""?00;"",""?-00;"",""?00;"", //"""),"'","""")</f>
        <v>083, 19400104, 1,    0, 00</v>
      </c>
    </row>
    <row r="372" spans="1:1" x14ac:dyDescent="0.25">
      <c r="A372" s="25" t="str">
        <f ca="1">TEXT(Regen!A372,"000\,")&amp;TEXT(Regen!B372,"?00000000")&amp;TEXT(Regen!C372,""",""?0")&amp;SUBSTITUTE(TEXT(Regen!D372,""",""????0;"",""???-0;"",""????0;"", ////"""),"'","""")&amp;SUBSTITUTE(TEXT(Regen!E372,""",""?00;"",""?-00;"",""?00;"", //"""),"'","""")</f>
        <v>083, 19400105, 1,    0, 00</v>
      </c>
    </row>
    <row r="373" spans="1:1" x14ac:dyDescent="0.25">
      <c r="A373" s="25" t="str">
        <f ca="1">TEXT(Regen!A373,"000\,")&amp;TEXT(Regen!B373,"?00000000")&amp;TEXT(Regen!C373,""",""?0")&amp;SUBSTITUTE(TEXT(Regen!D373,""",""????0;"",""???-0;"",""????0;"", ////"""),"'","""")&amp;SUBSTITUTE(TEXT(Regen!E373,""",""?00;"",""?-00;"",""?00;"", //"""),"'","""")</f>
        <v>083, 19400106, 1,    0, 00</v>
      </c>
    </row>
    <row r="374" spans="1:1" x14ac:dyDescent="0.25">
      <c r="A374" s="25" t="str">
        <f ca="1">TEXT(Regen!A374,"000\,")&amp;TEXT(Regen!B374,"?00000000")&amp;TEXT(Regen!C374,""",""?0")&amp;SUBSTITUTE(TEXT(Regen!D374,""",""????0;"",""???-0;"",""????0;"", ////"""),"'","""")&amp;SUBSTITUTE(TEXT(Regen!E374,""",""?00;"",""?-00;"",""?00;"", //"""),"'","""")</f>
        <v>083, 19400107, 1,    0, 00</v>
      </c>
    </row>
    <row r="375" spans="1:1" x14ac:dyDescent="0.25">
      <c r="A375" s="25" t="str">
        <f ca="1">TEXT(Regen!A375,"000\,")&amp;TEXT(Regen!B375,"?00000000")&amp;TEXT(Regen!C375,""",""?0")&amp;SUBSTITUTE(TEXT(Regen!D375,""",""????0;"",""???-0;"",""????0;"", ////"""),"'","""")&amp;SUBSTITUTE(TEXT(Regen!E375,""",""?00;"",""?-00;"",""?00;"", //"""),"'","""")</f>
        <v>083, 19400108, 1,    0, 00</v>
      </c>
    </row>
    <row r="376" spans="1:1" x14ac:dyDescent="0.25">
      <c r="A376" s="25" t="str">
        <f ca="1">TEXT(Regen!A376,"000\,")&amp;TEXT(Regen!B376,"?00000000")&amp;TEXT(Regen!C376,""",""?0")&amp;SUBSTITUTE(TEXT(Regen!D376,""",""????0;"",""???-0;"",""????0;"", ////"""),"'","""")&amp;SUBSTITUTE(TEXT(Regen!E376,""",""?00;"",""?-00;"",""?00;"", //"""),"'","""")</f>
        <v>083, 19400109, 1,    0, 00</v>
      </c>
    </row>
    <row r="377" spans="1:1" x14ac:dyDescent="0.25">
      <c r="A377" s="25" t="str">
        <f ca="1">TEXT(Regen!A377,"000\,")&amp;TEXT(Regen!B377,"?00000000")&amp;TEXT(Regen!C377,""",""?0")&amp;SUBSTITUTE(TEXT(Regen!D377,""",""????0;"",""???-0;"",""????0;"", ////"""),"'","""")&amp;SUBSTITUTE(TEXT(Regen!E377,""",""?00;"",""?-00;"",""?00;"", //"""),"'","""")</f>
        <v>083, 19400110, 1,   10, 00</v>
      </c>
    </row>
    <row r="378" spans="1:1" x14ac:dyDescent="0.25">
      <c r="A378" s="25" t="str">
        <f ca="1">TEXT(Regen!A378,"000\,")&amp;TEXT(Regen!B378,"?00000000")&amp;TEXT(Regen!C378,""",""?0")&amp;SUBSTITUTE(TEXT(Regen!D378,""",""????0;"",""???-0;"",""????0;"", ////"""),"'","""")&amp;SUBSTITUTE(TEXT(Regen!E378,""",""?00;"",""?-00;"",""?00;"", //"""),"'","""")</f>
        <v>083, 19400111, 1,    0, 00</v>
      </c>
    </row>
    <row r="379" spans="1:1" x14ac:dyDescent="0.25">
      <c r="A379" s="25" t="str">
        <f ca="1">TEXT(Regen!A379,"000\,")&amp;TEXT(Regen!B379,"?00000000")&amp;TEXT(Regen!C379,""",""?0")&amp;SUBSTITUTE(TEXT(Regen!D379,""",""????0;"",""???-0;"",""????0;"", ////"""),"'","""")&amp;SUBSTITUTE(TEXT(Regen!E379,""",""?00;"",""?-00;"",""?00;"", //"""),"'","""")</f>
        <v>083, 19400112, 1,    0, 00</v>
      </c>
    </row>
    <row r="380" spans="1:1" x14ac:dyDescent="0.25">
      <c r="A380" s="25" t="str">
        <f ca="1">TEXT(Regen!A380,"000\,")&amp;TEXT(Regen!B380,"?00000000")&amp;TEXT(Regen!C380,""",""?0")&amp;SUBSTITUTE(TEXT(Regen!D380,""",""????0;"",""???-0;"",""????0;"", ////"""),"'","""")&amp;SUBSTITUTE(TEXT(Regen!E380,""",""?00;"",""?-00;"",""?00;"", //"""),"'","""")</f>
        <v>083, 19400113, 1,    0, 00</v>
      </c>
    </row>
    <row r="381" spans="1:1" x14ac:dyDescent="0.25">
      <c r="A381" s="25" t="str">
        <f ca="1">TEXT(Regen!A381,"000\,")&amp;TEXT(Regen!B381,"?00000000")&amp;TEXT(Regen!C381,""",""?0")&amp;SUBSTITUTE(TEXT(Regen!D381,""",""????0;"",""???-0;"",""????0;"", ////"""),"'","""")&amp;SUBSTITUTE(TEXT(Regen!E381,""",""?00;"",""?-00;"",""?00;"", //"""),"'","""")</f>
        <v>083, 19400114, 1,    0, 00</v>
      </c>
    </row>
    <row r="382" spans="1:1" x14ac:dyDescent="0.25">
      <c r="A382" s="25" t="str">
        <f ca="1">TEXT(Regen!A382,"000\,")&amp;TEXT(Regen!B382,"?00000000")&amp;TEXT(Regen!C382,""",""?0")&amp;SUBSTITUTE(TEXT(Regen!D382,""",""????0;"",""???-0;"",""????0;"", ////"""),"'","""")&amp;SUBSTITUTE(TEXT(Regen!E382,""",""?00;"",""?-00;"",""?00;"", //"""),"'","""")</f>
        <v>083, 19400115, 1,  140, 00</v>
      </c>
    </row>
    <row r="383" spans="1:1" x14ac:dyDescent="0.25">
      <c r="A383" s="25" t="str">
        <f ca="1">TEXT(Regen!A383,"000\,")&amp;TEXT(Regen!B383,"?00000000")&amp;TEXT(Regen!C383,""",""?0")&amp;SUBSTITUTE(TEXT(Regen!D383,""",""????0;"",""???-0;"",""????0;"", ////"""),"'","""")&amp;SUBSTITUTE(TEXT(Regen!E383,""",""?00;"",""?-00;"",""?00;"", //"""),"'","""")</f>
        <v>083, 19400116, 1,    0, 00</v>
      </c>
    </row>
    <row r="384" spans="1:1" x14ac:dyDescent="0.25">
      <c r="A384" s="25" t="str">
        <f ca="1">TEXT(Regen!A384,"000\,")&amp;TEXT(Regen!B384,"?00000000")&amp;TEXT(Regen!C384,""",""?0")&amp;SUBSTITUTE(TEXT(Regen!D384,""",""????0;"",""???-0;"",""????0;"", ////"""),"'","""")&amp;SUBSTITUTE(TEXT(Regen!E384,""",""?00;"",""?-00;"",""?00;"", //"""),"'","""")</f>
        <v>083, 19400117, 1,    0, 00</v>
      </c>
    </row>
    <row r="385" spans="1:1" x14ac:dyDescent="0.25">
      <c r="A385" s="25" t="str">
        <f ca="1">TEXT(Regen!A385,"000\,")&amp;TEXT(Regen!B385,"?00000000")&amp;TEXT(Regen!C385,""",""?0")&amp;SUBSTITUTE(TEXT(Regen!D385,""",""????0;"",""???-0;"",""????0;"", ////"""),"'","""")&amp;SUBSTITUTE(TEXT(Regen!E385,""",""?00;"",""?-00;"",""?00;"", //"""),"'","""")</f>
        <v>083, 19400118, 1,    0, 00</v>
      </c>
    </row>
    <row r="386" spans="1:1" x14ac:dyDescent="0.25">
      <c r="A386" s="25" t="str">
        <f ca="1">TEXT(Regen!A386,"000\,")&amp;TEXT(Regen!B386,"?00000000")&amp;TEXT(Regen!C386,""",""?0")&amp;SUBSTITUTE(TEXT(Regen!D386,""",""????0;"",""???-0;"",""????0;"", ////"""),"'","""")&amp;SUBSTITUTE(TEXT(Regen!E386,""",""?00;"",""?-00;"",""?00;"", //"""),"'","""")</f>
        <v>083, 19400119, 1,    0, 00</v>
      </c>
    </row>
    <row r="387" spans="1:1" x14ac:dyDescent="0.25">
      <c r="A387" s="25" t="str">
        <f ca="1">TEXT(Regen!A387,"000\,")&amp;TEXT(Regen!B387,"?00000000")&amp;TEXT(Regen!C387,""",""?0")&amp;SUBSTITUTE(TEXT(Regen!D387,""",""????0;"",""???-0;"",""????0;"", ////"""),"'","""")&amp;SUBSTITUTE(TEXT(Regen!E387,""",""?00;"",""?-00;"",""?00;"", //"""),"'","""")</f>
        <v>083, 19400120, 1,    0, 00</v>
      </c>
    </row>
    <row r="388" spans="1:1" x14ac:dyDescent="0.25">
      <c r="A388" s="25" t="str">
        <f ca="1">TEXT(Regen!A388,"000\,")&amp;TEXT(Regen!B388,"?00000000")&amp;TEXT(Regen!C388,""",""?0")&amp;SUBSTITUTE(TEXT(Regen!D388,""",""????0;"",""???-0;"",""????0;"", ////"""),"'","""")&amp;SUBSTITUTE(TEXT(Regen!E388,""",""?00;"",""?-00;"",""?00;"", //"""),"'","""")</f>
        <v>083, 19400121, 1,    0, 00</v>
      </c>
    </row>
    <row r="389" spans="1:1" x14ac:dyDescent="0.25">
      <c r="A389" s="25" t="str">
        <f ca="1">TEXT(Regen!A389,"000\,")&amp;TEXT(Regen!B389,"?00000000")&amp;TEXT(Regen!C389,""",""?0")&amp;SUBSTITUTE(TEXT(Regen!D389,""",""????0;"",""???-0;"",""????0;"", ////"""),"'","""")&amp;SUBSTITUTE(TEXT(Regen!E389,""",""?00;"",""?-00;"",""?00;"", //"""),"'","""")</f>
        <v>083, 19400122, 1,    0, 00</v>
      </c>
    </row>
    <row r="390" spans="1:1" x14ac:dyDescent="0.25">
      <c r="A390" s="25" t="str">
        <f ca="1">TEXT(Regen!A390,"000\,")&amp;TEXT(Regen!B390,"?00000000")&amp;TEXT(Regen!C390,""",""?0")&amp;SUBSTITUTE(TEXT(Regen!D390,""",""????0;"",""???-0;"",""????0;"", ////"""),"'","""")&amp;SUBSTITUTE(TEXT(Regen!E390,""",""?00;"",""?-00;"",""?00;"", //"""),"'","""")</f>
        <v>083, 19400123, 1,   50, 00</v>
      </c>
    </row>
    <row r="391" spans="1:1" x14ac:dyDescent="0.25">
      <c r="A391" s="25" t="str">
        <f ca="1">TEXT(Regen!A391,"000\,")&amp;TEXT(Regen!B391,"?00000000")&amp;TEXT(Regen!C391,""",""?0")&amp;SUBSTITUTE(TEXT(Regen!D391,""",""????0;"",""???-0;"",""????0;"", ////"""),"'","""")&amp;SUBSTITUTE(TEXT(Regen!E391,""",""?00;"",""?-00;"",""?00;"", //"""),"'","""")</f>
        <v>083, 19400124, 1,   30, 00</v>
      </c>
    </row>
    <row r="392" spans="1:1" x14ac:dyDescent="0.25">
      <c r="A392" s="25" t="str">
        <f ca="1">TEXT(Regen!A392,"000\,")&amp;TEXT(Regen!B392,"?00000000")&amp;TEXT(Regen!C392,""",""?0")&amp;SUBSTITUTE(TEXT(Regen!D392,""",""????0;"",""???-0;"",""????0;"", ////"""),"'","""")&amp;SUBSTITUTE(TEXT(Regen!E392,""",""?00;"",""?-00;"",""?00;"", //"""),"'","""")</f>
        <v>083, 19400125, 1,   90, 00</v>
      </c>
    </row>
    <row r="393" spans="1:1" x14ac:dyDescent="0.25">
      <c r="A393" s="25" t="str">
        <f ca="1">TEXT(Regen!A393,"000\,")&amp;TEXT(Regen!B393,"?00000000")&amp;TEXT(Regen!C393,""",""?0")&amp;SUBSTITUTE(TEXT(Regen!D393,""",""????0;"",""???-0;"",""????0;"", ////"""),"'","""")&amp;SUBSTITUTE(TEXT(Regen!E393,""",""?00;"",""?-00;"",""?00;"", //"""),"'","""")</f>
        <v>083, 19400126, 1,   40, 00</v>
      </c>
    </row>
    <row r="394" spans="1:1" x14ac:dyDescent="0.25">
      <c r="A394" s="25" t="str">
        <f ca="1">TEXT(Regen!A394,"000\,")&amp;TEXT(Regen!B394,"?00000000")&amp;TEXT(Regen!C394,""",""?0")&amp;SUBSTITUTE(TEXT(Regen!D394,""",""????0;"",""???-0;"",""????0;"", ////"""),"'","""")&amp;SUBSTITUTE(TEXT(Regen!E394,""",""?00;"",""?-00;"",""?00;"", //"""),"'","""")</f>
        <v>083, 19400127, 1,    0, 00</v>
      </c>
    </row>
    <row r="395" spans="1:1" x14ac:dyDescent="0.25">
      <c r="A395" s="25" t="str">
        <f ca="1">TEXT(Regen!A395,"000\,")&amp;TEXT(Regen!B395,"?00000000")&amp;TEXT(Regen!C395,""",""?0")&amp;SUBSTITUTE(TEXT(Regen!D395,""",""????0;"",""???-0;"",""????0;"", ////"""),"'","""")&amp;SUBSTITUTE(TEXT(Regen!E395,""",""?00;"",""?-00;"",""?00;"", //"""),"'","""")</f>
        <v>083, 19400128, 1,    0, 00</v>
      </c>
    </row>
    <row r="396" spans="1:1" x14ac:dyDescent="0.25">
      <c r="A396" s="25" t="str">
        <f ca="1">TEXT(Regen!A396,"000\,")&amp;TEXT(Regen!B396,"?00000000")&amp;TEXT(Regen!C396,""",""?0")&amp;SUBSTITUTE(TEXT(Regen!D396,""",""????0;"",""???-0;"",""????0;"", ////"""),"'","""")&amp;SUBSTITUTE(TEXT(Regen!E396,""",""?00;"",""?-00;"",""?00;"", //"""),"'","""")</f>
        <v>083, 19400129, 1,    0, 00</v>
      </c>
    </row>
    <row r="397" spans="1:1" x14ac:dyDescent="0.25">
      <c r="A397" s="25" t="str">
        <f ca="1">TEXT(Regen!A397,"000\,")&amp;TEXT(Regen!B397,"?00000000")&amp;TEXT(Regen!C397,""",""?0")&amp;SUBSTITUTE(TEXT(Regen!D397,""",""????0;"",""???-0;"",""????0;"", ////"""),"'","""")&amp;SUBSTITUTE(TEXT(Regen!E397,""",""?00;"",""?-00;"",""?00;"", //"""),"'","""")</f>
        <v>083, 19400130, 1,    0, 00</v>
      </c>
    </row>
    <row r="398" spans="1:1" x14ac:dyDescent="0.25">
      <c r="A398" s="25" t="str">
        <f ca="1">TEXT(Regen!A398,"000\,")&amp;TEXT(Regen!B398,"?00000000")&amp;TEXT(Regen!C398,""",""?0")&amp;SUBSTITUTE(TEXT(Regen!D398,""",""????0;"",""???-0;"",""????0;"", ////"""),"'","""")&amp;SUBSTITUTE(TEXT(Regen!E398,""",""?00;"",""?-00;"",""?00;"", //"""),"'","""")</f>
        <v>083, 19400131, 1,    0, 00</v>
      </c>
    </row>
    <row r="399" spans="1:1" x14ac:dyDescent="0.25">
      <c r="A399" s="25" t="str">
        <f ca="1">TEXT(Regen!A399,"000\,")&amp;TEXT(Regen!B399,"?00000000")&amp;TEXT(Regen!C399,""",""?0")&amp;SUBSTITUTE(TEXT(Regen!D399,""",""????0;"",""???-0;"",""????0;"", ////"""),"'","""")&amp;SUBSTITUTE(TEXT(Regen!E399,""",""?00;"",""?-00;"",""?00;"", //"""),"'","""")</f>
        <v>083, 19400201, 1,    0, 00</v>
      </c>
    </row>
    <row r="400" spans="1:1" x14ac:dyDescent="0.25">
      <c r="A400" s="25" t="str">
        <f ca="1">TEXT(Regen!A400,"000\,")&amp;TEXT(Regen!B400,"?00000000")&amp;TEXT(Regen!C400,""",""?0")&amp;SUBSTITUTE(TEXT(Regen!D400,""",""????0;"",""???-0;"",""????0;"", ////"""),"'","""")&amp;SUBSTITUTE(TEXT(Regen!E400,""",""?00;"",""?-00;"",""?00;"", //"""),"'","""")</f>
        <v>083, 19400202, 1,    0, 00</v>
      </c>
    </row>
    <row r="401" spans="1:1" x14ac:dyDescent="0.25">
      <c r="A401" s="25" t="str">
        <f ca="1">TEXT(Regen!A401,"000\,")&amp;TEXT(Regen!B401,"?00000000")&amp;TEXT(Regen!C401,""",""?0")&amp;SUBSTITUTE(TEXT(Regen!D401,""",""????0;"",""???-0;"",""????0;"", ////"""),"'","""")&amp;SUBSTITUTE(TEXT(Regen!E401,""",""?00;"",""?-00;"",""?00;"", //"""),"'","""")</f>
        <v>083, 19400203, 1,    0, 00</v>
      </c>
    </row>
    <row r="402" spans="1:1" x14ac:dyDescent="0.25">
      <c r="A402" s="25" t="str">
        <f ca="1">TEXT(Regen!A402,"000\,")&amp;TEXT(Regen!B402,"?00000000")&amp;TEXT(Regen!C402,""",""?0")&amp;SUBSTITUTE(TEXT(Regen!D402,""",""????0;"",""???-0;"",""????0;"", ////"""),"'","""")&amp;SUBSTITUTE(TEXT(Regen!E402,""",""?00;"",""?-00;"",""?00;"", //"""),"'","""")</f>
        <v>083, 19400204, 1,   80, 00</v>
      </c>
    </row>
    <row r="403" spans="1:1" x14ac:dyDescent="0.25">
      <c r="A403" s="25" t="str">
        <f ca="1">TEXT(Regen!A403,"000\,")&amp;TEXT(Regen!B403,"?00000000")&amp;TEXT(Regen!C403,""",""?0")&amp;SUBSTITUTE(TEXT(Regen!D403,""",""????0;"",""???-0;"",""????0;"", ////"""),"'","""")&amp;SUBSTITUTE(TEXT(Regen!E403,""",""?00;"",""?-00;"",""?00;"", //"""),"'","""")</f>
        <v>083, 19400205, 1,    0, 00</v>
      </c>
    </row>
    <row r="404" spans="1:1" x14ac:dyDescent="0.25">
      <c r="A404" s="25" t="str">
        <f ca="1">TEXT(Regen!A404,"000\,")&amp;TEXT(Regen!B404,"?00000000")&amp;TEXT(Regen!C404,""",""?0")&amp;SUBSTITUTE(TEXT(Regen!D404,""",""????0;"",""???-0;"",""????0;"", ////"""),"'","""")&amp;SUBSTITUTE(TEXT(Regen!E404,""",""?00;"",""?-00;"",""?00;"", //"""),"'","""")</f>
        <v>083, 19400206, 1,    0, 00</v>
      </c>
    </row>
    <row r="405" spans="1:1" x14ac:dyDescent="0.25">
      <c r="A405" s="25" t="str">
        <f ca="1">TEXT(Regen!A405,"000\,")&amp;TEXT(Regen!B405,"?00000000")&amp;TEXT(Regen!C405,""",""?0")&amp;SUBSTITUTE(TEXT(Regen!D405,""",""????0;"",""???-0;"",""????0;"", ////"""),"'","""")&amp;SUBSTITUTE(TEXT(Regen!E405,""",""?00;"",""?-00;"",""?00;"", //"""),"'","""")</f>
        <v>083, 19400207, 1,   40, 00</v>
      </c>
    </row>
    <row r="406" spans="1:1" x14ac:dyDescent="0.25">
      <c r="A406" s="25" t="str">
        <f ca="1">TEXT(Regen!A406,"000\,")&amp;TEXT(Regen!B406,"?00000000")&amp;TEXT(Regen!C406,""",""?0")&amp;SUBSTITUTE(TEXT(Regen!D406,""",""????0;"",""???-0;"",""????0;"", ////"""),"'","""")&amp;SUBSTITUTE(TEXT(Regen!E406,""",""?00;"",""?-00;"",""?00;"", //"""),"'","""")</f>
        <v>083, 19400208, 1,    0, 00</v>
      </c>
    </row>
    <row r="407" spans="1:1" x14ac:dyDescent="0.25">
      <c r="A407" s="25" t="str">
        <f ca="1">TEXT(Regen!A407,"000\,")&amp;TEXT(Regen!B407,"?00000000")&amp;TEXT(Regen!C407,""",""?0")&amp;SUBSTITUTE(TEXT(Regen!D407,""",""????0;"",""???-0;"",""????0;"", ////"""),"'","""")&amp;SUBSTITUTE(TEXT(Regen!E407,""",""?00;"",""?-00;"",""?00;"", //"""),"'","""")</f>
        <v>083, 19400209, 1,    0, 00</v>
      </c>
    </row>
    <row r="408" spans="1:1" x14ac:dyDescent="0.25">
      <c r="A408" s="25" t="str">
        <f ca="1">TEXT(Regen!A408,"000\,")&amp;TEXT(Regen!B408,"?00000000")&amp;TEXT(Regen!C408,""",""?0")&amp;SUBSTITUTE(TEXT(Regen!D408,""",""????0;"",""???-0;"",""????0;"", ////"""),"'","""")&amp;SUBSTITUTE(TEXT(Regen!E408,""",""?00;"",""?-00;"",""?00;"", //"""),"'","""")</f>
        <v>083, 19400210, 1,   70, 00</v>
      </c>
    </row>
    <row r="409" spans="1:1" x14ac:dyDescent="0.25">
      <c r="A409" s="25" t="str">
        <f ca="1">TEXT(Regen!A409,"000\,")&amp;TEXT(Regen!B409,"?00000000")&amp;TEXT(Regen!C409,""",""?0")&amp;SUBSTITUTE(TEXT(Regen!D409,""",""????0;"",""???-0;"",""????0;"", ////"""),"'","""")&amp;SUBSTITUTE(TEXT(Regen!E409,""",""?00;"",""?-00;"",""?00;"", //"""),"'","""")</f>
        <v>083, 19400211, 1,    0, 00</v>
      </c>
    </row>
    <row r="410" spans="1:1" x14ac:dyDescent="0.25">
      <c r="A410" s="25" t="str">
        <f ca="1">TEXT(Regen!A410,"000\,")&amp;TEXT(Regen!B410,"?00000000")&amp;TEXT(Regen!C410,""",""?0")&amp;SUBSTITUTE(TEXT(Regen!D410,""",""????0;"",""???-0;"",""????0;"", ////"""),"'","""")&amp;SUBSTITUTE(TEXT(Regen!E410,""",""?00;"",""?-00;"",""?00;"", //"""),"'","""")</f>
        <v>083, 19400212, 1,  110, 00</v>
      </c>
    </row>
    <row r="411" spans="1:1" x14ac:dyDescent="0.25">
      <c r="A411" s="25" t="str">
        <f ca="1">TEXT(Regen!A411,"000\,")&amp;TEXT(Regen!B411,"?00000000")&amp;TEXT(Regen!C411,""",""?0")&amp;SUBSTITUTE(TEXT(Regen!D411,""",""????0;"",""???-0;"",""????0;"", ////"""),"'","""")&amp;SUBSTITUTE(TEXT(Regen!E411,""",""?00;"",""?-00;"",""?00;"", //"""),"'","""")</f>
        <v>083, 19400213, 1,   20, 00</v>
      </c>
    </row>
    <row r="412" spans="1:1" x14ac:dyDescent="0.25">
      <c r="A412" s="25" t="str">
        <f ca="1">TEXT(Regen!A412,"000\,")&amp;TEXT(Regen!B412,"?00000000")&amp;TEXT(Regen!C412,""",""?0")&amp;SUBSTITUTE(TEXT(Regen!D412,""",""????0;"",""???-0;"",""????0;"", ////"""),"'","""")&amp;SUBSTITUTE(TEXT(Regen!E412,""",""?00;"",""?-00;"",""?00;"", //"""),"'","""")</f>
        <v>083, 19400214, 1,   10, 00</v>
      </c>
    </row>
    <row r="413" spans="1:1" x14ac:dyDescent="0.25">
      <c r="A413" s="25" t="str">
        <f ca="1">TEXT(Regen!A413,"000\,")&amp;TEXT(Regen!B413,"?00000000")&amp;TEXT(Regen!C413,""",""?0")&amp;SUBSTITUTE(TEXT(Regen!D413,""",""????0;"",""???-0;"",""????0;"", ////"""),"'","""")&amp;SUBSTITUTE(TEXT(Regen!E413,""",""?00;"",""?-00;"",""?00;"", //"""),"'","""")</f>
        <v>083, 19400215, 1,    0, 00</v>
      </c>
    </row>
    <row r="414" spans="1:1" x14ac:dyDescent="0.25">
      <c r="A414" s="25" t="str">
        <f ca="1">TEXT(Regen!A414,"000\,")&amp;TEXT(Regen!B414,"?00000000")&amp;TEXT(Regen!C414,""",""?0")&amp;SUBSTITUTE(TEXT(Regen!D414,""",""????0;"",""???-0;"",""????0;"", ////"""),"'","""")&amp;SUBSTITUTE(TEXT(Regen!E414,""",""?00;"",""?-00;"",""?00;"", //"""),"'","""")</f>
        <v>083, 19400216, 1,    0, 00</v>
      </c>
    </row>
    <row r="415" spans="1:1" x14ac:dyDescent="0.25">
      <c r="A415" s="25" t="str">
        <f ca="1">TEXT(Regen!A415,"000\,")&amp;TEXT(Regen!B415,"?00000000")&amp;TEXT(Regen!C415,""",""?0")&amp;SUBSTITUTE(TEXT(Regen!D415,""",""????0;"",""???-0;"",""????0;"", ////"""),"'","""")&amp;SUBSTITUTE(TEXT(Regen!E415,""",""?00;"",""?-00;"",""?00;"", //"""),"'","""")</f>
        <v>083, 19400217, 1,   50, 00</v>
      </c>
    </row>
    <row r="416" spans="1:1" x14ac:dyDescent="0.25">
      <c r="A416" s="25" t="str">
        <f ca="1">TEXT(Regen!A416,"000\,")&amp;TEXT(Regen!B416,"?00000000")&amp;TEXT(Regen!C416,""",""?0")&amp;SUBSTITUTE(TEXT(Regen!D416,""",""????0;"",""???-0;"",""????0;"", ////"""),"'","""")&amp;SUBSTITUTE(TEXT(Regen!E416,""",""?00;"",""?-00;"",""?00;"", //"""),"'","""")</f>
        <v>083, 19400218, 1,  100, 00</v>
      </c>
    </row>
    <row r="417" spans="1:1" x14ac:dyDescent="0.25">
      <c r="A417" s="25" t="str">
        <f ca="1">TEXT(Regen!A417,"000\,")&amp;TEXT(Regen!B417,"?00000000")&amp;TEXT(Regen!C417,""",""?0")&amp;SUBSTITUTE(TEXT(Regen!D417,""",""????0;"",""???-0;"",""????0;"", ////"""),"'","""")&amp;SUBSTITUTE(TEXT(Regen!E417,""",""?00;"",""?-00;"",""?00;"", //"""),"'","""")</f>
        <v>083, 19400219, 1,    0, 00</v>
      </c>
    </row>
    <row r="418" spans="1:1" x14ac:dyDescent="0.25">
      <c r="A418" s="25" t="str">
        <f ca="1">TEXT(Regen!A418,"000\,")&amp;TEXT(Regen!B418,"?00000000")&amp;TEXT(Regen!C418,""",""?0")&amp;SUBSTITUTE(TEXT(Regen!D418,""",""????0;"",""???-0;"",""????0;"", ////"""),"'","""")&amp;SUBSTITUTE(TEXT(Regen!E418,""",""?00;"",""?-00;"",""?00;"", //"""),"'","""")</f>
        <v>083, 19400220, 1,    0, 00</v>
      </c>
    </row>
    <row r="419" spans="1:1" x14ac:dyDescent="0.25">
      <c r="A419" s="25" t="str">
        <f ca="1">TEXT(Regen!A419,"000\,")&amp;TEXT(Regen!B419,"?00000000")&amp;TEXT(Regen!C419,""",""?0")&amp;SUBSTITUTE(TEXT(Regen!D419,""",""????0;"",""???-0;"",""????0;"", ////"""),"'","""")&amp;SUBSTITUTE(TEXT(Regen!E419,""",""?00;"",""?-00;"",""?00;"", //"""),"'","""")</f>
        <v>083, 19400221, 1,    0, 00</v>
      </c>
    </row>
    <row r="420" spans="1:1" x14ac:dyDescent="0.25">
      <c r="A420" s="25" t="str">
        <f ca="1">TEXT(Regen!A420,"000\,")&amp;TEXT(Regen!B420,"?00000000")&amp;TEXT(Regen!C420,""",""?0")&amp;SUBSTITUTE(TEXT(Regen!D420,""",""????0;"",""???-0;"",""????0;"", ////"""),"'","""")&amp;SUBSTITUTE(TEXT(Regen!E420,""",""?00;"",""?-00;"",""?00;"", //"""),"'","""")</f>
        <v>083, 19400222, 1,    0, 00</v>
      </c>
    </row>
    <row r="421" spans="1:1" x14ac:dyDescent="0.25">
      <c r="A421" s="25" t="str">
        <f ca="1">TEXT(Regen!A421,"000\,")&amp;TEXT(Regen!B421,"?00000000")&amp;TEXT(Regen!C421,""",""?0")&amp;SUBSTITUTE(TEXT(Regen!D421,""",""????0;"",""???-0;"",""????0;"", ////"""),"'","""")&amp;SUBSTITUTE(TEXT(Regen!E421,""",""?00;"",""?-00;"",""?00;"", //"""),"'","""")</f>
        <v>083, 19400223, 1,    0, 00</v>
      </c>
    </row>
    <row r="422" spans="1:1" x14ac:dyDescent="0.25">
      <c r="A422" s="25" t="str">
        <f ca="1">TEXT(Regen!A422,"000\,")&amp;TEXT(Regen!B422,"?00000000")&amp;TEXT(Regen!C422,""",""?0")&amp;SUBSTITUTE(TEXT(Regen!D422,""",""????0;"",""???-0;"",""????0;"", ////"""),"'","""")&amp;SUBSTITUTE(TEXT(Regen!E422,""",""?00;"",""?-00;"",""?00;"", //"""),"'","""")</f>
        <v>083, 19400224, 1,    0, 00</v>
      </c>
    </row>
    <row r="423" spans="1:1" x14ac:dyDescent="0.25">
      <c r="A423" s="25" t="str">
        <f ca="1">TEXT(Regen!A423,"000\,")&amp;TEXT(Regen!B423,"?00000000")&amp;TEXT(Regen!C423,""",""?0")&amp;SUBSTITUTE(TEXT(Regen!D423,""",""????0;"",""???-0;"",""????0;"", ////"""),"'","""")&amp;SUBSTITUTE(TEXT(Regen!E423,""",""?00;"",""?-00;"",""?00;"", //"""),"'","""")</f>
        <v>083, 19400225, 1,    0, 00</v>
      </c>
    </row>
    <row r="424" spans="1:1" x14ac:dyDescent="0.25">
      <c r="A424" s="25" t="str">
        <f ca="1">TEXT(Regen!A424,"000\,")&amp;TEXT(Regen!B424,"?00000000")&amp;TEXT(Regen!C424,""",""?0")&amp;SUBSTITUTE(TEXT(Regen!D424,""",""????0;"",""???-0;"",""????0;"", ////"""),"'","""")&amp;SUBSTITUTE(TEXT(Regen!E424,""",""?00;"",""?-00;"",""?00;"", //"""),"'","""")</f>
        <v>083, 19400226, 1,    0, 00</v>
      </c>
    </row>
    <row r="425" spans="1:1" x14ac:dyDescent="0.25">
      <c r="A425" s="25" t="str">
        <f ca="1">TEXT(Regen!A425,"000\,")&amp;TEXT(Regen!B425,"?00000000")&amp;TEXT(Regen!C425,""",""?0")&amp;SUBSTITUTE(TEXT(Regen!D425,""",""????0;"",""???-0;"",""????0;"", ////"""),"'","""")&amp;SUBSTITUTE(TEXT(Regen!E425,""",""?00;"",""?-00;"",""?00;"", //"""),"'","""")</f>
        <v>083, 19400227, 1,   10, 00</v>
      </c>
    </row>
    <row r="426" spans="1:1" x14ac:dyDescent="0.25">
      <c r="A426" s="25" t="str">
        <f ca="1">TEXT(Regen!A426,"000\,")&amp;TEXT(Regen!B426,"?00000000")&amp;TEXT(Regen!C426,""",""?0")&amp;SUBSTITUTE(TEXT(Regen!D426,""",""????0;"",""???-0;"",""????0;"", ////"""),"'","""")&amp;SUBSTITUTE(TEXT(Regen!E426,""",""?00;"",""?-00;"",""?00;"", //"""),"'","""")</f>
        <v>083, 19400228, 1,   80, 00</v>
      </c>
    </row>
    <row r="427" spans="1:1" x14ac:dyDescent="0.25">
      <c r="A427" s="25" t="str">
        <f ca="1">TEXT(Regen!A427,"000\,")&amp;TEXT(Regen!B427,"?00000000")&amp;TEXT(Regen!C427,""",""?0")&amp;SUBSTITUTE(TEXT(Regen!D427,""",""????0;"",""???-0;"",""????0;"", ////"""),"'","""")&amp;SUBSTITUTE(TEXT(Regen!E427,""",""?00;"",""?-00;"",""?00;"", //"""),"'","""")</f>
        <v>083, 19400229, 1,  110, 00</v>
      </c>
    </row>
    <row r="428" spans="1:1" x14ac:dyDescent="0.25">
      <c r="A428" s="25" t="str">
        <f ca="1">TEXT(Regen!A428,"000\,")&amp;TEXT(Regen!B428,"?00000000")&amp;TEXT(Regen!C428,""",""?0")&amp;SUBSTITUTE(TEXT(Regen!D428,""",""????0;"",""???-0;"",""????0;"", ////"""),"'","""")&amp;SUBSTITUTE(TEXT(Regen!E428,""",""?00;"",""?-00;"",""?00;"", //"""),"'","""")</f>
        <v>083, 19400301, 1,   30, 00</v>
      </c>
    </row>
    <row r="429" spans="1:1" x14ac:dyDescent="0.25">
      <c r="A429" s="25" t="str">
        <f ca="1">TEXT(Regen!A429,"000\,")&amp;TEXT(Regen!B429,"?00000000")&amp;TEXT(Regen!C429,""",""?0")&amp;SUBSTITUTE(TEXT(Regen!D429,""",""????0;"",""???-0;"",""????0;"", ////"""),"'","""")&amp;SUBSTITUTE(TEXT(Regen!E429,""",""?00;"",""?-00;"",""?00;"", //"""),"'","""")</f>
        <v>083, 19400302, 1,    0, 00</v>
      </c>
    </row>
    <row r="430" spans="1:1" x14ac:dyDescent="0.25">
      <c r="A430" s="25" t="str">
        <f ca="1">TEXT(Regen!A430,"000\,")&amp;TEXT(Regen!B430,"?00000000")&amp;TEXT(Regen!C430,""",""?0")&amp;SUBSTITUTE(TEXT(Regen!D430,""",""????0;"",""???-0;"",""????0;"", ////"""),"'","""")&amp;SUBSTITUTE(TEXT(Regen!E430,""",""?00;"",""?-00;"",""?00;"", //"""),"'","""")</f>
        <v>083, 19400303, 1,    0, 00</v>
      </c>
    </row>
    <row r="431" spans="1:1" x14ac:dyDescent="0.25">
      <c r="A431" s="25" t="str">
        <f ca="1">TEXT(Regen!A431,"000\,")&amp;TEXT(Regen!B431,"?00000000")&amp;TEXT(Regen!C431,""",""?0")&amp;SUBSTITUTE(TEXT(Regen!D431,""",""????0;"",""???-0;"",""????0;"", ////"""),"'","""")&amp;SUBSTITUTE(TEXT(Regen!E431,""",""?00;"",""?-00;"",""?00;"", //"""),"'","""")</f>
        <v>083, 19400304, 1,    0, 00</v>
      </c>
    </row>
    <row r="432" spans="1:1" x14ac:dyDescent="0.25">
      <c r="A432" s="25" t="str">
        <f ca="1">TEXT(Regen!A432,"000\,")&amp;TEXT(Regen!B432,"?00000000")&amp;TEXT(Regen!C432,""",""?0")&amp;SUBSTITUTE(TEXT(Regen!D432,""",""????0;"",""???-0;"",""????0;"", ////"""),"'","""")&amp;SUBSTITUTE(TEXT(Regen!E432,""",""?00;"",""?-00;"",""?00;"", //"""),"'","""")</f>
        <v>083, 19400305, 1,    0, 00</v>
      </c>
    </row>
    <row r="433" spans="1:1" x14ac:dyDescent="0.25">
      <c r="A433" s="25" t="str">
        <f ca="1">TEXT(Regen!A433,"000\,")&amp;TEXT(Regen!B433,"?00000000")&amp;TEXT(Regen!C433,""",""?0")&amp;SUBSTITUTE(TEXT(Regen!D433,""",""????0;"",""???-0;"",""????0;"", ////"""),"'","""")&amp;SUBSTITUTE(TEXT(Regen!E433,""",""?00;"",""?-00;"",""?00;"", //"""),"'","""")</f>
        <v>083, 19400306, 1,    0, 00</v>
      </c>
    </row>
    <row r="434" spans="1:1" x14ac:dyDescent="0.25">
      <c r="A434" s="25" t="str">
        <f ca="1">TEXT(Regen!A434,"000\,")&amp;TEXT(Regen!B434,"?00000000")&amp;TEXT(Regen!C434,""",""?0")&amp;SUBSTITUTE(TEXT(Regen!D434,""",""????0;"",""???-0;"",""????0;"", ////"""),"'","""")&amp;SUBSTITUTE(TEXT(Regen!E434,""",""?00;"",""?-00;"",""?00;"", //"""),"'","""")</f>
        <v>083, 19400307, 1,    0, 00</v>
      </c>
    </row>
    <row r="435" spans="1:1" x14ac:dyDescent="0.25">
      <c r="A435" s="25" t="str">
        <f ca="1">TEXT(Regen!A435,"000\,")&amp;TEXT(Regen!B435,"?00000000")&amp;TEXT(Regen!C435,""",""?0")&amp;SUBSTITUTE(TEXT(Regen!D435,""",""????0;"",""???-0;"",""????0;"", ////"""),"'","""")&amp;SUBSTITUTE(TEXT(Regen!E435,""",""?00;"",""?-00;"",""?00;"", //"""),"'","""")</f>
        <v>083, 19400308, 1,    0, 00</v>
      </c>
    </row>
    <row r="436" spans="1:1" x14ac:dyDescent="0.25">
      <c r="A436" s="25" t="str">
        <f ca="1">TEXT(Regen!A436,"000\,")&amp;TEXT(Regen!B436,"?00000000")&amp;TEXT(Regen!C436,""",""?0")&amp;SUBSTITUTE(TEXT(Regen!D436,""",""????0;"",""???-0;"",""????0;"", ////"""),"'","""")&amp;SUBSTITUTE(TEXT(Regen!E436,""",""?00;"",""?-00;"",""?00;"", //"""),"'","""")</f>
        <v>083, 19400309, 1,    0, 00</v>
      </c>
    </row>
    <row r="437" spans="1:1" x14ac:dyDescent="0.25">
      <c r="A437" s="25" t="str">
        <f ca="1">TEXT(Regen!A437,"000\,")&amp;TEXT(Regen!B437,"?00000000")&amp;TEXT(Regen!C437,""",""?0")&amp;SUBSTITUTE(TEXT(Regen!D437,""",""????0;"",""???-0;"",""????0;"", ////"""),"'","""")&amp;SUBSTITUTE(TEXT(Regen!E437,""",""?00;"",""?-00;"",""?00;"", //"""),"'","""")</f>
        <v>083, 19400310, 1,    0, 00</v>
      </c>
    </row>
    <row r="438" spans="1:1" x14ac:dyDescent="0.25">
      <c r="A438" s="25" t="str">
        <f ca="1">TEXT(Regen!A438,"000\,")&amp;TEXT(Regen!B438,"?00000000")&amp;TEXT(Regen!C438,""",""?0")&amp;SUBSTITUTE(TEXT(Regen!D438,""",""????0;"",""???-0;"",""????0;"", ////"""),"'","""")&amp;SUBSTITUTE(TEXT(Regen!E438,""",""?00;"",""?-00;"",""?00;"", //"""),"'","""")</f>
        <v>083, 19400311, 1,  180, 00</v>
      </c>
    </row>
    <row r="439" spans="1:1" x14ac:dyDescent="0.25">
      <c r="A439" s="25" t="str">
        <f ca="1">TEXT(Regen!A439,"000\,")&amp;TEXT(Regen!B439,"?00000000")&amp;TEXT(Regen!C439,""",""?0")&amp;SUBSTITUTE(TEXT(Regen!D439,""",""????0;"",""???-0;"",""????0;"", ////"""),"'","""")&amp;SUBSTITUTE(TEXT(Regen!E439,""",""?00;"",""?-00;"",""?00;"", //"""),"'","""")</f>
        <v>083, 19400312, 1,   50, 00</v>
      </c>
    </row>
    <row r="440" spans="1:1" x14ac:dyDescent="0.25">
      <c r="A440" s="25" t="str">
        <f ca="1">TEXT(Regen!A440,"000\,")&amp;TEXT(Regen!B440,"?00000000")&amp;TEXT(Regen!C440,""",""?0")&amp;SUBSTITUTE(TEXT(Regen!D440,""",""????0;"",""???-0;"",""????0;"", ////"""),"'","""")&amp;SUBSTITUTE(TEXT(Regen!E440,""",""?00;"",""?-00;"",""?00;"", //"""),"'","""")</f>
        <v>083, 19400313, 1,    0, 00</v>
      </c>
    </row>
    <row r="441" spans="1:1" x14ac:dyDescent="0.25">
      <c r="A441" s="25" t="str">
        <f ca="1">TEXT(Regen!A441,"000\,")&amp;TEXT(Regen!B441,"?00000000")&amp;TEXT(Regen!C441,""",""?0")&amp;SUBSTITUTE(TEXT(Regen!D441,""",""????0;"",""???-0;"",""????0;"", ////"""),"'","""")&amp;SUBSTITUTE(TEXT(Regen!E441,""",""?00;"",""?-00;"",""?00;"", //"""),"'","""")</f>
        <v>083, 19400314, 1,    0, 00</v>
      </c>
    </row>
    <row r="442" spans="1:1" x14ac:dyDescent="0.25">
      <c r="A442" s="25" t="str">
        <f ca="1">TEXT(Regen!A442,"000\,")&amp;TEXT(Regen!B442,"?00000000")&amp;TEXT(Regen!C442,""",""?0")&amp;SUBSTITUTE(TEXT(Regen!D442,""",""????0;"",""???-0;"",""????0;"", ////"""),"'","""")&amp;SUBSTITUTE(TEXT(Regen!E442,""",""?00;"",""?-00;"",""?00;"", //"""),"'","""")</f>
        <v>083, 19400315, 1,    0, 00</v>
      </c>
    </row>
    <row r="443" spans="1:1" x14ac:dyDescent="0.25">
      <c r="A443" s="25" t="str">
        <f ca="1">TEXT(Regen!A443,"000\,")&amp;TEXT(Regen!B443,"?00000000")&amp;TEXT(Regen!C443,""",""?0")&amp;SUBSTITUTE(TEXT(Regen!D443,""",""????0;"",""???-0;"",""????0;"", ////"""),"'","""")&amp;SUBSTITUTE(TEXT(Regen!E443,""",""?00;"",""?-00;"",""?00;"", //"""),"'","""")</f>
        <v>083, 19400316, 1,    0, 00</v>
      </c>
    </row>
    <row r="444" spans="1:1" x14ac:dyDescent="0.25">
      <c r="A444" s="25" t="str">
        <f ca="1">TEXT(Regen!A444,"000\,")&amp;TEXT(Regen!B444,"?00000000")&amp;TEXT(Regen!C444,""",""?0")&amp;SUBSTITUTE(TEXT(Regen!D444,""",""????0;"",""???-0;"",""????0;"", ////"""),"'","""")&amp;SUBSTITUTE(TEXT(Regen!E444,""",""?00;"",""?-00;"",""?00;"", //"""),"'","""")</f>
        <v>083, 19400317, 1,    0, 00</v>
      </c>
    </row>
    <row r="445" spans="1:1" x14ac:dyDescent="0.25">
      <c r="A445" s="25" t="str">
        <f ca="1">TEXT(Regen!A445,"000\,")&amp;TEXT(Regen!B445,"?00000000")&amp;TEXT(Regen!C445,""",""?0")&amp;SUBSTITUTE(TEXT(Regen!D445,""",""????0;"",""???-0;"",""????0;"", ////"""),"'","""")&amp;SUBSTITUTE(TEXT(Regen!E445,""",""?00;"",""?-00;"",""?00;"", //"""),"'","""")</f>
        <v>083, 19400318, 1,    0, 00</v>
      </c>
    </row>
    <row r="446" spans="1:1" x14ac:dyDescent="0.25">
      <c r="A446" s="25" t="str">
        <f ca="1">TEXT(Regen!A446,"000\,")&amp;TEXT(Regen!B446,"?00000000")&amp;TEXT(Regen!C446,""",""?0")&amp;SUBSTITUTE(TEXT(Regen!D446,""",""????0;"",""???-0;"",""????0;"", ////"""),"'","""")&amp;SUBSTITUTE(TEXT(Regen!E446,""",""?00;"",""?-00;"",""?00;"", //"""),"'","""")</f>
        <v>083, 19400319, 1,    0, 00</v>
      </c>
    </row>
    <row r="447" spans="1:1" x14ac:dyDescent="0.25">
      <c r="A447" s="25" t="str">
        <f ca="1">TEXT(Regen!A447,"000\,")&amp;TEXT(Regen!B447,"?00000000")&amp;TEXT(Regen!C447,""",""?0")&amp;SUBSTITUTE(TEXT(Regen!D447,""",""????0;"",""???-0;"",""????0;"", ////"""),"'","""")&amp;SUBSTITUTE(TEXT(Regen!E447,""",""?00;"",""?-00;"",""?00;"", //"""),"'","""")</f>
        <v>083, 19400320, 1,    0, 00</v>
      </c>
    </row>
    <row r="448" spans="1:1" x14ac:dyDescent="0.25">
      <c r="A448" s="25" t="str">
        <f ca="1">TEXT(Regen!A448,"000\,")&amp;TEXT(Regen!B448,"?00000000")&amp;TEXT(Regen!C448,""",""?0")&amp;SUBSTITUTE(TEXT(Regen!D448,""",""????0;"",""???-0;"",""????0;"", ////"""),"'","""")&amp;SUBSTITUTE(TEXT(Regen!E448,""",""?00;"",""?-00;"",""?00;"", //"""),"'","""")</f>
        <v>083, 19400321, 1,    0, 00</v>
      </c>
    </row>
    <row r="449" spans="1:1" x14ac:dyDescent="0.25">
      <c r="A449" s="25" t="str">
        <f ca="1">TEXT(Regen!A449,"000\,")&amp;TEXT(Regen!B449,"?00000000")&amp;TEXT(Regen!C449,""",""?0")&amp;SUBSTITUTE(TEXT(Regen!D449,""",""????0;"",""???-0;"",""????0;"", ////"""),"'","""")&amp;SUBSTITUTE(TEXT(Regen!E449,""",""?00;"",""?-00;"",""?00;"", //"""),"'","""")</f>
        <v>083, 19400322, 1,    0, 00</v>
      </c>
    </row>
    <row r="450" spans="1:1" x14ac:dyDescent="0.25">
      <c r="A450" s="25" t="str">
        <f ca="1">TEXT(Regen!A450,"000\,")&amp;TEXT(Regen!B450,"?00000000")&amp;TEXT(Regen!C450,""",""?0")&amp;SUBSTITUTE(TEXT(Regen!D450,""",""????0;"",""???-0;"",""????0;"", ////"""),"'","""")&amp;SUBSTITUTE(TEXT(Regen!E450,""",""?00;"",""?-00;"",""?00;"", //"""),"'","""")</f>
        <v>083, 19400323, 1,    0, 00</v>
      </c>
    </row>
    <row r="451" spans="1:1" x14ac:dyDescent="0.25">
      <c r="A451" s="25" t="str">
        <f ca="1">TEXT(Regen!A451,"000\,")&amp;TEXT(Regen!B451,"?00000000")&amp;TEXT(Regen!C451,""",""?0")&amp;SUBSTITUTE(TEXT(Regen!D451,""",""????0;"",""???-0;"",""????0;"", ////"""),"'","""")&amp;SUBSTITUTE(TEXT(Regen!E451,""",""?00;"",""?-00;"",""?00;"", //"""),"'","""")</f>
        <v>083, 19400324, 1,   40, 00</v>
      </c>
    </row>
    <row r="452" spans="1:1" x14ac:dyDescent="0.25">
      <c r="A452" s="25" t="str">
        <f ca="1">TEXT(Regen!A452,"000\,")&amp;TEXT(Regen!B452,"?00000000")&amp;TEXT(Regen!C452,""",""?0")&amp;SUBSTITUTE(TEXT(Regen!D452,""",""????0;"",""???-0;"",""????0;"", ////"""),"'","""")&amp;SUBSTITUTE(TEXT(Regen!E452,""",""?00;"",""?-00;"",""?00;"", //"""),"'","""")</f>
        <v>083, 19400325, 1,    0, 00</v>
      </c>
    </row>
    <row r="453" spans="1:1" x14ac:dyDescent="0.25">
      <c r="A453" s="25" t="str">
        <f ca="1">TEXT(Regen!A453,"000\,")&amp;TEXT(Regen!B453,"?00000000")&amp;TEXT(Regen!C453,""",""?0")&amp;SUBSTITUTE(TEXT(Regen!D453,""",""????0;"",""???-0;"",""????0;"", ////"""),"'","""")&amp;SUBSTITUTE(TEXT(Regen!E453,""",""?00;"",""?-00;"",""?00;"", //"""),"'","""")</f>
        <v>083, 19400326, 1,   30, 00</v>
      </c>
    </row>
    <row r="454" spans="1:1" x14ac:dyDescent="0.25">
      <c r="A454" s="25" t="str">
        <f ca="1">TEXT(Regen!A454,"000\,")&amp;TEXT(Regen!B454,"?00000000")&amp;TEXT(Regen!C454,""",""?0")&amp;SUBSTITUTE(TEXT(Regen!D454,""",""????0;"",""???-0;"",""????0;"", ////"""),"'","""")&amp;SUBSTITUTE(TEXT(Regen!E454,""",""?00;"",""?-00;"",""?00;"", //"""),"'","""")</f>
        <v>083, 19400327, 1,    0, 00</v>
      </c>
    </row>
    <row r="455" spans="1:1" x14ac:dyDescent="0.25">
      <c r="A455" s="25" t="str">
        <f ca="1">TEXT(Regen!A455,"000\,")&amp;TEXT(Regen!B455,"?00000000")&amp;TEXT(Regen!C455,""",""?0")&amp;SUBSTITUTE(TEXT(Regen!D455,""",""????0;"",""???-0;"",""????0;"", ////"""),"'","""")&amp;SUBSTITUTE(TEXT(Regen!E455,""",""?00;"",""?-00;"",""?00;"", //"""),"'","""")</f>
        <v>083, 19400328, 1,    0, 00</v>
      </c>
    </row>
    <row r="456" spans="1:1" x14ac:dyDescent="0.25">
      <c r="A456" s="25" t="str">
        <f ca="1">TEXT(Regen!A456,"000\,")&amp;TEXT(Regen!B456,"?00000000")&amp;TEXT(Regen!C456,""",""?0")&amp;SUBSTITUTE(TEXT(Regen!D456,""",""????0;"",""???-0;"",""????0;"", ////"""),"'","""")&amp;SUBSTITUTE(TEXT(Regen!E456,""",""?00;"",""?-00;"",""?00;"", //"""),"'","""")</f>
        <v>083, 19400329, 1,    0, 00</v>
      </c>
    </row>
    <row r="457" spans="1:1" x14ac:dyDescent="0.25">
      <c r="A457" s="25" t="str">
        <f ca="1">TEXT(Regen!A457,"000\,")&amp;TEXT(Regen!B457,"?00000000")&amp;TEXT(Regen!C457,""",""?0")&amp;SUBSTITUTE(TEXT(Regen!D457,""",""????0;"",""???-0;"",""????0;"", ////"""),"'","""")&amp;SUBSTITUTE(TEXT(Regen!E457,""",""?00;"",""?-00;"",""?00;"", //"""),"'","""")</f>
        <v>083, 19400330, 1,    0, 00</v>
      </c>
    </row>
    <row r="458" spans="1:1" x14ac:dyDescent="0.25">
      <c r="A458" s="25" t="str">
        <f ca="1">TEXT(Regen!A458,"000\,")&amp;TEXT(Regen!B458,"?00000000")&amp;TEXT(Regen!C458,""",""?0")&amp;SUBSTITUTE(TEXT(Regen!D458,""",""????0;"",""???-0;"",""????0;"", ////"""),"'","""")&amp;SUBSTITUTE(TEXT(Regen!E458,""",""?00;"",""?-00;"",""?00;"", //"""),"'","""")</f>
        <v>083, 19400331, 1,    0, 00</v>
      </c>
    </row>
    <row r="459" spans="1:1" x14ac:dyDescent="0.25">
      <c r="A459" s="25" t="str">
        <f ca="1">TEXT(Regen!A459,"000\,")&amp;TEXT(Regen!B459,"?00000000")&amp;TEXT(Regen!C459,""",""?0")&amp;SUBSTITUTE(TEXT(Regen!D459,""",""????0;"",""???-0;"",""????0;"", ////"""),"'","""")&amp;SUBSTITUTE(TEXT(Regen!E459,""",""?00;"",""?-00;"",""?00;"", //"""),"'","""")</f>
        <v>083, 19400401, 1,   30, 00</v>
      </c>
    </row>
    <row r="460" spans="1:1" x14ac:dyDescent="0.25">
      <c r="A460" s="25" t="str">
        <f ca="1">TEXT(Regen!A460,"000\,")&amp;TEXT(Regen!B460,"?00000000")&amp;TEXT(Regen!C460,""",""?0")&amp;SUBSTITUTE(TEXT(Regen!D460,""",""????0;"",""???-0;"",""????0;"", ////"""),"'","""")&amp;SUBSTITUTE(TEXT(Regen!E460,""",""?00;"",""?-00;"",""?00;"", //"""),"'","""")</f>
        <v>083, 19400402, 1,    0, 00</v>
      </c>
    </row>
    <row r="461" spans="1:1" x14ac:dyDescent="0.25">
      <c r="A461" s="25" t="str">
        <f ca="1">TEXT(Regen!A461,"000\,")&amp;TEXT(Regen!B461,"?00000000")&amp;TEXT(Regen!C461,""",""?0")&amp;SUBSTITUTE(TEXT(Regen!D461,""",""????0;"",""???-0;"",""????0;"", ////"""),"'","""")&amp;SUBSTITUTE(TEXT(Regen!E461,""",""?00;"",""?-00;"",""?00;"", //"""),"'","""")</f>
        <v>083, 19400403, 1,    0, 00</v>
      </c>
    </row>
    <row r="462" spans="1:1" x14ac:dyDescent="0.25">
      <c r="A462" s="25" t="str">
        <f ca="1">TEXT(Regen!A462,"000\,")&amp;TEXT(Regen!B462,"?00000000")&amp;TEXT(Regen!C462,""",""?0")&amp;SUBSTITUTE(TEXT(Regen!D462,""",""????0;"",""???-0;"",""????0;"", ////"""),"'","""")&amp;SUBSTITUTE(TEXT(Regen!E462,""",""?00;"",""?-00;"",""?00;"", //"""),"'","""")</f>
        <v>083, 19400404, 1,    0, 00</v>
      </c>
    </row>
    <row r="463" spans="1:1" x14ac:dyDescent="0.25">
      <c r="A463" s="25" t="str">
        <f ca="1">TEXT(Regen!A463,"000\,")&amp;TEXT(Regen!B463,"?00000000")&amp;TEXT(Regen!C463,""",""?0")&amp;SUBSTITUTE(TEXT(Regen!D463,""",""????0;"",""???-0;"",""????0;"", ////"""),"'","""")&amp;SUBSTITUTE(TEXT(Regen!E463,""",""?00;"",""?-00;"",""?00;"", //"""),"'","""")</f>
        <v>083, 19400405, 1,    0, 00</v>
      </c>
    </row>
    <row r="464" spans="1:1" x14ac:dyDescent="0.25">
      <c r="A464" s="25" t="str">
        <f ca="1">TEXT(Regen!A464,"000\,")&amp;TEXT(Regen!B464,"?00000000")&amp;TEXT(Regen!C464,""",""?0")&amp;SUBSTITUTE(TEXT(Regen!D464,""",""????0;"",""???-0;"",""????0;"", ////"""),"'","""")&amp;SUBSTITUTE(TEXT(Regen!E464,""",""?00;"",""?-00;"",""?00;"", //"""),"'","""")</f>
        <v>083, 19400406, 1,    0, 00</v>
      </c>
    </row>
    <row r="465" spans="1:1" x14ac:dyDescent="0.25">
      <c r="A465" s="25" t="str">
        <f ca="1">TEXT(Regen!A465,"000\,")&amp;TEXT(Regen!B465,"?00000000")&amp;TEXT(Regen!C465,""",""?0")&amp;SUBSTITUTE(TEXT(Regen!D465,""",""????0;"",""???-0;"",""????0;"", ////"""),"'","""")&amp;SUBSTITUTE(TEXT(Regen!E465,""",""?00;"",""?-00;"",""?00;"", //"""),"'","""")</f>
        <v>083, 19400407, 1,   10, 00</v>
      </c>
    </row>
    <row r="466" spans="1:1" x14ac:dyDescent="0.25">
      <c r="A466" s="25" t="str">
        <f ca="1">TEXT(Regen!A466,"000\,")&amp;TEXT(Regen!B466,"?00000000")&amp;TEXT(Regen!C466,""",""?0")&amp;SUBSTITUTE(TEXT(Regen!D466,""",""????0;"",""???-0;"",""????0;"", ////"""),"'","""")&amp;SUBSTITUTE(TEXT(Regen!E466,""",""?00;"",""?-00;"",""?00;"", //"""),"'","""")</f>
        <v>083, 19400408, 1,    0, 00</v>
      </c>
    </row>
    <row r="467" spans="1:1" x14ac:dyDescent="0.25">
      <c r="A467" s="25" t="str">
        <f ca="1">TEXT(Regen!A467,"000\,")&amp;TEXT(Regen!B467,"?00000000")&amp;TEXT(Regen!C467,""",""?0")&amp;SUBSTITUTE(TEXT(Regen!D467,""",""????0;"",""???-0;"",""????0;"", ////"""),"'","""")&amp;SUBSTITUTE(TEXT(Regen!E467,""",""?00;"",""?-00;"",""?00;"", //"""),"'","""")</f>
        <v>083, 19400409, 1,    0, 00</v>
      </c>
    </row>
    <row r="468" spans="1:1" x14ac:dyDescent="0.25">
      <c r="A468" s="25" t="str">
        <f ca="1">TEXT(Regen!A468,"000\,")&amp;TEXT(Regen!B468,"?00000000")&amp;TEXT(Regen!C468,""",""?0")&amp;SUBSTITUTE(TEXT(Regen!D468,""",""????0;"",""???-0;"",""????0;"", ////"""),"'","""")&amp;SUBSTITUTE(TEXT(Regen!E468,""",""?00;"",""?-00;"",""?00;"", //"""),"'","""")</f>
        <v>083, 19400410, 1,    0, 00</v>
      </c>
    </row>
    <row r="469" spans="1:1" x14ac:dyDescent="0.25">
      <c r="A469" s="25" t="str">
        <f ca="1">TEXT(Regen!A469,"000\,")&amp;TEXT(Regen!B469,"?00000000")&amp;TEXT(Regen!C469,""",""?0")&amp;SUBSTITUTE(TEXT(Regen!D469,""",""????0;"",""???-0;"",""????0;"", ////"""),"'","""")&amp;SUBSTITUTE(TEXT(Regen!E469,""",""?00;"",""?-00;"",""?00;"", //"""),"'","""")</f>
        <v>083, 19400411, 1,    0, 00</v>
      </c>
    </row>
    <row r="470" spans="1:1" x14ac:dyDescent="0.25">
      <c r="A470" s="25" t="str">
        <f ca="1">TEXT(Regen!A470,"000\,")&amp;TEXT(Regen!B470,"?00000000")&amp;TEXT(Regen!C470,""",""?0")&amp;SUBSTITUTE(TEXT(Regen!D470,""",""????0;"",""???-0;"",""????0;"", ////"""),"'","""")&amp;SUBSTITUTE(TEXT(Regen!E470,""",""?00;"",""?-00;"",""?00;"", //"""),"'","""")</f>
        <v>083, 19400412, 1,    0, 00</v>
      </c>
    </row>
    <row r="471" spans="1:1" x14ac:dyDescent="0.25">
      <c r="A471" s="25" t="str">
        <f ca="1">TEXT(Regen!A471,"000\,")&amp;TEXT(Regen!B471,"?00000000")&amp;TEXT(Regen!C471,""",""?0")&amp;SUBSTITUTE(TEXT(Regen!D471,""",""????0;"",""???-0;"",""????0;"", ////"""),"'","""")&amp;SUBSTITUTE(TEXT(Regen!E471,""",""?00;"",""?-00;"",""?00;"", //"""),"'","""")</f>
        <v>083, 19400413, 1,    0, 00</v>
      </c>
    </row>
    <row r="472" spans="1:1" x14ac:dyDescent="0.25">
      <c r="A472" s="25" t="str">
        <f ca="1">TEXT(Regen!A472,"000\,")&amp;TEXT(Regen!B472,"?00000000")&amp;TEXT(Regen!C472,""",""?0")&amp;SUBSTITUTE(TEXT(Regen!D472,""",""????0;"",""???-0;"",""????0;"", ////"""),"'","""")&amp;SUBSTITUTE(TEXT(Regen!E472,""",""?00;"",""?-00;"",""?00;"", //"""),"'","""")</f>
        <v>083, 19400414, 1,    0, 00</v>
      </c>
    </row>
    <row r="473" spans="1:1" x14ac:dyDescent="0.25">
      <c r="A473" s="25" t="str">
        <f ca="1">TEXT(Regen!A473,"000\,")&amp;TEXT(Regen!B473,"?00000000")&amp;TEXT(Regen!C473,""",""?0")&amp;SUBSTITUTE(TEXT(Regen!D473,""",""????0;"",""???-0;"",""????0;"", ////"""),"'","""")&amp;SUBSTITUTE(TEXT(Regen!E473,""",""?00;"",""?-00;"",""?00;"", //"""),"'","""")</f>
        <v>083, 19400415, 1,    0, 00</v>
      </c>
    </row>
    <row r="474" spans="1:1" x14ac:dyDescent="0.25">
      <c r="A474" s="25" t="str">
        <f ca="1">TEXT(Regen!A474,"000\,")&amp;TEXT(Regen!B474,"?00000000")&amp;TEXT(Regen!C474,""",""?0")&amp;SUBSTITUTE(TEXT(Regen!D474,""",""????0;"",""???-0;"",""????0;"", ////"""),"'","""")&amp;SUBSTITUTE(TEXT(Regen!E474,""",""?00;"",""?-00;"",""?00;"", //"""),"'","""")</f>
        <v>083, 19400416, 1,  100, 00</v>
      </c>
    </row>
    <row r="475" spans="1:1" x14ac:dyDescent="0.25">
      <c r="A475" s="25" t="str">
        <f ca="1">TEXT(Regen!A475,"000\,")&amp;TEXT(Regen!B475,"?00000000")&amp;TEXT(Regen!C475,""",""?0")&amp;SUBSTITUTE(TEXT(Regen!D475,""",""????0;"",""???-0;"",""????0;"", ////"""),"'","""")&amp;SUBSTITUTE(TEXT(Regen!E475,""",""?00;"",""?-00;"",""?00;"", //"""),"'","""")</f>
        <v>083, 19400417, 1,   40, 00</v>
      </c>
    </row>
    <row r="476" spans="1:1" x14ac:dyDescent="0.25">
      <c r="A476" s="25" t="str">
        <f ca="1">TEXT(Regen!A476,"000\,")&amp;TEXT(Regen!B476,"?00000000")&amp;TEXT(Regen!C476,""",""?0")&amp;SUBSTITUTE(TEXT(Regen!D476,""",""????0;"",""???-0;"",""????0;"", ////"""),"'","""")&amp;SUBSTITUTE(TEXT(Regen!E476,""",""?00;"",""?-00;"",""?00;"", //"""),"'","""")</f>
        <v>083, 19400418, 1,    0, 00</v>
      </c>
    </row>
    <row r="477" spans="1:1" x14ac:dyDescent="0.25">
      <c r="A477" s="25" t="str">
        <f ca="1">TEXT(Regen!A477,"000\,")&amp;TEXT(Regen!B477,"?00000000")&amp;TEXT(Regen!C477,""",""?0")&amp;SUBSTITUTE(TEXT(Regen!D477,""",""????0;"",""???-0;"",""????0;"", ////"""),"'","""")&amp;SUBSTITUTE(TEXT(Regen!E477,""",""?00;"",""?-00;"",""?00;"", //"""),"'","""")</f>
        <v>083, 19400419, 1,    0, 00</v>
      </c>
    </row>
    <row r="478" spans="1:1" x14ac:dyDescent="0.25">
      <c r="A478" s="25" t="str">
        <f ca="1">TEXT(Regen!A478,"000\,")&amp;TEXT(Regen!B478,"?00000000")&amp;TEXT(Regen!C478,""",""?0")&amp;SUBSTITUTE(TEXT(Regen!D478,""",""????0;"",""???-0;"",""????0;"", ////"""),"'","""")&amp;SUBSTITUTE(TEXT(Regen!E478,""",""?00;"",""?-00;"",""?00;"", //"""),"'","""")</f>
        <v>083, 19400420, 1,    0, 00</v>
      </c>
    </row>
    <row r="479" spans="1:1" x14ac:dyDescent="0.25">
      <c r="A479" s="25" t="str">
        <f ca="1">TEXT(Regen!A479,"000\,")&amp;TEXT(Regen!B479,"?00000000")&amp;TEXT(Regen!C479,""",""?0")&amp;SUBSTITUTE(TEXT(Regen!D479,""",""????0;"",""???-0;"",""????0;"", ////"""),"'","""")&amp;SUBSTITUTE(TEXT(Regen!E479,""",""?00;"",""?-00;"",""?00;"", //"""),"'","""")</f>
        <v>083, 19400421, 1,   10, 00</v>
      </c>
    </row>
    <row r="480" spans="1:1" x14ac:dyDescent="0.25">
      <c r="A480" s="25" t="str">
        <f ca="1">TEXT(Regen!A480,"000\,")&amp;TEXT(Regen!B480,"?00000000")&amp;TEXT(Regen!C480,""",""?0")&amp;SUBSTITUTE(TEXT(Regen!D480,""",""????0;"",""???-0;"",""????0;"", ////"""),"'","""")&amp;SUBSTITUTE(TEXT(Regen!E480,""",""?00;"",""?-00;"",""?00;"", //"""),"'","""")</f>
        <v>083, 19400422, 1,    0, 00</v>
      </c>
    </row>
    <row r="481" spans="1:1" x14ac:dyDescent="0.25">
      <c r="A481" s="25" t="str">
        <f ca="1">TEXT(Regen!A481,"000\,")&amp;TEXT(Regen!B481,"?00000000")&amp;TEXT(Regen!C481,""",""?0")&amp;SUBSTITUTE(TEXT(Regen!D481,""",""????0;"",""???-0;"",""????0;"", ////"""),"'","""")&amp;SUBSTITUTE(TEXT(Regen!E481,""",""?00;"",""?-00;"",""?00;"", //"""),"'","""")</f>
        <v>083, 19400423, 1,    0, 00</v>
      </c>
    </row>
    <row r="482" spans="1:1" x14ac:dyDescent="0.25">
      <c r="A482" s="25" t="str">
        <f ca="1">TEXT(Regen!A482,"000\,")&amp;TEXT(Regen!B482,"?00000000")&amp;TEXT(Regen!C482,""",""?0")&amp;SUBSTITUTE(TEXT(Regen!D482,""",""????0;"",""???-0;"",""????0;"", ////"""),"'","""")&amp;SUBSTITUTE(TEXT(Regen!E482,""",""?00;"",""?-00;"",""?00;"", //"""),"'","""")</f>
        <v>083, 19400424, 1,    0, 00</v>
      </c>
    </row>
    <row r="483" spans="1:1" x14ac:dyDescent="0.25">
      <c r="A483" s="25" t="str">
        <f ca="1">TEXT(Regen!A483,"000\,")&amp;TEXT(Regen!B483,"?00000000")&amp;TEXT(Regen!C483,""",""?0")&amp;SUBSTITUTE(TEXT(Regen!D483,""",""????0;"",""???-0;"",""????0;"", ////"""),"'","""")&amp;SUBSTITUTE(TEXT(Regen!E483,""",""?00;"",""?-00;"",""?00;"", //"""),"'","""")</f>
        <v>083, 19400425, 1,    0, 00</v>
      </c>
    </row>
    <row r="484" spans="1:1" x14ac:dyDescent="0.25">
      <c r="A484" s="25" t="str">
        <f ca="1">TEXT(Regen!A484,"000\,")&amp;TEXT(Regen!B484,"?00000000")&amp;TEXT(Regen!C484,""",""?0")&amp;SUBSTITUTE(TEXT(Regen!D484,""",""????0;"",""???-0;"",""????0;"", ////"""),"'","""")&amp;SUBSTITUTE(TEXT(Regen!E484,""",""?00;"",""?-00;"",""?00;"", //"""),"'","""")</f>
        <v>083, 19400426, 1,    0, 00</v>
      </c>
    </row>
    <row r="485" spans="1:1" x14ac:dyDescent="0.25">
      <c r="A485" s="25" t="str">
        <f ca="1">TEXT(Regen!A485,"000\,")&amp;TEXT(Regen!B485,"?00000000")&amp;TEXT(Regen!C485,""",""?0")&amp;SUBSTITUTE(TEXT(Regen!D485,""",""????0;"",""???-0;"",""????0;"", ////"""),"'","""")&amp;SUBSTITUTE(TEXT(Regen!E485,""",""?00;"",""?-00;"",""?00;"", //"""),"'","""")</f>
        <v>083, 19400427, 1,    0, 00</v>
      </c>
    </row>
    <row r="486" spans="1:1" x14ac:dyDescent="0.25">
      <c r="A486" s="25" t="str">
        <f ca="1">TEXT(Regen!A486,"000\,")&amp;TEXT(Regen!B486,"?00000000")&amp;TEXT(Regen!C486,""",""?0")&amp;SUBSTITUTE(TEXT(Regen!D486,""",""????0;"",""???-0;"",""????0;"", ////"""),"'","""")&amp;SUBSTITUTE(TEXT(Regen!E486,""",""?00;"",""?-00;"",""?00;"", //"""),"'","""")</f>
        <v>083, 19400428, 1,    0, 00</v>
      </c>
    </row>
    <row r="487" spans="1:1" x14ac:dyDescent="0.25">
      <c r="A487" s="25" t="str">
        <f ca="1">TEXT(Regen!A487,"000\,")&amp;TEXT(Regen!B487,"?00000000")&amp;TEXT(Regen!C487,""",""?0")&amp;SUBSTITUTE(TEXT(Regen!D487,""",""????0;"",""???-0;"",""????0;"", ////"""),"'","""")&amp;SUBSTITUTE(TEXT(Regen!E487,""",""?00;"",""?-00;"",""?00;"", //"""),"'","""")</f>
        <v>083, 19400429, 1,    0, 00</v>
      </c>
    </row>
    <row r="488" spans="1:1" x14ac:dyDescent="0.25">
      <c r="A488" s="25" t="str">
        <f ca="1">TEXT(Regen!A488,"000\,")&amp;TEXT(Regen!B488,"?00000000")&amp;TEXT(Regen!C488,""",""?0")&amp;SUBSTITUTE(TEXT(Regen!D488,""",""????0;"",""???-0;"",""????0;"", ////"""),"'","""")&amp;SUBSTITUTE(TEXT(Regen!E488,""",""?00;"",""?-00;"",""?00;"", //"""),"'","""")</f>
        <v>083, 19400430, 1,    0, 00</v>
      </c>
    </row>
    <row r="489" spans="1:1" x14ac:dyDescent="0.25">
      <c r="A489" s="25" t="str">
        <f ca="1">TEXT(Regen!A489,"000\,")&amp;TEXT(Regen!B489,"?00000000")&amp;TEXT(Regen!C489,""",""?0")&amp;SUBSTITUTE(TEXT(Regen!D489,""",""????0;"",""???-0;"",""????0;"", ////"""),"'","""")&amp;SUBSTITUTE(TEXT(Regen!E489,""",""?00;"",""?-00;"",""?00;"", //"""),"'","""")</f>
        <v>083, 19400501, 1,   50, 00</v>
      </c>
    </row>
    <row r="490" spans="1:1" x14ac:dyDescent="0.25">
      <c r="A490" s="25" t="str">
        <f ca="1">TEXT(Regen!A490,"000\,")&amp;TEXT(Regen!B490,"?00000000")&amp;TEXT(Regen!C490,""",""?0")&amp;SUBSTITUTE(TEXT(Regen!D490,""",""????0;"",""???-0;"",""????0;"", ////"""),"'","""")&amp;SUBSTITUTE(TEXT(Regen!E490,""",""?00;"",""?-00;"",""?00;"", //"""),"'","""")</f>
        <v>083, 19400502, 1,  105, 00</v>
      </c>
    </row>
    <row r="491" spans="1:1" x14ac:dyDescent="0.25">
      <c r="A491" s="25" t="str">
        <f ca="1">TEXT(Regen!A491,"000\,")&amp;TEXT(Regen!B491,"?00000000")&amp;TEXT(Regen!C491,""",""?0")&amp;SUBSTITUTE(TEXT(Regen!D491,""",""????0;"",""???-0;"",""????0;"", ////"""),"'","""")&amp;SUBSTITUTE(TEXT(Regen!E491,""",""?00;"",""?-00;"",""?00;"", //"""),"'","""")</f>
        <v>083, 19400503, 1,    0, 00</v>
      </c>
    </row>
    <row r="492" spans="1:1" x14ac:dyDescent="0.25">
      <c r="A492" s="25" t="str">
        <f ca="1">TEXT(Regen!A492,"000\,")&amp;TEXT(Regen!B492,"?00000000")&amp;TEXT(Regen!C492,""",""?0")&amp;SUBSTITUTE(TEXT(Regen!D492,""",""????0;"",""???-0;"",""????0;"", ////"""),"'","""")&amp;SUBSTITUTE(TEXT(Regen!E492,""",""?00;"",""?-00;"",""?00;"", //"""),"'","""")</f>
        <v>083, 19400504, 1,    0, 00</v>
      </c>
    </row>
    <row r="493" spans="1:1" x14ac:dyDescent="0.25">
      <c r="A493" s="25" t="str">
        <f ca="1">TEXT(Regen!A493,"000\,")&amp;TEXT(Regen!B493,"?00000000")&amp;TEXT(Regen!C493,""",""?0")&amp;SUBSTITUTE(TEXT(Regen!D493,""",""????0;"",""???-0;"",""????0;"", ////"""),"'","""")&amp;SUBSTITUTE(TEXT(Regen!E493,""",""?00;"",""?-00;"",""?00;"", //"""),"'","""")</f>
        <v>083, 19400505, 1,    0, 00</v>
      </c>
    </row>
    <row r="494" spans="1:1" x14ac:dyDescent="0.25">
      <c r="A494" s="25" t="str">
        <f ca="1">TEXT(Regen!A494,"000\,")&amp;TEXT(Regen!B494,"?00000000")&amp;TEXT(Regen!C494,""",""?0")&amp;SUBSTITUTE(TEXT(Regen!D494,""",""????0;"",""???-0;"",""????0;"", ////"""),"'","""")&amp;SUBSTITUTE(TEXT(Regen!E494,""",""?00;"",""?-00;"",""?00;"", //"""),"'","""")</f>
        <v>083, 19400506, 1,   20, 00</v>
      </c>
    </row>
    <row r="495" spans="1:1" x14ac:dyDescent="0.25">
      <c r="A495" s="25" t="str">
        <f ca="1">TEXT(Regen!A495,"000\,")&amp;TEXT(Regen!B495,"?00000000")&amp;TEXT(Regen!C495,""",""?0")&amp;SUBSTITUTE(TEXT(Regen!D495,""",""????0;"",""???-0;"",""????0;"", ////"""),"'","""")&amp;SUBSTITUTE(TEXT(Regen!E495,""",""?00;"",""?-00;"",""?00;"", //"""),"'","""")</f>
        <v>083, 19400507, 1,   55, 00</v>
      </c>
    </row>
    <row r="496" spans="1:1" x14ac:dyDescent="0.25">
      <c r="A496" s="25" t="str">
        <f ca="1">TEXT(Regen!A496,"000\,")&amp;TEXT(Regen!B496,"?00000000")&amp;TEXT(Regen!C496,""",""?0")&amp;SUBSTITUTE(TEXT(Regen!D496,""",""????0;"",""???-0;"",""????0;"", ////"""),"'","""")&amp;SUBSTITUTE(TEXT(Regen!E496,""",""?00;"",""?-00;"",""?00;"", //"""),"'","""")</f>
        <v>083, 19400508, 1,  280, 00</v>
      </c>
    </row>
    <row r="497" spans="1:1" x14ac:dyDescent="0.25">
      <c r="A497" s="25" t="str">
        <f ca="1">TEXT(Regen!A497,"000\,")&amp;TEXT(Regen!B497,"?00000000")&amp;TEXT(Regen!C497,""",""?0")&amp;SUBSTITUTE(TEXT(Regen!D497,""",""????0;"",""???-0;"",""????0;"", ////"""),"'","""")&amp;SUBSTITUTE(TEXT(Regen!E497,""",""?00;"",""?-00;"",""?00;"", //"""),"'","""")</f>
        <v>083, 19400509, 1,   20, 00</v>
      </c>
    </row>
    <row r="498" spans="1:1" x14ac:dyDescent="0.25">
      <c r="A498" s="25" t="str">
        <f ca="1">TEXT(Regen!A498,"000\,")&amp;TEXT(Regen!B498,"?00000000")&amp;TEXT(Regen!C498,""",""?0")&amp;SUBSTITUTE(TEXT(Regen!D498,""",""????0;"",""???-0;"",""????0;"", ////"""),"'","""")&amp;SUBSTITUTE(TEXT(Regen!E498,""",""?00;"",""?-00;"",""?00;"", //"""),"'","""")</f>
        <v>083, 19400510, 1,    0, 00</v>
      </c>
    </row>
    <row r="499" spans="1:1" x14ac:dyDescent="0.25">
      <c r="A499" s="25" t="str">
        <f ca="1">TEXT(Regen!A499,"000\,")&amp;TEXT(Regen!B499,"?00000000")&amp;TEXT(Regen!C499,""",""?0")&amp;SUBSTITUTE(TEXT(Regen!D499,""",""????0;"",""???-0;"",""????0;"", ////"""),"'","""")&amp;SUBSTITUTE(TEXT(Regen!E499,""",""?00;"",""?-00;"",""?00;"", //"""),"'","""")</f>
        <v>083, 19400511, 1,    0, 00</v>
      </c>
    </row>
    <row r="500" spans="1:1" x14ac:dyDescent="0.25">
      <c r="A500" s="25" t="str">
        <f ca="1">TEXT(Regen!A500,"000\,")&amp;TEXT(Regen!B500,"?00000000")&amp;TEXT(Regen!C500,""",""?0")&amp;SUBSTITUTE(TEXT(Regen!D500,""",""????0;"",""???-0;"",""????0;"", ////"""),"'","""")&amp;SUBSTITUTE(TEXT(Regen!E500,""",""?00;"",""?-00;"",""?00;"", //"""),"'","""")</f>
        <v>083, 19400512, 1,    0, 00</v>
      </c>
    </row>
    <row r="501" spans="1:1" x14ac:dyDescent="0.25">
      <c r="A501" s="25" t="str">
        <f ca="1">TEXT(Regen!A501,"000\,")&amp;TEXT(Regen!B501,"?00000000")&amp;TEXT(Regen!C501,""",""?0")&amp;SUBSTITUTE(TEXT(Regen!D501,""",""????0;"",""???-0;"",""????0;"", ////"""),"'","""")&amp;SUBSTITUTE(TEXT(Regen!E501,""",""?00;"",""?-00;"",""?00;"", //"""),"'","""")</f>
        <v>083, 19400513, 1,    0, 00</v>
      </c>
    </row>
    <row r="502" spans="1:1" x14ac:dyDescent="0.25">
      <c r="A502" s="25" t="str">
        <f ca="1">TEXT(Regen!A502,"000\,")&amp;TEXT(Regen!B502,"?00000000")&amp;TEXT(Regen!C502,""",""?0")&amp;SUBSTITUTE(TEXT(Regen!D502,""",""????0;"",""???-0;"",""????0;"", ////"""),"'","""")&amp;SUBSTITUTE(TEXT(Regen!E502,""",""?00;"",""?-00;"",""?00;"", //"""),"'","""")</f>
        <v>083, 19400514, 1,    0, 00</v>
      </c>
    </row>
    <row r="503" spans="1:1" x14ac:dyDescent="0.25">
      <c r="A503" s="25" t="str">
        <f ca="1">TEXT(Regen!A503,"000\,")&amp;TEXT(Regen!B503,"?00000000")&amp;TEXT(Regen!C503,""",""?0")&amp;SUBSTITUTE(TEXT(Regen!D503,""",""????0;"",""???-0;"",""????0;"", ////"""),"'","""")&amp;SUBSTITUTE(TEXT(Regen!E503,""",""?00;"",""?-00;"",""?00;"", //"""),"'","""")</f>
        <v>083, 19400515, 1,  190, 00</v>
      </c>
    </row>
    <row r="504" spans="1:1" x14ac:dyDescent="0.25">
      <c r="A504" s="25" t="str">
        <f ca="1">TEXT(Regen!A504,"000\,")&amp;TEXT(Regen!B504,"?00000000")&amp;TEXT(Regen!C504,""",""?0")&amp;SUBSTITUTE(TEXT(Regen!D504,""",""????0;"",""???-0;"",""????0;"", ////"""),"'","""")&amp;SUBSTITUTE(TEXT(Regen!E504,""",""?00;"",""?-00;"",""?00;"", //"""),"'","""")</f>
        <v>083, 19400516, 1,   15, 00</v>
      </c>
    </row>
    <row r="505" spans="1:1" x14ac:dyDescent="0.25">
      <c r="A505" s="25" t="str">
        <f ca="1">TEXT(Regen!A505,"000\,")&amp;TEXT(Regen!B505,"?00000000")&amp;TEXT(Regen!C505,""",""?0")&amp;SUBSTITUTE(TEXT(Regen!D505,""",""????0;"",""???-0;"",""????0;"", ////"""),"'","""")&amp;SUBSTITUTE(TEXT(Regen!E505,""",""?00;"",""?-00;"",""?00;"", //"""),"'","""")</f>
        <v>083, 19400517, 1,    0, 00</v>
      </c>
    </row>
    <row r="506" spans="1:1" x14ac:dyDescent="0.25">
      <c r="A506" s="25" t="str">
        <f ca="1">TEXT(Regen!A506,"000\,")&amp;TEXT(Regen!B506,"?00000000")&amp;TEXT(Regen!C506,""",""?0")&amp;SUBSTITUTE(TEXT(Regen!D506,""",""????0;"",""???-0;"",""????0;"", ////"""),"'","""")&amp;SUBSTITUTE(TEXT(Regen!E506,""",""?00;"",""?-00;"",""?00;"", //"""),"'","""")</f>
        <v>083, 19400518, 1,    0, 00</v>
      </c>
    </row>
    <row r="507" spans="1:1" x14ac:dyDescent="0.25">
      <c r="A507" s="25" t="str">
        <f ca="1">TEXT(Regen!A507,"000\,")&amp;TEXT(Regen!B507,"?00000000")&amp;TEXT(Regen!C507,""",""?0")&amp;SUBSTITUTE(TEXT(Regen!D507,""",""????0;"",""???-0;"",""????0;"", ////"""),"'","""")&amp;SUBSTITUTE(TEXT(Regen!E507,""",""?00;"",""?-00;"",""?00;"", //"""),"'","""")</f>
        <v>083, 19400519, 1,   15, 00</v>
      </c>
    </row>
    <row r="508" spans="1:1" x14ac:dyDescent="0.25">
      <c r="A508" s="25" t="str">
        <f ca="1">TEXT(Regen!A508,"000\,")&amp;TEXT(Regen!B508,"?00000000")&amp;TEXT(Regen!C508,""",""?0")&amp;SUBSTITUTE(TEXT(Regen!D508,""",""????0;"",""???-0;"",""????0;"", ////"""),"'","""")&amp;SUBSTITUTE(TEXT(Regen!E508,""",""?00;"",""?-00;"",""?00;"", //"""),"'","""")</f>
        <v>083, 19400520, 1,    0, 00</v>
      </c>
    </row>
    <row r="509" spans="1:1" x14ac:dyDescent="0.25">
      <c r="A509" s="25" t="str">
        <f ca="1">TEXT(Regen!A509,"000\,")&amp;TEXT(Regen!B509,"?00000000")&amp;TEXT(Regen!C509,""",""?0")&amp;SUBSTITUTE(TEXT(Regen!D509,""",""????0;"",""???-0;"",""????0;"", ////"""),"'","""")&amp;SUBSTITUTE(TEXT(Regen!E509,""",""?00;"",""?-00;"",""?00;"", //"""),"'","""")</f>
        <v>083, 19400521, 1,  120, 00</v>
      </c>
    </row>
    <row r="510" spans="1:1" x14ac:dyDescent="0.25">
      <c r="A510" s="25" t="str">
        <f ca="1">TEXT(Regen!A510,"000\,")&amp;TEXT(Regen!B510,"?00000000")&amp;TEXT(Regen!C510,""",""?0")&amp;SUBSTITUTE(TEXT(Regen!D510,""",""????0;"",""???-0;"",""????0;"", ////"""),"'","""")&amp;SUBSTITUTE(TEXT(Regen!E510,""",""?00;"",""?-00;"",""?00;"", //"""),"'","""")</f>
        <v>083, 19400522, 1,   10, 00</v>
      </c>
    </row>
    <row r="511" spans="1:1" x14ac:dyDescent="0.25">
      <c r="A511" s="25" t="str">
        <f ca="1">TEXT(Regen!A511,"000\,")&amp;TEXT(Regen!B511,"?00000000")&amp;TEXT(Regen!C511,""",""?0")&amp;SUBSTITUTE(TEXT(Regen!D511,""",""????0;"",""???-0;"",""????0;"", ////"""),"'","""")&amp;SUBSTITUTE(TEXT(Regen!E511,""",""?00;"",""?-00;"",""?00;"", //"""),"'","""")</f>
        <v>083, 19400523, 1,   15, 00</v>
      </c>
    </row>
    <row r="512" spans="1:1" x14ac:dyDescent="0.25">
      <c r="A512" s="25" t="str">
        <f ca="1">TEXT(Regen!A512,"000\,")&amp;TEXT(Regen!B512,"?00000000")&amp;TEXT(Regen!C512,""",""?0")&amp;SUBSTITUTE(TEXT(Regen!D512,""",""????0;"",""???-0;"",""????0;"", ////"""),"'","""")&amp;SUBSTITUTE(TEXT(Regen!E512,""",""?00;"",""?-00;"",""?00;"", //"""),"'","""")</f>
        <v>083, 19400524, 1,    0, 00</v>
      </c>
    </row>
    <row r="513" spans="1:1" x14ac:dyDescent="0.25">
      <c r="A513" s="25" t="str">
        <f ca="1">TEXT(Regen!A513,"000\,")&amp;TEXT(Regen!B513,"?00000000")&amp;TEXT(Regen!C513,""",""?0")&amp;SUBSTITUTE(TEXT(Regen!D513,""",""????0;"",""???-0;"",""????0;"", ////"""),"'","""")&amp;SUBSTITUTE(TEXT(Regen!E513,""",""?00;"",""?-00;"",""?00;"", //"""),"'","""")</f>
        <v>083, 19400525, 1,   20, 00</v>
      </c>
    </row>
    <row r="514" spans="1:1" x14ac:dyDescent="0.25">
      <c r="A514" s="25" t="str">
        <f ca="1">TEXT(Regen!A514,"000\,")&amp;TEXT(Regen!B514,"?00000000")&amp;TEXT(Regen!C514,""",""?0")&amp;SUBSTITUTE(TEXT(Regen!D514,""",""????0;"",""???-0;"",""????0;"", ////"""),"'","""")&amp;SUBSTITUTE(TEXT(Regen!E514,""",""?00;"",""?-00;"",""?00;"", //"""),"'","""")</f>
        <v>083, 19400526, 1,    0, 00</v>
      </c>
    </row>
    <row r="515" spans="1:1" x14ac:dyDescent="0.25">
      <c r="A515" s="25" t="str">
        <f ca="1">TEXT(Regen!A515,"000\,")&amp;TEXT(Regen!B515,"?00000000")&amp;TEXT(Regen!C515,""",""?0")&amp;SUBSTITUTE(TEXT(Regen!D515,""",""????0;"",""???-0;"",""????0;"", ////"""),"'","""")&amp;SUBSTITUTE(TEXT(Regen!E515,""",""?00;"",""?-00;"",""?00;"", //"""),"'","""")</f>
        <v>083, 19400527, 1,    0, 00</v>
      </c>
    </row>
    <row r="516" spans="1:1" x14ac:dyDescent="0.25">
      <c r="A516" s="25" t="str">
        <f ca="1">TEXT(Regen!A516,"000\,")&amp;TEXT(Regen!B516,"?00000000")&amp;TEXT(Regen!C516,""",""?0")&amp;SUBSTITUTE(TEXT(Regen!D516,""",""????0;"",""???-0;"",""????0;"", ////"""),"'","""")&amp;SUBSTITUTE(TEXT(Regen!E516,""",""?00;"",""?-00;"",""?00;"", //"""),"'","""")</f>
        <v>083, 19400528, 1,    0, 00</v>
      </c>
    </row>
    <row r="517" spans="1:1" x14ac:dyDescent="0.25">
      <c r="A517" s="25" t="str">
        <f ca="1">TEXT(Regen!A517,"000\,")&amp;TEXT(Regen!B517,"?00000000")&amp;TEXT(Regen!C517,""",""?0")&amp;SUBSTITUTE(TEXT(Regen!D517,""",""????0;"",""???-0;"",""????0;"", ////"""),"'","""")&amp;SUBSTITUTE(TEXT(Regen!E517,""",""?00;"",""?-00;"",""?00;"", //"""),"'","""")</f>
        <v>083, 19400529, 1,    0, 00</v>
      </c>
    </row>
    <row r="518" spans="1:1" x14ac:dyDescent="0.25">
      <c r="A518" s="25" t="str">
        <f ca="1">TEXT(Regen!A518,"000\,")&amp;TEXT(Regen!B518,"?00000000")&amp;TEXT(Regen!C518,""",""?0")&amp;SUBSTITUTE(TEXT(Regen!D518,""",""????0;"",""???-0;"",""????0;"", ////"""),"'","""")&amp;SUBSTITUTE(TEXT(Regen!E518,""",""?00;"",""?-00;"",""?00;"", //"""),"'","""")</f>
        <v>083, 19400530, 1,    0, 00</v>
      </c>
    </row>
    <row r="519" spans="1:1" x14ac:dyDescent="0.25">
      <c r="A519" s="25" t="str">
        <f ca="1">TEXT(Regen!A519,"000\,")&amp;TEXT(Regen!B519,"?00000000")&amp;TEXT(Regen!C519,""",""?0")&amp;SUBSTITUTE(TEXT(Regen!D519,""",""????0;"",""???-0;"",""????0;"", ////"""),"'","""")&amp;SUBSTITUTE(TEXT(Regen!E519,""",""?00;"",""?-00;"",""?00;"", //"""),"'","""")</f>
        <v>083, 19400531, 1,    0, 00</v>
      </c>
    </row>
    <row r="520" spans="1:1" x14ac:dyDescent="0.25">
      <c r="A520" s="25" t="str">
        <f ca="1">TEXT(Regen!A520,"000\,")&amp;TEXT(Regen!B520,"?00000000")&amp;TEXT(Regen!C520,""",""?0")&amp;SUBSTITUTE(TEXT(Regen!D520,""",""????0;"",""???-0;"",""????0;"", ////"""),"'","""")&amp;SUBSTITUTE(TEXT(Regen!E520,""",""?00;"",""?-00;"",""?00;"", //"""),"'","""")</f>
        <v>083, 19400601, 1, ////, 07</v>
      </c>
    </row>
    <row r="521" spans="1:1" x14ac:dyDescent="0.25">
      <c r="A521" s="25" t="str">
        <f ca="1">TEXT(Regen!A521,"000\,")&amp;TEXT(Regen!B521,"?00000000")&amp;TEXT(Regen!C521,""",""?0")&amp;SUBSTITUTE(TEXT(Regen!D521,""",""????0;"",""???-0;"",""????0;"", ////"""),"'","""")&amp;SUBSTITUTE(TEXT(Regen!E521,""",""?00;"",""?-00;"",""?00;"", //"""),"'","""")</f>
        <v>083, 19400602, 1, ////, 07</v>
      </c>
    </row>
    <row r="522" spans="1:1" x14ac:dyDescent="0.25">
      <c r="A522" s="25" t="str">
        <f ca="1">TEXT(Regen!A522,"000\,")&amp;TEXT(Regen!B522,"?00000000")&amp;TEXT(Regen!C522,""",""?0")&amp;SUBSTITUTE(TEXT(Regen!D522,""",""????0;"",""???-0;"",""????0;"", ////"""),"'","""")&amp;SUBSTITUTE(TEXT(Regen!E522,""",""?00;"",""?-00;"",""?00;"", //"""),"'","""")</f>
        <v>083, 19400603, 1, ////, 07</v>
      </c>
    </row>
    <row r="523" spans="1:1" x14ac:dyDescent="0.25">
      <c r="A523" s="25" t="str">
        <f ca="1">TEXT(Regen!A523,"000\,")&amp;TEXT(Regen!B523,"?00000000")&amp;TEXT(Regen!C523,""",""?0")&amp;SUBSTITUTE(TEXT(Regen!D523,""",""????0;"",""???-0;"",""????0;"", ////"""),"'","""")&amp;SUBSTITUTE(TEXT(Regen!E523,""",""?00;"",""?-00;"",""?00;"", //"""),"'","""")</f>
        <v>083, 19400604, 1, ////, 07</v>
      </c>
    </row>
    <row r="524" spans="1:1" x14ac:dyDescent="0.25">
      <c r="A524" s="25" t="str">
        <f ca="1">TEXT(Regen!A524,"000\,")&amp;TEXT(Regen!B524,"?00000000")&amp;TEXT(Regen!C524,""",""?0")&amp;SUBSTITUTE(TEXT(Regen!D524,""",""????0;"",""???-0;"",""????0;"", ////"""),"'","""")&amp;SUBSTITUTE(TEXT(Regen!E524,""",""?00;"",""?-00;"",""?00;"", //"""),"'","""")</f>
        <v>083, 19400605, 1, ////, 07</v>
      </c>
    </row>
    <row r="525" spans="1:1" x14ac:dyDescent="0.25">
      <c r="A525" s="25" t="str">
        <f ca="1">TEXT(Regen!A525,"000\,")&amp;TEXT(Regen!B525,"?00000000")&amp;TEXT(Regen!C525,""",""?0")&amp;SUBSTITUTE(TEXT(Regen!D525,""",""????0;"",""???-0;"",""????0;"", ////"""),"'","""")&amp;SUBSTITUTE(TEXT(Regen!E525,""",""?00;"",""?-00;"",""?00;"", //"""),"'","""")</f>
        <v>083, 19400606, 1, ////, 07</v>
      </c>
    </row>
    <row r="526" spans="1:1" x14ac:dyDescent="0.25">
      <c r="A526" s="25" t="str">
        <f ca="1">TEXT(Regen!A526,"000\,")&amp;TEXT(Regen!B526,"?00000000")&amp;TEXT(Regen!C526,""",""?0")&amp;SUBSTITUTE(TEXT(Regen!D526,""",""????0;"",""???-0;"",""????0;"", ////"""),"'","""")&amp;SUBSTITUTE(TEXT(Regen!E526,""",""?00;"",""?-00;"",""?00;"", //"""),"'","""")</f>
        <v>083, 19400607, 1, ////, 07</v>
      </c>
    </row>
    <row r="527" spans="1:1" x14ac:dyDescent="0.25">
      <c r="A527" s="25" t="str">
        <f ca="1">TEXT(Regen!A527,"000\,")&amp;TEXT(Regen!B527,"?00000000")&amp;TEXT(Regen!C527,""",""?0")&amp;SUBSTITUTE(TEXT(Regen!D527,""",""????0;"",""???-0;"",""????0;"", ////"""),"'","""")&amp;SUBSTITUTE(TEXT(Regen!E527,""",""?00;"",""?-00;"",""?00;"", //"""),"'","""")</f>
        <v>083, 19400608, 1, ////, 07</v>
      </c>
    </row>
    <row r="528" spans="1:1" x14ac:dyDescent="0.25">
      <c r="A528" s="25" t="str">
        <f ca="1">TEXT(Regen!A528,"000\,")&amp;TEXT(Regen!B528,"?00000000")&amp;TEXT(Regen!C528,""",""?0")&amp;SUBSTITUTE(TEXT(Regen!D528,""",""????0;"",""???-0;"",""????0;"", ////"""),"'","""")&amp;SUBSTITUTE(TEXT(Regen!E528,""",""?00;"",""?-00;"",""?00;"", //"""),"'","""")</f>
        <v>083, 19400609, 1, ////, 07</v>
      </c>
    </row>
    <row r="529" spans="1:1" x14ac:dyDescent="0.25">
      <c r="A529" s="25" t="str">
        <f ca="1">TEXT(Regen!A529,"000\,")&amp;TEXT(Regen!B529,"?00000000")&amp;TEXT(Regen!C529,""",""?0")&amp;SUBSTITUTE(TEXT(Regen!D529,""",""????0;"",""???-0;"",""????0;"", ////"""),"'","""")&amp;SUBSTITUTE(TEXT(Regen!E529,""",""?00;"",""?-00;"",""?00;"", //"""),"'","""")</f>
        <v>083, 19400610, 1, ////, 07</v>
      </c>
    </row>
    <row r="530" spans="1:1" x14ac:dyDescent="0.25">
      <c r="A530" s="25" t="str">
        <f ca="1">TEXT(Regen!A530,"000\,")&amp;TEXT(Regen!B530,"?00000000")&amp;TEXT(Regen!C530,""",""?0")&amp;SUBSTITUTE(TEXT(Regen!D530,""",""????0;"",""???-0;"",""????0;"", ////"""),"'","""")&amp;SUBSTITUTE(TEXT(Regen!E530,""",""?00;"",""?-00;"",""?00;"", //"""),"'","""")</f>
        <v>083, 19400611, 1, ////, 07</v>
      </c>
    </row>
    <row r="531" spans="1:1" x14ac:dyDescent="0.25">
      <c r="A531" s="25" t="str">
        <f ca="1">TEXT(Regen!A531,"000\,")&amp;TEXT(Regen!B531,"?00000000")&amp;TEXT(Regen!C531,""",""?0")&amp;SUBSTITUTE(TEXT(Regen!D531,""",""????0;"",""???-0;"",""????0;"", ////"""),"'","""")&amp;SUBSTITUTE(TEXT(Regen!E531,""",""?00;"",""?-00;"",""?00;"", //"""),"'","""")</f>
        <v>083, 19400612, 1, ////, 07</v>
      </c>
    </row>
    <row r="532" spans="1:1" x14ac:dyDescent="0.25">
      <c r="A532" s="25" t="str">
        <f ca="1">TEXT(Regen!A532,"000\,")&amp;TEXT(Regen!B532,"?00000000")&amp;TEXT(Regen!C532,""",""?0")&amp;SUBSTITUTE(TEXT(Regen!D532,""",""????0;"",""???-0;"",""????0;"", ////"""),"'","""")&amp;SUBSTITUTE(TEXT(Regen!E532,""",""?00;"",""?-00;"",""?00;"", //"""),"'","""")</f>
        <v>083, 19400613, 1, ////, 07</v>
      </c>
    </row>
    <row r="533" spans="1:1" x14ac:dyDescent="0.25">
      <c r="A533" s="25" t="str">
        <f ca="1">TEXT(Regen!A533,"000\,")&amp;TEXT(Regen!B533,"?00000000")&amp;TEXT(Regen!C533,""",""?0")&amp;SUBSTITUTE(TEXT(Regen!D533,""",""????0;"",""???-0;"",""????0;"", ////"""),"'","""")&amp;SUBSTITUTE(TEXT(Regen!E533,""",""?00;"",""?-00;"",""?00;"", //"""),"'","""")</f>
        <v>083, 19400614, 1, ////, 07</v>
      </c>
    </row>
    <row r="534" spans="1:1" x14ac:dyDescent="0.25">
      <c r="A534" s="25" t="str">
        <f ca="1">TEXT(Regen!A534,"000\,")&amp;TEXT(Regen!B534,"?00000000")&amp;TEXT(Regen!C534,""",""?0")&amp;SUBSTITUTE(TEXT(Regen!D534,""",""????0;"",""???-0;"",""????0;"", ////"""),"'","""")&amp;SUBSTITUTE(TEXT(Regen!E534,""",""?00;"",""?-00;"",""?00;"", //"""),"'","""")</f>
        <v>083, 19400615, 1, ////, 07</v>
      </c>
    </row>
    <row r="535" spans="1:1" x14ac:dyDescent="0.25">
      <c r="A535" s="25" t="str">
        <f ca="1">TEXT(Regen!A535,"000\,")&amp;TEXT(Regen!B535,"?00000000")&amp;TEXT(Regen!C535,""",""?0")&amp;SUBSTITUTE(TEXT(Regen!D535,""",""????0;"",""???-0;"",""????0;"", ////"""),"'","""")&amp;SUBSTITUTE(TEXT(Regen!E535,""",""?00;"",""?-00;"",""?00;"", //"""),"'","""")</f>
        <v>083, 19400616, 1, ////, 07</v>
      </c>
    </row>
    <row r="536" spans="1:1" x14ac:dyDescent="0.25">
      <c r="A536" s="25" t="str">
        <f ca="1">TEXT(Regen!A536,"000\,")&amp;TEXT(Regen!B536,"?00000000")&amp;TEXT(Regen!C536,""",""?0")&amp;SUBSTITUTE(TEXT(Regen!D536,""",""????0;"",""???-0;"",""????0;"", ////"""),"'","""")&amp;SUBSTITUTE(TEXT(Regen!E536,""",""?00;"",""?-00;"",""?00;"", //"""),"'","""")</f>
        <v>083, 19400617, 1, ////, 07</v>
      </c>
    </row>
    <row r="537" spans="1:1" x14ac:dyDescent="0.25">
      <c r="A537" s="25" t="str">
        <f ca="1">TEXT(Regen!A537,"000\,")&amp;TEXT(Regen!B537,"?00000000")&amp;TEXT(Regen!C537,""",""?0")&amp;SUBSTITUTE(TEXT(Regen!D537,""",""????0;"",""???-0;"",""????0;"", ////"""),"'","""")&amp;SUBSTITUTE(TEXT(Regen!E537,""",""?00;"",""?-00;"",""?00;"", //"""),"'","""")</f>
        <v>083, 19400618, 1, ////, 07</v>
      </c>
    </row>
    <row r="538" spans="1:1" x14ac:dyDescent="0.25">
      <c r="A538" s="25" t="str">
        <f ca="1">TEXT(Regen!A538,"000\,")&amp;TEXT(Regen!B538,"?00000000")&amp;TEXT(Regen!C538,""",""?0")&amp;SUBSTITUTE(TEXT(Regen!D538,""",""????0;"",""???-0;"",""????0;"", ////"""),"'","""")&amp;SUBSTITUTE(TEXT(Regen!E538,""",""?00;"",""?-00;"",""?00;"", //"""),"'","""")</f>
        <v>083, 19400619, 1, ////, 07</v>
      </c>
    </row>
    <row r="539" spans="1:1" x14ac:dyDescent="0.25">
      <c r="A539" s="25" t="str">
        <f ca="1">TEXT(Regen!A539,"000\,")&amp;TEXT(Regen!B539,"?00000000")&amp;TEXT(Regen!C539,""",""?0")&amp;SUBSTITUTE(TEXT(Regen!D539,""",""????0;"",""???-0;"",""????0;"", ////"""),"'","""")&amp;SUBSTITUTE(TEXT(Regen!E539,""",""?00;"",""?-00;"",""?00;"", //"""),"'","""")</f>
        <v>083, 19400620, 1, ////, 07</v>
      </c>
    </row>
    <row r="540" spans="1:1" x14ac:dyDescent="0.25">
      <c r="A540" s="25" t="str">
        <f ca="1">TEXT(Regen!A540,"000\,")&amp;TEXT(Regen!B540,"?00000000")&amp;TEXT(Regen!C540,""",""?0")&amp;SUBSTITUTE(TEXT(Regen!D540,""",""????0;"",""???-0;"",""????0;"", ////"""),"'","""")&amp;SUBSTITUTE(TEXT(Regen!E540,""",""?00;"",""?-00;"",""?00;"", //"""),"'","""")</f>
        <v>083, 19400621, 1, ////, 07</v>
      </c>
    </row>
    <row r="541" spans="1:1" x14ac:dyDescent="0.25">
      <c r="A541" s="25" t="str">
        <f ca="1">TEXT(Regen!A541,"000\,")&amp;TEXT(Regen!B541,"?00000000")&amp;TEXT(Regen!C541,""",""?0")&amp;SUBSTITUTE(TEXT(Regen!D541,""",""????0;"",""???-0;"",""????0;"", ////"""),"'","""")&amp;SUBSTITUTE(TEXT(Regen!E541,""",""?00;"",""?-00;"",""?00;"", //"""),"'","""")</f>
        <v>083, 19400622, 1, ////, 07</v>
      </c>
    </row>
    <row r="542" spans="1:1" x14ac:dyDescent="0.25">
      <c r="A542" s="25" t="str">
        <f ca="1">TEXT(Regen!A542,"000\,")&amp;TEXT(Regen!B542,"?00000000")&amp;TEXT(Regen!C542,""",""?0")&amp;SUBSTITUTE(TEXT(Regen!D542,""",""????0;"",""???-0;"",""????0;"", ////"""),"'","""")&amp;SUBSTITUTE(TEXT(Regen!E542,""",""?00;"",""?-00;"",""?00;"", //"""),"'","""")</f>
        <v>083, 19400623, 1, ////, 07</v>
      </c>
    </row>
    <row r="543" spans="1:1" x14ac:dyDescent="0.25">
      <c r="A543" s="25" t="str">
        <f ca="1">TEXT(Regen!A543,"000\,")&amp;TEXT(Regen!B543,"?00000000")&amp;TEXT(Regen!C543,""",""?0")&amp;SUBSTITUTE(TEXT(Regen!D543,""",""????0;"",""???-0;"",""????0;"", ////"""),"'","""")&amp;SUBSTITUTE(TEXT(Regen!E543,""",""?00;"",""?-00;"",""?00;"", //"""),"'","""")</f>
        <v>083, 19400624, 1, ////, 07</v>
      </c>
    </row>
    <row r="544" spans="1:1" x14ac:dyDescent="0.25">
      <c r="A544" s="25" t="str">
        <f ca="1">TEXT(Regen!A544,"000\,")&amp;TEXT(Regen!B544,"?00000000")&amp;TEXT(Regen!C544,""",""?0")&amp;SUBSTITUTE(TEXT(Regen!D544,""",""????0;"",""???-0;"",""????0;"", ////"""),"'","""")&amp;SUBSTITUTE(TEXT(Regen!E544,""",""?00;"",""?-00;"",""?00;"", //"""),"'","""")</f>
        <v>083, 19400625, 1, ////, 07</v>
      </c>
    </row>
    <row r="545" spans="1:1" x14ac:dyDescent="0.25">
      <c r="A545" s="25" t="str">
        <f ca="1">TEXT(Regen!A545,"000\,")&amp;TEXT(Regen!B545,"?00000000")&amp;TEXT(Regen!C545,""",""?0")&amp;SUBSTITUTE(TEXT(Regen!D545,""",""????0;"",""???-0;"",""????0;"", ////"""),"'","""")&amp;SUBSTITUTE(TEXT(Regen!E545,""",""?00;"",""?-00;"",""?00;"", //"""),"'","""")</f>
        <v>083, 19400626, 1, ////, 07</v>
      </c>
    </row>
    <row r="546" spans="1:1" x14ac:dyDescent="0.25">
      <c r="A546" s="25" t="str">
        <f ca="1">TEXT(Regen!A546,"000\,")&amp;TEXT(Regen!B546,"?00000000")&amp;TEXT(Regen!C546,""",""?0")&amp;SUBSTITUTE(TEXT(Regen!D546,""",""????0;"",""???-0;"",""????0;"", ////"""),"'","""")&amp;SUBSTITUTE(TEXT(Regen!E546,""",""?00;"",""?-00;"",""?00;"", //"""),"'","""")</f>
        <v>083, 19400627, 1, ////, 07</v>
      </c>
    </row>
    <row r="547" spans="1:1" x14ac:dyDescent="0.25">
      <c r="A547" s="25" t="str">
        <f ca="1">TEXT(Regen!A547,"000\,")&amp;TEXT(Regen!B547,"?00000000")&amp;TEXT(Regen!C547,""",""?0")&amp;SUBSTITUTE(TEXT(Regen!D547,""",""????0;"",""???-0;"",""????0;"", ////"""),"'","""")&amp;SUBSTITUTE(TEXT(Regen!E547,""",""?00;"",""?-00;"",""?00;"", //"""),"'","""")</f>
        <v>083, 19400628, 1, ////, 07</v>
      </c>
    </row>
    <row r="548" spans="1:1" x14ac:dyDescent="0.25">
      <c r="A548" s="25" t="str">
        <f ca="1">TEXT(Regen!A548,"000\,")&amp;TEXT(Regen!B548,"?00000000")&amp;TEXT(Regen!C548,""",""?0")&amp;SUBSTITUTE(TEXT(Regen!D548,""",""????0;"",""???-0;"",""????0;"", ////"""),"'","""")&amp;SUBSTITUTE(TEXT(Regen!E548,""",""?00;"",""?-00;"",""?00;"", //"""),"'","""")</f>
        <v>083, 19400629, 1, ////, 07</v>
      </c>
    </row>
    <row r="549" spans="1:1" x14ac:dyDescent="0.25">
      <c r="A549" s="25" t="str">
        <f ca="1">TEXT(Regen!A549,"000\,")&amp;TEXT(Regen!B549,"?00000000")&amp;TEXT(Regen!C549,""",""?0")&amp;SUBSTITUTE(TEXT(Regen!D549,""",""????0;"",""???-0;"",""????0;"", ////"""),"'","""")&amp;SUBSTITUTE(TEXT(Regen!E549,""",""?00;"",""?-00;"",""?00;"", //"""),"'","""")</f>
        <v>083, 19400630, 1, ////, 07</v>
      </c>
    </row>
    <row r="550" spans="1:1" x14ac:dyDescent="0.25">
      <c r="A550" s="25" t="str">
        <f ca="1">TEXT(Regen!A550,"000\,")&amp;TEXT(Regen!B550,"?00000000")&amp;TEXT(Regen!C550,""",""?0")&amp;SUBSTITUTE(TEXT(Regen!D550,""",""????0;"",""???-0;"",""????0;"", ////"""),"'","""")&amp;SUBSTITUTE(TEXT(Regen!E550,""",""?00;"",""?-00;"",""?00;"", //"""),"'","""")</f>
        <v>083, 19400701, 1,    0, 00</v>
      </c>
    </row>
    <row r="551" spans="1:1" x14ac:dyDescent="0.25">
      <c r="A551" s="25" t="str">
        <f ca="1">TEXT(Regen!A551,"000\,")&amp;TEXT(Regen!B551,"?00000000")&amp;TEXT(Regen!C551,""",""?0")&amp;SUBSTITUTE(TEXT(Regen!D551,""",""????0;"",""???-0;"",""????0;"", ////"""),"'","""")&amp;SUBSTITUTE(TEXT(Regen!E551,""",""?00;"",""?-00;"",""?00;"", //"""),"'","""")</f>
        <v>083, 19400702, 1,    0, 00</v>
      </c>
    </row>
    <row r="552" spans="1:1" x14ac:dyDescent="0.25">
      <c r="A552" s="25" t="str">
        <f ca="1">TEXT(Regen!A552,"000\,")&amp;TEXT(Regen!B552,"?00000000")&amp;TEXT(Regen!C552,""",""?0")&amp;SUBSTITUTE(TEXT(Regen!D552,""",""????0;"",""???-0;"",""????0;"", ////"""),"'","""")&amp;SUBSTITUTE(TEXT(Regen!E552,""",""?00;"",""?-00;"",""?00;"", //"""),"'","""")</f>
        <v>083, 19400703, 1,    0, 00</v>
      </c>
    </row>
    <row r="553" spans="1:1" x14ac:dyDescent="0.25">
      <c r="A553" s="25" t="str">
        <f ca="1">TEXT(Regen!A553,"000\,")&amp;TEXT(Regen!B553,"?00000000")&amp;TEXT(Regen!C553,""",""?0")&amp;SUBSTITUTE(TEXT(Regen!D553,""",""????0;"",""???-0;"",""????0;"", ////"""),"'","""")&amp;SUBSTITUTE(TEXT(Regen!E553,""",""?00;"",""?-00;"",""?00;"", //"""),"'","""")</f>
        <v>083, 19400704, 1,    0, 00</v>
      </c>
    </row>
    <row r="554" spans="1:1" x14ac:dyDescent="0.25">
      <c r="A554" s="25" t="str">
        <f ca="1">TEXT(Regen!A554,"000\,")&amp;TEXT(Regen!B554,"?00000000")&amp;TEXT(Regen!C554,""",""?0")&amp;SUBSTITUTE(TEXT(Regen!D554,""",""????0;"",""???-0;"",""????0;"", ////"""),"'","""")&amp;SUBSTITUTE(TEXT(Regen!E554,""",""?00;"",""?-00;"",""?00;"", //"""),"'","""")</f>
        <v>083, 19400705, 1,   65, 00</v>
      </c>
    </row>
    <row r="555" spans="1:1" x14ac:dyDescent="0.25">
      <c r="A555" s="25" t="str">
        <f ca="1">TEXT(Regen!A555,"000\,")&amp;TEXT(Regen!B555,"?00000000")&amp;TEXT(Regen!C555,""",""?0")&amp;SUBSTITUTE(TEXT(Regen!D555,""",""????0;"",""???-0;"",""????0;"", ////"""),"'","""")&amp;SUBSTITUTE(TEXT(Regen!E555,""",""?00;"",""?-00;"",""?00;"", //"""),"'","""")</f>
        <v>083, 19400706, 1,   75, 00</v>
      </c>
    </row>
    <row r="556" spans="1:1" x14ac:dyDescent="0.25">
      <c r="A556" s="25" t="str">
        <f ca="1">TEXT(Regen!A556,"000\,")&amp;TEXT(Regen!B556,"?00000000")&amp;TEXT(Regen!C556,""",""?0")&amp;SUBSTITUTE(TEXT(Regen!D556,""",""????0;"",""???-0;"",""????0;"", ////"""),"'","""")&amp;SUBSTITUTE(TEXT(Regen!E556,""",""?00;"",""?-00;"",""?00;"", //"""),"'","""")</f>
        <v>083, 19400707, 1,   20, 00</v>
      </c>
    </row>
    <row r="557" spans="1:1" x14ac:dyDescent="0.25">
      <c r="A557" s="25" t="str">
        <f ca="1">TEXT(Regen!A557,"000\,")&amp;TEXT(Regen!B557,"?00000000")&amp;TEXT(Regen!C557,""",""?0")&amp;SUBSTITUTE(TEXT(Regen!D557,""",""????0;"",""???-0;"",""????0;"", ////"""),"'","""")&amp;SUBSTITUTE(TEXT(Regen!E557,""",""?00;"",""?-00;"",""?00;"", //"""),"'","""")</f>
        <v>083, 19400708, 1,    0, 00</v>
      </c>
    </row>
    <row r="558" spans="1:1" x14ac:dyDescent="0.25">
      <c r="A558" s="25" t="str">
        <f ca="1">TEXT(Regen!A558,"000\,")&amp;TEXT(Regen!B558,"?00000000")&amp;TEXT(Regen!C558,""",""?0")&amp;SUBSTITUTE(TEXT(Regen!D558,""",""????0;"",""???-0;"",""????0;"", ////"""),"'","""")&amp;SUBSTITUTE(TEXT(Regen!E558,""",""?00;"",""?-00;"",""?00;"", //"""),"'","""")</f>
        <v>083, 19400709, 1,    0, 00</v>
      </c>
    </row>
    <row r="559" spans="1:1" x14ac:dyDescent="0.25">
      <c r="A559" s="25" t="str">
        <f ca="1">TEXT(Regen!A559,"000\,")&amp;TEXT(Regen!B559,"?00000000")&amp;TEXT(Regen!C559,""",""?0")&amp;SUBSTITUTE(TEXT(Regen!D559,""",""????0;"",""???-0;"",""????0;"", ////"""),"'","""")&amp;SUBSTITUTE(TEXT(Regen!E559,""",""?00;"",""?-00;"",""?00;"", //"""),"'","""")</f>
        <v>083, 19400710, 1,   80, 00</v>
      </c>
    </row>
    <row r="560" spans="1:1" x14ac:dyDescent="0.25">
      <c r="A560" s="25" t="str">
        <f ca="1">TEXT(Regen!A560,"000\,")&amp;TEXT(Regen!B560,"?00000000")&amp;TEXT(Regen!C560,""",""?0")&amp;SUBSTITUTE(TEXT(Regen!D560,""",""????0;"",""???-0;"",""????0;"", ////"""),"'","""")&amp;SUBSTITUTE(TEXT(Regen!E560,""",""?00;"",""?-00;"",""?00;"", //"""),"'","""")</f>
        <v>083, 19400711, 1,   20, 00</v>
      </c>
    </row>
    <row r="561" spans="1:1" x14ac:dyDescent="0.25">
      <c r="A561" s="25" t="str">
        <f ca="1">TEXT(Regen!A561,"000\,")&amp;TEXT(Regen!B561,"?00000000")&amp;TEXT(Regen!C561,""",""?0")&amp;SUBSTITUTE(TEXT(Regen!D561,""",""????0;"",""???-0;"",""????0;"", ////"""),"'","""")&amp;SUBSTITUTE(TEXT(Regen!E561,""",""?00;"",""?-00;"",""?00;"", //"""),"'","""")</f>
        <v>083, 19400712, 1,   10, 00</v>
      </c>
    </row>
    <row r="562" spans="1:1" x14ac:dyDescent="0.25">
      <c r="A562" s="25" t="str">
        <f ca="1">TEXT(Regen!A562,"000\,")&amp;TEXT(Regen!B562,"?00000000")&amp;TEXT(Regen!C562,""",""?0")&amp;SUBSTITUTE(TEXT(Regen!D562,""",""????0;"",""???-0;"",""????0;"", ////"""),"'","""")&amp;SUBSTITUTE(TEXT(Regen!E562,""",""?00;"",""?-00;"",""?00;"", //"""),"'","""")</f>
        <v>083, 19400713, 1,    0, 00</v>
      </c>
    </row>
    <row r="563" spans="1:1" x14ac:dyDescent="0.25">
      <c r="A563" s="25" t="str">
        <f ca="1">TEXT(Regen!A563,"000\,")&amp;TEXT(Regen!B563,"?00000000")&amp;TEXT(Regen!C563,""",""?0")&amp;SUBSTITUTE(TEXT(Regen!D563,""",""????0;"",""???-0;"",""????0;"", ////"""),"'","""")&amp;SUBSTITUTE(TEXT(Regen!E563,""",""?00;"",""?-00;"",""?00;"", //"""),"'","""")</f>
        <v>083, 19400714, 1,   30, 00</v>
      </c>
    </row>
    <row r="564" spans="1:1" x14ac:dyDescent="0.25">
      <c r="A564" s="25" t="str">
        <f ca="1">TEXT(Regen!A564,"000\,")&amp;TEXT(Regen!B564,"?00000000")&amp;TEXT(Regen!C564,""",""?0")&amp;SUBSTITUTE(TEXT(Regen!D564,""",""????0;"",""???-0;"",""????0;"", ////"""),"'","""")&amp;SUBSTITUTE(TEXT(Regen!E564,""",""?00;"",""?-00;"",""?00;"", //"""),"'","""")</f>
        <v>083, 19400715, 1,   50, 00</v>
      </c>
    </row>
    <row r="565" spans="1:1" x14ac:dyDescent="0.25">
      <c r="A565" s="25" t="str">
        <f ca="1">TEXT(Regen!A565,"000\,")&amp;TEXT(Regen!B565,"?00000000")&amp;TEXT(Regen!C565,""",""?0")&amp;SUBSTITUTE(TEXT(Regen!D565,""",""????0;"",""???-0;"",""????0;"", ////"""),"'","""")&amp;SUBSTITUTE(TEXT(Regen!E565,""",""?00;"",""?-00;"",""?00;"", //"""),"'","""")</f>
        <v>083, 19400716, 1,   75, 00</v>
      </c>
    </row>
    <row r="566" spans="1:1" x14ac:dyDescent="0.25">
      <c r="A566" s="25" t="str">
        <f ca="1">TEXT(Regen!A566,"000\,")&amp;TEXT(Regen!B566,"?00000000")&amp;TEXT(Regen!C566,""",""?0")&amp;SUBSTITUTE(TEXT(Regen!D566,""",""????0;"",""???-0;"",""????0;"", ////"""),"'","""")&amp;SUBSTITUTE(TEXT(Regen!E566,""",""?00;"",""?-00;"",""?00;"", //"""),"'","""")</f>
        <v>083, 19400717, 1,    0, 00</v>
      </c>
    </row>
    <row r="567" spans="1:1" x14ac:dyDescent="0.25">
      <c r="A567" s="25" t="str">
        <f ca="1">TEXT(Regen!A567,"000\,")&amp;TEXT(Regen!B567,"?00000000")&amp;TEXT(Regen!C567,""",""?0")&amp;SUBSTITUTE(TEXT(Regen!D567,""",""????0;"",""???-0;"",""????0;"", ////"""),"'","""")&amp;SUBSTITUTE(TEXT(Regen!E567,""",""?00;"",""?-00;"",""?00;"", //"""),"'","""")</f>
        <v>083, 19400718, 1,    0, 00</v>
      </c>
    </row>
    <row r="568" spans="1:1" x14ac:dyDescent="0.25">
      <c r="A568" s="25" t="str">
        <f ca="1">TEXT(Regen!A568,"000\,")&amp;TEXT(Regen!B568,"?00000000")&amp;TEXT(Regen!C568,""",""?0")&amp;SUBSTITUTE(TEXT(Regen!D568,""",""????0;"",""???-0;"",""????0;"", ////"""),"'","""")&amp;SUBSTITUTE(TEXT(Regen!E568,""",""?00;"",""?-00;"",""?00;"", //"""),"'","""")</f>
        <v>083, 19400719, 1,   20, 00</v>
      </c>
    </row>
    <row r="569" spans="1:1" x14ac:dyDescent="0.25">
      <c r="A569" s="25" t="str">
        <f ca="1">TEXT(Regen!A569,"000\,")&amp;TEXT(Regen!B569,"?00000000")&amp;TEXT(Regen!C569,""",""?0")&amp;SUBSTITUTE(TEXT(Regen!D569,""",""????0;"",""???-0;"",""????0;"", ////"""),"'","""")&amp;SUBSTITUTE(TEXT(Regen!E569,""",""?00;"",""?-00;"",""?00;"", //"""),"'","""")</f>
        <v>083, 19400720, 1,    0, 00</v>
      </c>
    </row>
    <row r="570" spans="1:1" x14ac:dyDescent="0.25">
      <c r="A570" s="25" t="str">
        <f ca="1">TEXT(Regen!A570,"000\,")&amp;TEXT(Regen!B570,"?00000000")&amp;TEXT(Regen!C570,""",""?0")&amp;SUBSTITUTE(TEXT(Regen!D570,""",""????0;"",""???-0;"",""????0;"", ////"""),"'","""")&amp;SUBSTITUTE(TEXT(Regen!E570,""",""?00;"",""?-00;"",""?00;"", //"""),"'","""")</f>
        <v>083, 19400721, 1,   50, 00</v>
      </c>
    </row>
    <row r="571" spans="1:1" x14ac:dyDescent="0.25">
      <c r="A571" s="25" t="str">
        <f ca="1">TEXT(Regen!A571,"000\,")&amp;TEXT(Regen!B571,"?00000000")&amp;TEXT(Regen!C571,""",""?0")&amp;SUBSTITUTE(TEXT(Regen!D571,""",""????0;"",""???-0;"",""????0;"", ////"""),"'","""")&amp;SUBSTITUTE(TEXT(Regen!E571,""",""?00;"",""?-00;"",""?00;"", //"""),"'","""")</f>
        <v>083, 19400722, 1,   35, 00</v>
      </c>
    </row>
    <row r="572" spans="1:1" x14ac:dyDescent="0.25">
      <c r="A572" s="25" t="str">
        <f ca="1">TEXT(Regen!A572,"000\,")&amp;TEXT(Regen!B572,"?00000000")&amp;TEXT(Regen!C572,""",""?0")&amp;SUBSTITUTE(TEXT(Regen!D572,""",""????0;"",""???-0;"",""????0;"", ////"""),"'","""")&amp;SUBSTITUTE(TEXT(Regen!E572,""",""?00;"",""?-00;"",""?00;"", //"""),"'","""")</f>
        <v>083, 19400723, 1,   60, 00</v>
      </c>
    </row>
    <row r="573" spans="1:1" x14ac:dyDescent="0.25">
      <c r="A573" s="25" t="str">
        <f ca="1">TEXT(Regen!A573,"000\,")&amp;TEXT(Regen!B573,"?00000000")&amp;TEXT(Regen!C573,""",""?0")&amp;SUBSTITUTE(TEXT(Regen!D573,""",""????0;"",""???-0;"",""????0;"", ////"""),"'","""")&amp;SUBSTITUTE(TEXT(Regen!E573,""",""?00;"",""?-00;"",""?00;"", //"""),"'","""")</f>
        <v>083, 19400724, 1,    0, 00</v>
      </c>
    </row>
    <row r="574" spans="1:1" x14ac:dyDescent="0.25">
      <c r="A574" s="25" t="str">
        <f ca="1">TEXT(Regen!A574,"000\,")&amp;TEXT(Regen!B574,"?00000000")&amp;TEXT(Regen!C574,""",""?0")&amp;SUBSTITUTE(TEXT(Regen!D574,""",""????0;"",""???-0;"",""????0;"", ////"""),"'","""")&amp;SUBSTITUTE(TEXT(Regen!E574,""",""?00;"",""?-00;"",""?00;"", //"""),"'","""")</f>
        <v>083, 19400725, 1,    0, 00</v>
      </c>
    </row>
    <row r="575" spans="1:1" x14ac:dyDescent="0.25">
      <c r="A575" s="25" t="str">
        <f ca="1">TEXT(Regen!A575,"000\,")&amp;TEXT(Regen!B575,"?00000000")&amp;TEXT(Regen!C575,""",""?0")&amp;SUBSTITUTE(TEXT(Regen!D575,""",""????0;"",""???-0;"",""????0;"", ////"""),"'","""")&amp;SUBSTITUTE(TEXT(Regen!E575,""",""?00;"",""?-00;"",""?00;"", //"""),"'","""")</f>
        <v>083, 19400726, 1,    0, 00</v>
      </c>
    </row>
    <row r="576" spans="1:1" x14ac:dyDescent="0.25">
      <c r="A576" s="25" t="str">
        <f ca="1">TEXT(Regen!A576,"000\,")&amp;TEXT(Regen!B576,"?00000000")&amp;TEXT(Regen!C576,""",""?0")&amp;SUBSTITUTE(TEXT(Regen!D576,""",""????0;"",""???-0;"",""????0;"", ////"""),"'","""")&amp;SUBSTITUTE(TEXT(Regen!E576,""",""?00;"",""?-00;"",""?00;"", //"""),"'","""")</f>
        <v>083, 19400727, 1,    0, 00</v>
      </c>
    </row>
    <row r="577" spans="1:1" x14ac:dyDescent="0.25">
      <c r="A577" s="25" t="str">
        <f ca="1">TEXT(Regen!A577,"000\,")&amp;TEXT(Regen!B577,"?00000000")&amp;TEXT(Regen!C577,""",""?0")&amp;SUBSTITUTE(TEXT(Regen!D577,""",""????0;"",""???-0;"",""????0;"", ////"""),"'","""")&amp;SUBSTITUTE(TEXT(Regen!E577,""",""?00;"",""?-00;"",""?00;"", //"""),"'","""")</f>
        <v>083, 19400728, 1,    0, 00</v>
      </c>
    </row>
    <row r="578" spans="1:1" x14ac:dyDescent="0.25">
      <c r="A578" s="25" t="str">
        <f ca="1">TEXT(Regen!A578,"000\,")&amp;TEXT(Regen!B578,"?00000000")&amp;TEXT(Regen!C578,""",""?0")&amp;SUBSTITUTE(TEXT(Regen!D578,""",""????0;"",""???-0;"",""????0;"", ////"""),"'","""")&amp;SUBSTITUTE(TEXT(Regen!E578,""",""?00;"",""?-00;"",""?00;"", //"""),"'","""")</f>
        <v>083, 19400729, 1,    0, 00</v>
      </c>
    </row>
    <row r="579" spans="1:1" x14ac:dyDescent="0.25">
      <c r="A579" s="25" t="str">
        <f ca="1">TEXT(Regen!A579,"000\,")&amp;TEXT(Regen!B579,"?00000000")&amp;TEXT(Regen!C579,""",""?0")&amp;SUBSTITUTE(TEXT(Regen!D579,""",""????0;"",""???-0;"",""????0;"", ////"""),"'","""")&amp;SUBSTITUTE(TEXT(Regen!E579,""",""?00;"",""?-00;"",""?00;"", //"""),"'","""")</f>
        <v>083, 19400730, 1,    0, 00</v>
      </c>
    </row>
    <row r="580" spans="1:1" x14ac:dyDescent="0.25">
      <c r="A580" s="25" t="str">
        <f ca="1">TEXT(Regen!A580,"000\,")&amp;TEXT(Regen!B580,"?00000000")&amp;TEXT(Regen!C580,""",""?0")&amp;SUBSTITUTE(TEXT(Regen!D580,""",""????0;"",""???-0;"",""????0;"", ////"""),"'","""")&amp;SUBSTITUTE(TEXT(Regen!E580,""",""?00;"",""?-00;"",""?00;"", //"""),"'","""")</f>
        <v>083, 19400731, 1,    0, 00</v>
      </c>
    </row>
    <row r="581" spans="1:1" x14ac:dyDescent="0.25">
      <c r="A581" s="25" t="str">
        <f ca="1">TEXT(Regen!A581,"000\,")&amp;TEXT(Regen!B581,"?00000000")&amp;TEXT(Regen!C581,""",""?0")&amp;SUBSTITUTE(TEXT(Regen!D581,""",""????0;"",""???-0;"",""????0;"", ////"""),"'","""")&amp;SUBSTITUTE(TEXT(Regen!E581,""",""?00;"",""?-00;"",""?00;"", //"""),"'","""")</f>
        <v>083, 19400801, 1,    0, 00</v>
      </c>
    </row>
    <row r="582" spans="1:1" x14ac:dyDescent="0.25">
      <c r="A582" s="25" t="str">
        <f ca="1">TEXT(Regen!A582,"000\,")&amp;TEXT(Regen!B582,"?00000000")&amp;TEXT(Regen!C582,""",""?0")&amp;SUBSTITUTE(TEXT(Regen!D582,""",""????0;"",""???-0;"",""????0;"", ////"""),"'","""")&amp;SUBSTITUTE(TEXT(Regen!E582,""",""?00;"",""?-00;"",""?00;"", //"""),"'","""")</f>
        <v>083, 19400802, 1,   40, 00</v>
      </c>
    </row>
    <row r="583" spans="1:1" x14ac:dyDescent="0.25">
      <c r="A583" s="25" t="str">
        <f ca="1">TEXT(Regen!A583,"000\,")&amp;TEXT(Regen!B583,"?00000000")&amp;TEXT(Regen!C583,""",""?0")&amp;SUBSTITUTE(TEXT(Regen!D583,""",""????0;"",""???-0;"",""????0;"", ////"""),"'","""")&amp;SUBSTITUTE(TEXT(Regen!E583,""",""?00;"",""?-00;"",""?00;"", //"""),"'","""")</f>
        <v>083, 19400803, 1,    0, 00</v>
      </c>
    </row>
    <row r="584" spans="1:1" x14ac:dyDescent="0.25">
      <c r="A584" s="25" t="str">
        <f ca="1">TEXT(Regen!A584,"000\,")&amp;TEXT(Regen!B584,"?00000000")&amp;TEXT(Regen!C584,""",""?0")&amp;SUBSTITUTE(TEXT(Regen!D584,""",""????0;"",""???-0;"",""????0;"", ////"""),"'","""")&amp;SUBSTITUTE(TEXT(Regen!E584,""",""?00;"",""?-00;"",""?00;"", //"""),"'","""")</f>
        <v>083, 19400804, 1,  135, 00</v>
      </c>
    </row>
    <row r="585" spans="1:1" x14ac:dyDescent="0.25">
      <c r="A585" s="25" t="str">
        <f ca="1">TEXT(Regen!A585,"000\,")&amp;TEXT(Regen!B585,"?00000000")&amp;TEXT(Regen!C585,""",""?0")&amp;SUBSTITUTE(TEXT(Regen!D585,""",""????0;"",""???-0;"",""????0;"", ////"""),"'","""")&amp;SUBSTITUTE(TEXT(Regen!E585,""",""?00;"",""?-00;"",""?00;"", //"""),"'","""")</f>
        <v>083, 19400805, 1,  160, 00</v>
      </c>
    </row>
    <row r="586" spans="1:1" x14ac:dyDescent="0.25">
      <c r="A586" s="25" t="str">
        <f ca="1">TEXT(Regen!A586,"000\,")&amp;TEXT(Regen!B586,"?00000000")&amp;TEXT(Regen!C586,""",""?0")&amp;SUBSTITUTE(TEXT(Regen!D586,""",""????0;"",""???-0;"",""????0;"", ////"""),"'","""")&amp;SUBSTITUTE(TEXT(Regen!E586,""",""?00;"",""?-00;"",""?00;"", //"""),"'","""")</f>
        <v>083, 19400806, 1,    0, 00</v>
      </c>
    </row>
    <row r="587" spans="1:1" x14ac:dyDescent="0.25">
      <c r="A587" s="25" t="str">
        <f ca="1">TEXT(Regen!A587,"000\,")&amp;TEXT(Regen!B587,"?00000000")&amp;TEXT(Regen!C587,""",""?0")&amp;SUBSTITUTE(TEXT(Regen!D587,""",""????0;"",""???-0;"",""????0;"", ////"""),"'","""")&amp;SUBSTITUTE(TEXT(Regen!E587,""",""?00;"",""?-00;"",""?00;"", //"""),"'","""")</f>
        <v>083, 19400807, 1,    0, 00</v>
      </c>
    </row>
    <row r="588" spans="1:1" x14ac:dyDescent="0.25">
      <c r="A588" s="25" t="str">
        <f ca="1">TEXT(Regen!A588,"000\,")&amp;TEXT(Regen!B588,"?00000000")&amp;TEXT(Regen!C588,""",""?0")&amp;SUBSTITUTE(TEXT(Regen!D588,""",""????0;"",""???-0;"",""????0;"", ////"""),"'","""")&amp;SUBSTITUTE(TEXT(Regen!E588,""",""?00;"",""?-00;"",""?00;"", //"""),"'","""")</f>
        <v>083, 19400808, 1,    0, 00</v>
      </c>
    </row>
    <row r="589" spans="1:1" x14ac:dyDescent="0.25">
      <c r="A589" s="25" t="str">
        <f ca="1">TEXT(Regen!A589,"000\,")&amp;TEXT(Regen!B589,"?00000000")&amp;TEXT(Regen!C589,""",""?0")&amp;SUBSTITUTE(TEXT(Regen!D589,""",""????0;"",""???-0;"",""????0;"", ////"""),"'","""")&amp;SUBSTITUTE(TEXT(Regen!E589,""",""?00;"",""?-00;"",""?00;"", //"""),"'","""")</f>
        <v>083, 19400809, 1,   30, 00</v>
      </c>
    </row>
    <row r="590" spans="1:1" x14ac:dyDescent="0.25">
      <c r="A590" s="25" t="str">
        <f ca="1">TEXT(Regen!A590,"000\,")&amp;TEXT(Regen!B590,"?00000000")&amp;TEXT(Regen!C590,""",""?0")&amp;SUBSTITUTE(TEXT(Regen!D590,""",""????0;"",""???-0;"",""????0;"", ////"""),"'","""")&amp;SUBSTITUTE(TEXT(Regen!E590,""",""?00;"",""?-00;"",""?00;"", //"""),"'","""")</f>
        <v>083, 19400810, 1,    0, 00</v>
      </c>
    </row>
    <row r="591" spans="1:1" x14ac:dyDescent="0.25">
      <c r="A591" s="25" t="str">
        <f ca="1">TEXT(Regen!A591,"000\,")&amp;TEXT(Regen!B591,"?00000000")&amp;TEXT(Regen!C591,""",""?0")&amp;SUBSTITUTE(TEXT(Regen!D591,""",""????0;"",""???-0;"",""????0;"", ////"""),"'","""")&amp;SUBSTITUTE(TEXT(Regen!E591,""",""?00;"",""?-00;"",""?00;"", //"""),"'","""")</f>
        <v>083, 19400811, 1,    0, 00</v>
      </c>
    </row>
    <row r="592" spans="1:1" x14ac:dyDescent="0.25">
      <c r="A592" s="25" t="str">
        <f ca="1">TEXT(Regen!A592,"000\,")&amp;TEXT(Regen!B592,"?00000000")&amp;TEXT(Regen!C592,""",""?0")&amp;SUBSTITUTE(TEXT(Regen!D592,""",""????0;"",""???-0;"",""????0;"", ////"""),"'","""")&amp;SUBSTITUTE(TEXT(Regen!E592,""",""?00;"",""?-00;"",""?00;"", //"""),"'","""")</f>
        <v>083, 19400812, 1,    0, 00</v>
      </c>
    </row>
    <row r="593" spans="1:1" x14ac:dyDescent="0.25">
      <c r="A593" s="25" t="str">
        <f ca="1">TEXT(Regen!A593,"000\,")&amp;TEXT(Regen!B593,"?00000000")&amp;TEXT(Regen!C593,""",""?0")&amp;SUBSTITUTE(TEXT(Regen!D593,""",""????0;"",""???-0;"",""????0;"", ////"""),"'","""")&amp;SUBSTITUTE(TEXT(Regen!E593,""",""?00;"",""?-00;"",""?00;"", //"""),"'","""")</f>
        <v>083, 19400813, 1,    0, 00</v>
      </c>
    </row>
    <row r="594" spans="1:1" x14ac:dyDescent="0.25">
      <c r="A594" s="25" t="str">
        <f ca="1">TEXT(Regen!A594,"000\,")&amp;TEXT(Regen!B594,"?00000000")&amp;TEXT(Regen!C594,""",""?0")&amp;SUBSTITUTE(TEXT(Regen!D594,""",""????0;"",""???-0;"",""????0;"", ////"""),"'","""")&amp;SUBSTITUTE(TEXT(Regen!E594,""",""?00;"",""?-00;"",""?00;"", //"""),"'","""")</f>
        <v>083, 19400814, 1,    0, 00</v>
      </c>
    </row>
    <row r="595" spans="1:1" x14ac:dyDescent="0.25">
      <c r="A595" s="25" t="str">
        <f ca="1">TEXT(Regen!A595,"000\,")&amp;TEXT(Regen!B595,"?00000000")&amp;TEXT(Regen!C595,""",""?0")&amp;SUBSTITUTE(TEXT(Regen!D595,""",""????0;"",""???-0;"",""????0;"", ////"""),"'","""")&amp;SUBSTITUTE(TEXT(Regen!E595,""",""?00;"",""?-00;"",""?00;"", //"""),"'","""")</f>
        <v>083, 19400815, 1,    0, 00</v>
      </c>
    </row>
    <row r="596" spans="1:1" x14ac:dyDescent="0.25">
      <c r="A596" s="25" t="str">
        <f ca="1">TEXT(Regen!A596,"000\,")&amp;TEXT(Regen!B596,"?00000000")&amp;TEXT(Regen!C596,""",""?0")&amp;SUBSTITUTE(TEXT(Regen!D596,""",""????0;"",""???-0;"",""????0;"", ////"""),"'","""")&amp;SUBSTITUTE(TEXT(Regen!E596,""",""?00;"",""?-00;"",""?00;"", //"""),"'","""")</f>
        <v>083, 19400816, 1,    0, 00</v>
      </c>
    </row>
    <row r="597" spans="1:1" x14ac:dyDescent="0.25">
      <c r="A597" s="25" t="str">
        <f ca="1">TEXT(Regen!A597,"000\,")&amp;TEXT(Regen!B597,"?00000000")&amp;TEXT(Regen!C597,""",""?0")&amp;SUBSTITUTE(TEXT(Regen!D597,""",""????0;"",""???-0;"",""????0;"", ////"""),"'","""")&amp;SUBSTITUTE(TEXT(Regen!E597,""",""?00;"",""?-00;"",""?00;"", //"""),"'","""")</f>
        <v>083, 19400817, 1,   20, 00</v>
      </c>
    </row>
    <row r="598" spans="1:1" x14ac:dyDescent="0.25">
      <c r="A598" s="25" t="str">
        <f ca="1">TEXT(Regen!A598,"000\,")&amp;TEXT(Regen!B598,"?00000000")&amp;TEXT(Regen!C598,""",""?0")&amp;SUBSTITUTE(TEXT(Regen!D598,""",""????0;"",""???-0;"",""????0;"", ////"""),"'","""")&amp;SUBSTITUTE(TEXT(Regen!E598,""",""?00;"",""?-00;"",""?00;"", //"""),"'","""")</f>
        <v>083, 19400818, 1,   60, 00</v>
      </c>
    </row>
    <row r="599" spans="1:1" x14ac:dyDescent="0.25">
      <c r="A599" s="25" t="str">
        <f ca="1">TEXT(Regen!A599,"000\,")&amp;TEXT(Regen!B599,"?00000000")&amp;TEXT(Regen!C599,""",""?0")&amp;SUBSTITUTE(TEXT(Regen!D599,""",""????0;"",""???-0;"",""????0;"", ////"""),"'","""")&amp;SUBSTITUTE(TEXT(Regen!E599,""",""?00;"",""?-00;"",""?00;"", //"""),"'","""")</f>
        <v>083, 19400819, 1,    0, 00</v>
      </c>
    </row>
    <row r="600" spans="1:1" x14ac:dyDescent="0.25">
      <c r="A600" s="25" t="str">
        <f ca="1">TEXT(Regen!A600,"000\,")&amp;TEXT(Regen!B600,"?00000000")&amp;TEXT(Regen!C600,""",""?0")&amp;SUBSTITUTE(TEXT(Regen!D600,""",""????0;"",""???-0;"",""????0;"", ////"""),"'","""")&amp;SUBSTITUTE(TEXT(Regen!E600,""",""?00;"",""?-00;"",""?00;"", //"""),"'","""")</f>
        <v>083, 19400820, 1,    0, 00</v>
      </c>
    </row>
    <row r="601" spans="1:1" x14ac:dyDescent="0.25">
      <c r="A601" s="25" t="str">
        <f ca="1">TEXT(Regen!A601,"000\,")&amp;TEXT(Regen!B601,"?00000000")&amp;TEXT(Regen!C601,""",""?0")&amp;SUBSTITUTE(TEXT(Regen!D601,""",""????0;"",""???-0;"",""????0;"", ////"""),"'","""")&amp;SUBSTITUTE(TEXT(Regen!E601,""",""?00;"",""?-00;"",""?00;"", //"""),"'","""")</f>
        <v>083, 19400821, 1,    0, 00</v>
      </c>
    </row>
    <row r="602" spans="1:1" x14ac:dyDescent="0.25">
      <c r="A602" s="25" t="str">
        <f ca="1">TEXT(Regen!A602,"000\,")&amp;TEXT(Regen!B602,"?00000000")&amp;TEXT(Regen!C602,""",""?0")&amp;SUBSTITUTE(TEXT(Regen!D602,""",""????0;"",""???-0;"",""????0;"", ////"""),"'","""")&amp;SUBSTITUTE(TEXT(Regen!E602,""",""?00;"",""?-00;"",""?00;"", //"""),"'","""")</f>
        <v>083, 19400822, 1,    0, 00</v>
      </c>
    </row>
    <row r="603" spans="1:1" x14ac:dyDescent="0.25">
      <c r="A603" s="25" t="str">
        <f ca="1">TEXT(Regen!A603,"000\,")&amp;TEXT(Regen!B603,"?00000000")&amp;TEXT(Regen!C603,""",""?0")&amp;SUBSTITUTE(TEXT(Regen!D603,""",""????0;"",""???-0;"",""????0;"", ////"""),"'","""")&amp;SUBSTITUTE(TEXT(Regen!E603,""",""?00;"",""?-00;"",""?00;"", //"""),"'","""")</f>
        <v>083, 19400823, 1,    0, 00</v>
      </c>
    </row>
    <row r="604" spans="1:1" x14ac:dyDescent="0.25">
      <c r="A604" s="25" t="str">
        <f ca="1">TEXT(Regen!A604,"000\,")&amp;TEXT(Regen!B604,"?00000000")&amp;TEXT(Regen!C604,""",""?0")&amp;SUBSTITUTE(TEXT(Regen!D604,""",""????0;"",""???-0;"",""????0;"", ////"""),"'","""")&amp;SUBSTITUTE(TEXT(Regen!E604,""",""?00;"",""?-00;"",""?00;"", //"""),"'","""")</f>
        <v>083, 19400824, 1,    0, 00</v>
      </c>
    </row>
    <row r="605" spans="1:1" x14ac:dyDescent="0.25">
      <c r="A605" s="25" t="str">
        <f ca="1">TEXT(Regen!A605,"000\,")&amp;TEXT(Regen!B605,"?00000000")&amp;TEXT(Regen!C605,""",""?0")&amp;SUBSTITUTE(TEXT(Regen!D605,""",""????0;"",""???-0;"",""????0;"", ////"""),"'","""")&amp;SUBSTITUTE(TEXT(Regen!E605,""",""?00;"",""?-00;"",""?00;"", //"""),"'","""")</f>
        <v>083, 19400825, 1,    0, 00</v>
      </c>
    </row>
    <row r="606" spans="1:1" x14ac:dyDescent="0.25">
      <c r="A606" s="25" t="str">
        <f ca="1">TEXT(Regen!A606,"000\,")&amp;TEXT(Regen!B606,"?00000000")&amp;TEXT(Regen!C606,""",""?0")&amp;SUBSTITUTE(TEXT(Regen!D606,""",""????0;"",""???-0;"",""????0;"", ////"""),"'","""")&amp;SUBSTITUTE(TEXT(Regen!E606,""",""?00;"",""?-00;"",""?00;"", //"""),"'","""")</f>
        <v>083, 19400826, 1,    0, 00</v>
      </c>
    </row>
    <row r="607" spans="1:1" x14ac:dyDescent="0.25">
      <c r="A607" s="25" t="str">
        <f ca="1">TEXT(Regen!A607,"000\,")&amp;TEXT(Regen!B607,"?00000000")&amp;TEXT(Regen!C607,""",""?0")&amp;SUBSTITUTE(TEXT(Regen!D607,""",""????0;"",""???-0;"",""????0;"", ////"""),"'","""")&amp;SUBSTITUTE(TEXT(Regen!E607,""",""?00;"",""?-00;"",""?00;"", //"""),"'","""")</f>
        <v>083, 19400827, 1,   20, 00</v>
      </c>
    </row>
    <row r="608" spans="1:1" x14ac:dyDescent="0.25">
      <c r="A608" s="25" t="str">
        <f ca="1">TEXT(Regen!A608,"000\,")&amp;TEXT(Regen!B608,"?00000000")&amp;TEXT(Regen!C608,""",""?0")&amp;SUBSTITUTE(TEXT(Regen!D608,""",""????0;"",""???-0;"",""????0;"", ////"""),"'","""")&amp;SUBSTITUTE(TEXT(Regen!E608,""",""?00;"",""?-00;"",""?00;"", //"""),"'","""")</f>
        <v>083, 19400828, 1,    0, 00</v>
      </c>
    </row>
    <row r="609" spans="1:1" x14ac:dyDescent="0.25">
      <c r="A609" s="25" t="str">
        <f ca="1">TEXT(Regen!A609,"000\,")&amp;TEXT(Regen!B609,"?00000000")&amp;TEXT(Regen!C609,""",""?0")&amp;SUBSTITUTE(TEXT(Regen!D609,""",""????0;"",""???-0;"",""????0;"", ////"""),"'","""")&amp;SUBSTITUTE(TEXT(Regen!E609,""",""?00;"",""?-00;"",""?00;"", //"""),"'","""")</f>
        <v>083, 19400829, 1,    0, 00</v>
      </c>
    </row>
    <row r="610" spans="1:1" x14ac:dyDescent="0.25">
      <c r="A610" s="25" t="str">
        <f ca="1">TEXT(Regen!A610,"000\,")&amp;TEXT(Regen!B610,"?00000000")&amp;TEXT(Regen!C610,""",""?0")&amp;SUBSTITUTE(TEXT(Regen!D610,""",""????0;"",""???-0;"",""????0;"", ////"""),"'","""")&amp;SUBSTITUTE(TEXT(Regen!E610,""",""?00;"",""?-00;"",""?00;"", //"""),"'","""")</f>
        <v>083, 19400830, 1,    0, 00</v>
      </c>
    </row>
    <row r="611" spans="1:1" x14ac:dyDescent="0.25">
      <c r="A611" s="25" t="str">
        <f ca="1">TEXT(Regen!A611,"000\,")&amp;TEXT(Regen!B611,"?00000000")&amp;TEXT(Regen!C611,""",""?0")&amp;SUBSTITUTE(TEXT(Regen!D611,""",""????0;"",""???-0;"",""????0;"", ////"""),"'","""")&amp;SUBSTITUTE(TEXT(Regen!E611,""",""?00;"",""?-00;"",""?00;"", //"""),"'","""")</f>
        <v>083, 19400831, 1,  270, 00</v>
      </c>
    </row>
    <row r="612" spans="1:1" x14ac:dyDescent="0.25">
      <c r="A612" s="25" t="str">
        <f ca="1">TEXT(Regen!A612,"000\,")&amp;TEXT(Regen!B612,"?00000000")&amp;TEXT(Regen!C612,""",""?0")&amp;SUBSTITUTE(TEXT(Regen!D612,""",""????0;"",""???-0;"",""????0;"", ////"""),"'","""")&amp;SUBSTITUTE(TEXT(Regen!E612,""",""?00;"",""?-00;"",""?00;"", //"""),"'","""")</f>
        <v>083, 19400901, 1,    0, 00</v>
      </c>
    </row>
    <row r="613" spans="1:1" x14ac:dyDescent="0.25">
      <c r="A613" s="25" t="str">
        <f ca="1">TEXT(Regen!A613,"000\,")&amp;TEXT(Regen!B613,"?00000000")&amp;TEXT(Regen!C613,""",""?0")&amp;SUBSTITUTE(TEXT(Regen!D613,""",""????0;"",""???-0;"",""????0;"", ////"""),"'","""")&amp;SUBSTITUTE(TEXT(Regen!E613,""",""?00;"",""?-00;"",""?00;"", //"""),"'","""")</f>
        <v>083, 19400902, 1,    0, 00</v>
      </c>
    </row>
    <row r="614" spans="1:1" x14ac:dyDescent="0.25">
      <c r="A614" s="25" t="str">
        <f ca="1">TEXT(Regen!A614,"000\,")&amp;TEXT(Regen!B614,"?00000000")&amp;TEXT(Regen!C614,""",""?0")&amp;SUBSTITUTE(TEXT(Regen!D614,""",""????0;"",""???-0;"",""????0;"", ////"""),"'","""")&amp;SUBSTITUTE(TEXT(Regen!E614,""",""?00;"",""?-00;"",""?00;"", //"""),"'","""")</f>
        <v>083, 19400903, 1,    0, 00</v>
      </c>
    </row>
    <row r="615" spans="1:1" x14ac:dyDescent="0.25">
      <c r="A615" s="25" t="str">
        <f ca="1">TEXT(Regen!A615,"000\,")&amp;TEXT(Regen!B615,"?00000000")&amp;TEXT(Regen!C615,""",""?0")&amp;SUBSTITUTE(TEXT(Regen!D615,""",""????0;"",""???-0;"",""????0;"", ////"""),"'","""")&amp;SUBSTITUTE(TEXT(Regen!E615,""",""?00;"",""?-00;"",""?00;"", //"""),"'","""")</f>
        <v>083, 19400904, 1,   30, 00</v>
      </c>
    </row>
    <row r="616" spans="1:1" x14ac:dyDescent="0.25">
      <c r="A616" s="25" t="str">
        <f ca="1">TEXT(Regen!A616,"000\,")&amp;TEXT(Regen!B616,"?00000000")&amp;TEXT(Regen!C616,""",""?0")&amp;SUBSTITUTE(TEXT(Regen!D616,""",""????0;"",""???-0;"",""????0;"", ////"""),"'","""")&amp;SUBSTITUTE(TEXT(Regen!E616,""",""?00;"",""?-00;"",""?00;"", //"""),"'","""")</f>
        <v>083, 19400905, 1,  150, 00</v>
      </c>
    </row>
    <row r="617" spans="1:1" x14ac:dyDescent="0.25">
      <c r="A617" s="25" t="str">
        <f ca="1">TEXT(Regen!A617,"000\,")&amp;TEXT(Regen!B617,"?00000000")&amp;TEXT(Regen!C617,""",""?0")&amp;SUBSTITUTE(TEXT(Regen!D617,""",""????0;"",""???-0;"",""????0;"", ////"""),"'","""")&amp;SUBSTITUTE(TEXT(Regen!E617,""",""?00;"",""?-00;"",""?00;"", //"""),"'","""")</f>
        <v>083, 19400906, 1,  110, 00</v>
      </c>
    </row>
    <row r="618" spans="1:1" x14ac:dyDescent="0.25">
      <c r="A618" s="25" t="str">
        <f ca="1">TEXT(Regen!A618,"000\,")&amp;TEXT(Regen!B618,"?00000000")&amp;TEXT(Regen!C618,""",""?0")&amp;SUBSTITUTE(TEXT(Regen!D618,""",""????0;"",""???-0;"",""????0;"", ////"""),"'","""")&amp;SUBSTITUTE(TEXT(Regen!E618,""",""?00;"",""?-00;"",""?00;"", //"""),"'","""")</f>
        <v>083, 19400907, 1,    0, 00</v>
      </c>
    </row>
    <row r="619" spans="1:1" x14ac:dyDescent="0.25">
      <c r="A619" s="25" t="str">
        <f ca="1">TEXT(Regen!A619,"000\,")&amp;TEXT(Regen!B619,"?00000000")&amp;TEXT(Regen!C619,""",""?0")&amp;SUBSTITUTE(TEXT(Regen!D619,""",""????0;"",""???-0;"",""????0;"", ////"""),"'","""")&amp;SUBSTITUTE(TEXT(Regen!E619,""",""?00;"",""?-00;"",""?00;"", //"""),"'","""")</f>
        <v>083, 19400908, 1,    0, 00</v>
      </c>
    </row>
    <row r="620" spans="1:1" x14ac:dyDescent="0.25">
      <c r="A620" s="25" t="str">
        <f ca="1">TEXT(Regen!A620,"000\,")&amp;TEXT(Regen!B620,"?00000000")&amp;TEXT(Regen!C620,""",""?0")&amp;SUBSTITUTE(TEXT(Regen!D620,""",""????0;"",""???-0;"",""????0;"", ////"""),"'","""")&amp;SUBSTITUTE(TEXT(Regen!E620,""",""?00;"",""?-00;"",""?00;"", //"""),"'","""")</f>
        <v>083, 19400909, 1,    0, 00</v>
      </c>
    </row>
    <row r="621" spans="1:1" x14ac:dyDescent="0.25">
      <c r="A621" s="25" t="str">
        <f ca="1">TEXT(Regen!A621,"000\,")&amp;TEXT(Regen!B621,"?00000000")&amp;TEXT(Regen!C621,""",""?0")&amp;SUBSTITUTE(TEXT(Regen!D621,""",""????0;"",""???-0;"",""????0;"", ////"""),"'","""")&amp;SUBSTITUTE(TEXT(Regen!E621,""",""?00;"",""?-00;"",""?00;"", //"""),"'","""")</f>
        <v>083, 19400910, 1,    0, 00</v>
      </c>
    </row>
    <row r="622" spans="1:1" x14ac:dyDescent="0.25">
      <c r="A622" s="25" t="str">
        <f ca="1">TEXT(Regen!A622,"000\,")&amp;TEXT(Regen!B622,"?00000000")&amp;TEXT(Regen!C622,""",""?0")&amp;SUBSTITUTE(TEXT(Regen!D622,""",""????0;"",""???-0;"",""????0;"", ////"""),"'","""")&amp;SUBSTITUTE(TEXT(Regen!E622,""",""?00;"",""?-00;"",""?00;"", //"""),"'","""")</f>
        <v>083, 19400911, 1,    0, 00</v>
      </c>
    </row>
    <row r="623" spans="1:1" x14ac:dyDescent="0.25">
      <c r="A623" s="25" t="str">
        <f ca="1">TEXT(Regen!A623,"000\,")&amp;TEXT(Regen!B623,"?00000000")&amp;TEXT(Regen!C623,""",""?0")&amp;SUBSTITUTE(TEXT(Regen!D623,""",""????0;"",""???-0;"",""????0;"", ////"""),"'","""")&amp;SUBSTITUTE(TEXT(Regen!E623,""",""?00;"",""?-00;"",""?00;"", //"""),"'","""")</f>
        <v>083, 19400912, 1,    0, 00</v>
      </c>
    </row>
    <row r="624" spans="1:1" x14ac:dyDescent="0.25">
      <c r="A624" s="25" t="str">
        <f ca="1">TEXT(Regen!A624,"000\,")&amp;TEXT(Regen!B624,"?00000000")&amp;TEXT(Regen!C624,""",""?0")&amp;SUBSTITUTE(TEXT(Regen!D624,""",""????0;"",""???-0;"",""????0;"", ////"""),"'","""")&amp;SUBSTITUTE(TEXT(Regen!E624,""",""?00;"",""?-00;"",""?00;"", //"""),"'","""")</f>
        <v>083, 19400913, 1,    0, 00</v>
      </c>
    </row>
    <row r="625" spans="1:1" x14ac:dyDescent="0.25">
      <c r="A625" s="25" t="str">
        <f ca="1">TEXT(Regen!A625,"000\,")&amp;TEXT(Regen!B625,"?00000000")&amp;TEXT(Regen!C625,""",""?0")&amp;SUBSTITUTE(TEXT(Regen!D625,""",""????0;"",""???-0;"",""????0;"", ////"""),"'","""")&amp;SUBSTITUTE(TEXT(Regen!E625,""",""?00;"",""?-00;"",""?00;"", //"""),"'","""")</f>
        <v>083, 19400914, 1,    0, 00</v>
      </c>
    </row>
    <row r="626" spans="1:1" x14ac:dyDescent="0.25">
      <c r="A626" s="25" t="str">
        <f ca="1">TEXT(Regen!A626,"000\,")&amp;TEXT(Regen!B626,"?00000000")&amp;TEXT(Regen!C626,""",""?0")&amp;SUBSTITUTE(TEXT(Regen!D626,""",""????0;"",""???-0;"",""????0;"", ////"""),"'","""")&amp;SUBSTITUTE(TEXT(Regen!E626,""",""?00;"",""?-00;"",""?00;"", //"""),"'","""")</f>
        <v>083, 19400915, 1,    0, 00</v>
      </c>
    </row>
    <row r="627" spans="1:1" x14ac:dyDescent="0.25">
      <c r="A627" s="25" t="str">
        <f ca="1">TEXT(Regen!A627,"000\,")&amp;TEXT(Regen!B627,"?00000000")&amp;TEXT(Regen!C627,""",""?0")&amp;SUBSTITUTE(TEXT(Regen!D627,""",""????0;"",""???-0;"",""????0;"", ////"""),"'","""")&amp;SUBSTITUTE(TEXT(Regen!E627,""",""?00;"",""?-00;"",""?00;"", //"""),"'","""")</f>
        <v>083, 19400916, 1,    0, 00</v>
      </c>
    </row>
    <row r="628" spans="1:1" x14ac:dyDescent="0.25">
      <c r="A628" s="25" t="str">
        <f ca="1">TEXT(Regen!A628,"000\,")&amp;TEXT(Regen!B628,"?00000000")&amp;TEXT(Regen!C628,""",""?0")&amp;SUBSTITUTE(TEXT(Regen!D628,""",""????0;"",""???-0;"",""????0;"", ////"""),"'","""")&amp;SUBSTITUTE(TEXT(Regen!E628,""",""?00;"",""?-00;"",""?00;"", //"""),"'","""")</f>
        <v>083, 19400917, 1,   75, 00</v>
      </c>
    </row>
    <row r="629" spans="1:1" x14ac:dyDescent="0.25">
      <c r="A629" s="25" t="str">
        <f ca="1">TEXT(Regen!A629,"000\,")&amp;TEXT(Regen!B629,"?00000000")&amp;TEXT(Regen!C629,""",""?0")&amp;SUBSTITUTE(TEXT(Regen!D629,""",""????0;"",""???-0;"",""????0;"", ////"""),"'","""")&amp;SUBSTITUTE(TEXT(Regen!E629,""",""?00;"",""?-00;"",""?00;"", //"""),"'","""")</f>
        <v>083, 19400918, 1,  300, 00</v>
      </c>
    </row>
    <row r="630" spans="1:1" x14ac:dyDescent="0.25">
      <c r="A630" s="25" t="str">
        <f ca="1">TEXT(Regen!A630,"000\,")&amp;TEXT(Regen!B630,"?00000000")&amp;TEXT(Regen!C630,""",""?0")&amp;SUBSTITUTE(TEXT(Regen!D630,""",""????0;"",""???-0;"",""????0;"", ////"""),"'","""")&amp;SUBSTITUTE(TEXT(Regen!E630,""",""?00;"",""?-00;"",""?00;"", //"""),"'","""")</f>
        <v>083, 19400919, 1,    0, 00</v>
      </c>
    </row>
    <row r="631" spans="1:1" x14ac:dyDescent="0.25">
      <c r="A631" s="25" t="str">
        <f ca="1">TEXT(Regen!A631,"000\,")&amp;TEXT(Regen!B631,"?00000000")&amp;TEXT(Regen!C631,""",""?0")&amp;SUBSTITUTE(TEXT(Regen!D631,""",""????0;"",""???-0;"",""????0;"", ////"""),"'","""")&amp;SUBSTITUTE(TEXT(Regen!E631,""",""?00;"",""?-00;"",""?00;"", //"""),"'","""")</f>
        <v>083, 19400920, 1,    0, 00</v>
      </c>
    </row>
    <row r="632" spans="1:1" x14ac:dyDescent="0.25">
      <c r="A632" s="25" t="str">
        <f ca="1">TEXT(Regen!A632,"000\,")&amp;TEXT(Regen!B632,"?00000000")&amp;TEXT(Regen!C632,""",""?0")&amp;SUBSTITUTE(TEXT(Regen!D632,""",""????0;"",""???-0;"",""????0;"", ////"""),"'","""")&amp;SUBSTITUTE(TEXT(Regen!E632,""",""?00;"",""?-00;"",""?00;"", //"""),"'","""")</f>
        <v>083, 19400921, 1,   60, 00</v>
      </c>
    </row>
    <row r="633" spans="1:1" x14ac:dyDescent="0.25">
      <c r="A633" s="25" t="str">
        <f ca="1">TEXT(Regen!A633,"000\,")&amp;TEXT(Regen!B633,"?00000000")&amp;TEXT(Regen!C633,""",""?0")&amp;SUBSTITUTE(TEXT(Regen!D633,""",""????0;"",""???-0;"",""????0;"", ////"""),"'","""")&amp;SUBSTITUTE(TEXT(Regen!E633,""",""?00;"",""?-00;"",""?00;"", //"""),"'","""")</f>
        <v>083, 19400922, 1,    0, 00</v>
      </c>
    </row>
    <row r="634" spans="1:1" x14ac:dyDescent="0.25">
      <c r="A634" s="25" t="str">
        <f ca="1">TEXT(Regen!A634,"000\,")&amp;TEXT(Regen!B634,"?00000000")&amp;TEXT(Regen!C634,""",""?0")&amp;SUBSTITUTE(TEXT(Regen!D634,""",""????0;"",""???-0;"",""????0;"", ////"""),"'","""")&amp;SUBSTITUTE(TEXT(Regen!E634,""",""?00;"",""?-00;"",""?00;"", //"""),"'","""")</f>
        <v>083, 19400923, 1,   30, 00</v>
      </c>
    </row>
    <row r="635" spans="1:1" x14ac:dyDescent="0.25">
      <c r="A635" s="25" t="str">
        <f ca="1">TEXT(Regen!A635,"000\,")&amp;TEXT(Regen!B635,"?00000000")&amp;TEXT(Regen!C635,""",""?0")&amp;SUBSTITUTE(TEXT(Regen!D635,""",""????0;"",""???-0;"",""????0;"", ////"""),"'","""")&amp;SUBSTITUTE(TEXT(Regen!E635,""",""?00;"",""?-00;"",""?00;"", //"""),"'","""")</f>
        <v>083, 19400924, 1,    0, 00</v>
      </c>
    </row>
    <row r="636" spans="1:1" x14ac:dyDescent="0.25">
      <c r="A636" s="25" t="str">
        <f ca="1">TEXT(Regen!A636,"000\,")&amp;TEXT(Regen!B636,"?00000000")&amp;TEXT(Regen!C636,""",""?0")&amp;SUBSTITUTE(TEXT(Regen!D636,""",""????0;"",""???-0;"",""????0;"", ////"""),"'","""")&amp;SUBSTITUTE(TEXT(Regen!E636,""",""?00;"",""?-00;"",""?00;"", //"""),"'","""")</f>
        <v>083, 19400925, 1,   20, 00</v>
      </c>
    </row>
    <row r="637" spans="1:1" x14ac:dyDescent="0.25">
      <c r="A637" s="25" t="str">
        <f ca="1">TEXT(Regen!A637,"000\,")&amp;TEXT(Regen!B637,"?00000000")&amp;TEXT(Regen!C637,""",""?0")&amp;SUBSTITUTE(TEXT(Regen!D637,""",""????0;"",""???-0;"",""????0;"", ////"""),"'","""")&amp;SUBSTITUTE(TEXT(Regen!E637,""",""?00;"",""?-00;"",""?00;"", //"""),"'","""")</f>
        <v>083, 19400926, 1,    0, 00</v>
      </c>
    </row>
    <row r="638" spans="1:1" x14ac:dyDescent="0.25">
      <c r="A638" s="25" t="str">
        <f ca="1">TEXT(Regen!A638,"000\,")&amp;TEXT(Regen!B638,"?00000000")&amp;TEXT(Regen!C638,""",""?0")&amp;SUBSTITUTE(TEXT(Regen!D638,""",""????0;"",""???-0;"",""????0;"", ////"""),"'","""")&amp;SUBSTITUTE(TEXT(Regen!E638,""",""?00;"",""?-00;"",""?00;"", //"""),"'","""")</f>
        <v>083, 19400927, 1,    0, 00</v>
      </c>
    </row>
    <row r="639" spans="1:1" x14ac:dyDescent="0.25">
      <c r="A639" s="25" t="str">
        <f ca="1">TEXT(Regen!A639,"000\,")&amp;TEXT(Regen!B639,"?00000000")&amp;TEXT(Regen!C639,""",""?0")&amp;SUBSTITUTE(TEXT(Regen!D639,""",""????0;"",""???-0;"",""????0;"", ////"""),"'","""")&amp;SUBSTITUTE(TEXT(Regen!E639,""",""?00;"",""?-00;"",""?00;"", //"""),"'","""")</f>
        <v>083, 19400928, 1,    0, 00</v>
      </c>
    </row>
    <row r="640" spans="1:1" x14ac:dyDescent="0.25">
      <c r="A640" s="25" t="str">
        <f ca="1">TEXT(Regen!A640,"000\,")&amp;TEXT(Regen!B640,"?00000000")&amp;TEXT(Regen!C640,""",""?0")&amp;SUBSTITUTE(TEXT(Regen!D640,""",""????0;"",""???-0;"",""????0;"", ////"""),"'","""")&amp;SUBSTITUTE(TEXT(Regen!E640,""",""?00;"",""?-00;"",""?00;"", //"""),"'","""")</f>
        <v>083, 19400929, 1,  520, 00</v>
      </c>
    </row>
    <row r="641" spans="1:1" x14ac:dyDescent="0.25">
      <c r="A641" s="25" t="str">
        <f ca="1">TEXT(Regen!A641,"000\,")&amp;TEXT(Regen!B641,"?00000000")&amp;TEXT(Regen!C641,""",""?0")&amp;SUBSTITUTE(TEXT(Regen!D641,""",""????0;"",""???-0;"",""????0;"", ////"""),"'","""")&amp;SUBSTITUTE(TEXT(Regen!E641,""",""?00;"",""?-00;"",""?00;"", //"""),"'","""")</f>
        <v>083, 19400930, 1,    0, 00</v>
      </c>
    </row>
    <row r="642" spans="1:1" x14ac:dyDescent="0.25">
      <c r="A642" s="25" t="str">
        <f ca="1">TEXT(Regen!A642,"000\,")&amp;TEXT(Regen!B642,"?00000000")&amp;TEXT(Regen!C642,""",""?0")&amp;SUBSTITUTE(TEXT(Regen!D642,""",""????0;"",""???-0;"",""????0;"", ////"""),"'","""")&amp;SUBSTITUTE(TEXT(Regen!E642,""",""?00;"",""?-00;"",""?00;"", //"""),"'","""")</f>
        <v>083, 19401001, 1,    0, 00</v>
      </c>
    </row>
    <row r="643" spans="1:1" x14ac:dyDescent="0.25">
      <c r="A643" s="25" t="str">
        <f ca="1">TEXT(Regen!A643,"000\,")&amp;TEXT(Regen!B643,"?00000000")&amp;TEXT(Regen!C643,""",""?0")&amp;SUBSTITUTE(TEXT(Regen!D643,""",""????0;"",""???-0;"",""????0;"", ////"""),"'","""")&amp;SUBSTITUTE(TEXT(Regen!E643,""",""?00;"",""?-00;"",""?00;"", //"""),"'","""")</f>
        <v>083, 19401002, 1,   60, 00</v>
      </c>
    </row>
    <row r="644" spans="1:1" x14ac:dyDescent="0.25">
      <c r="A644" s="25" t="str">
        <f ca="1">TEXT(Regen!A644,"000\,")&amp;TEXT(Regen!B644,"?00000000")&amp;TEXT(Regen!C644,""",""?0")&amp;SUBSTITUTE(TEXT(Regen!D644,""",""????0;"",""???-0;"",""????0;"", ////"""),"'","""")&amp;SUBSTITUTE(TEXT(Regen!E644,""",""?00;"",""?-00;"",""?00;"", //"""),"'","""")</f>
        <v>083, 19401003, 1,    0, 00</v>
      </c>
    </row>
    <row r="645" spans="1:1" x14ac:dyDescent="0.25">
      <c r="A645" s="25" t="str">
        <f ca="1">TEXT(Regen!A645,"000\,")&amp;TEXT(Regen!B645,"?00000000")&amp;TEXT(Regen!C645,""",""?0")&amp;SUBSTITUTE(TEXT(Regen!D645,""",""????0;"",""???-0;"",""????0;"", ////"""),"'","""")&amp;SUBSTITUTE(TEXT(Regen!E645,""",""?00;"",""?-00;"",""?00;"", //"""),"'","""")</f>
        <v>083, 19401004, 1,    0, 00</v>
      </c>
    </row>
    <row r="646" spans="1:1" x14ac:dyDescent="0.25">
      <c r="A646" s="25" t="str">
        <f ca="1">TEXT(Regen!A646,"000\,")&amp;TEXT(Regen!B646,"?00000000")&amp;TEXT(Regen!C646,""",""?0")&amp;SUBSTITUTE(TEXT(Regen!D646,""",""????0;"",""???-0;"",""????0;"", ////"""),"'","""")&amp;SUBSTITUTE(TEXT(Regen!E646,""",""?00;"",""?-00;"",""?00;"", //"""),"'","""")</f>
        <v>083, 19401005, 1,    0, 00</v>
      </c>
    </row>
    <row r="647" spans="1:1" x14ac:dyDescent="0.25">
      <c r="A647" s="25" t="str">
        <f ca="1">TEXT(Regen!A647,"000\,")&amp;TEXT(Regen!B647,"?00000000")&amp;TEXT(Regen!C647,""",""?0")&amp;SUBSTITUTE(TEXT(Regen!D647,""",""????0;"",""???-0;"",""????0;"", ////"""),"'","""")&amp;SUBSTITUTE(TEXT(Regen!E647,""",""?00;"",""?-00;"",""?00;"", //"""),"'","""")</f>
        <v>083, 19401006, 1,    0, 00</v>
      </c>
    </row>
    <row r="648" spans="1:1" x14ac:dyDescent="0.25">
      <c r="A648" s="25" t="str">
        <f ca="1">TEXT(Regen!A648,"000\,")&amp;TEXT(Regen!B648,"?00000000")&amp;TEXT(Regen!C648,""",""?0")&amp;SUBSTITUTE(TEXT(Regen!D648,""",""????0;"",""???-0;"",""????0;"", ////"""),"'","""")&amp;SUBSTITUTE(TEXT(Regen!E648,""",""?00;"",""?-00;"",""?00;"", //"""),"'","""")</f>
        <v>083, 19401007, 1,    0, 00</v>
      </c>
    </row>
    <row r="649" spans="1:1" x14ac:dyDescent="0.25">
      <c r="A649" s="25" t="str">
        <f ca="1">TEXT(Regen!A649,"000\,")&amp;TEXT(Regen!B649,"?00000000")&amp;TEXT(Regen!C649,""",""?0")&amp;SUBSTITUTE(TEXT(Regen!D649,""",""????0;"",""???-0;"",""????0;"", ////"""),"'","""")&amp;SUBSTITUTE(TEXT(Regen!E649,""",""?00;"",""?-00;"",""?00;"", //"""),"'","""")</f>
        <v>083, 19401008, 1,    0, 00</v>
      </c>
    </row>
    <row r="650" spans="1:1" x14ac:dyDescent="0.25">
      <c r="A650" s="25" t="str">
        <f ca="1">TEXT(Regen!A650,"000\,")&amp;TEXT(Regen!B650,"?00000000")&amp;TEXT(Regen!C650,""",""?0")&amp;SUBSTITUTE(TEXT(Regen!D650,""",""????0;"",""???-0;"",""????0;"", ////"""),"'","""")&amp;SUBSTITUTE(TEXT(Regen!E650,""",""?00;"",""?-00;"",""?00;"", //"""),"'","""")</f>
        <v>083, 19401009, 1,    0, 00</v>
      </c>
    </row>
    <row r="651" spans="1:1" x14ac:dyDescent="0.25">
      <c r="A651" s="25" t="str">
        <f ca="1">TEXT(Regen!A651,"000\,")&amp;TEXT(Regen!B651,"?00000000")&amp;TEXT(Regen!C651,""",""?0")&amp;SUBSTITUTE(TEXT(Regen!D651,""",""????0;"",""???-0;"",""????0;"", ////"""),"'","""")&amp;SUBSTITUTE(TEXT(Regen!E651,""",""?00;"",""?-00;"",""?00;"", //"""),"'","""")</f>
        <v>083, 19401010, 1,    0, 00</v>
      </c>
    </row>
    <row r="652" spans="1:1" x14ac:dyDescent="0.25">
      <c r="A652" s="25" t="str">
        <f ca="1">TEXT(Regen!A652,"000\,")&amp;TEXT(Regen!B652,"?00000000")&amp;TEXT(Regen!C652,""",""?0")&amp;SUBSTITUTE(TEXT(Regen!D652,""",""????0;"",""???-0;"",""????0;"", ////"""),"'","""")&amp;SUBSTITUTE(TEXT(Regen!E652,""",""?00;"",""?-00;"",""?00;"", //"""),"'","""")</f>
        <v>083, 19401011, 1,    0, 00</v>
      </c>
    </row>
    <row r="653" spans="1:1" x14ac:dyDescent="0.25">
      <c r="A653" s="25" t="str">
        <f ca="1">TEXT(Regen!A653,"000\,")&amp;TEXT(Regen!B653,"?00000000")&amp;TEXT(Regen!C653,""",""?0")&amp;SUBSTITUTE(TEXT(Regen!D653,""",""????0;"",""???-0;"",""????0;"", ////"""),"'","""")&amp;SUBSTITUTE(TEXT(Regen!E653,""",""?00;"",""?-00;"",""?00;"", //"""),"'","""")</f>
        <v>083, 19401012, 1,   60, 00</v>
      </c>
    </row>
    <row r="654" spans="1:1" x14ac:dyDescent="0.25">
      <c r="A654" s="25" t="str">
        <f ca="1">TEXT(Regen!A654,"000\,")&amp;TEXT(Regen!B654,"?00000000")&amp;TEXT(Regen!C654,""",""?0")&amp;SUBSTITUTE(TEXT(Regen!D654,""",""????0;"",""???-0;"",""????0;"", ////"""),"'","""")&amp;SUBSTITUTE(TEXT(Regen!E654,""",""?00;"",""?-00;"",""?00;"", //"""),"'","""")</f>
        <v>083, 19401013, 1,  420, 00</v>
      </c>
    </row>
    <row r="655" spans="1:1" x14ac:dyDescent="0.25">
      <c r="A655" s="25" t="str">
        <f ca="1">TEXT(Regen!A655,"000\,")&amp;TEXT(Regen!B655,"?00000000")&amp;TEXT(Regen!C655,""",""?0")&amp;SUBSTITUTE(TEXT(Regen!D655,""",""????0;"",""???-0;"",""????0;"", ////"""),"'","""")&amp;SUBSTITUTE(TEXT(Regen!E655,""",""?00;"",""?-00;"",""?00;"", //"""),"'","""")</f>
        <v>083, 19401014, 1,   80, 00</v>
      </c>
    </row>
    <row r="656" spans="1:1" x14ac:dyDescent="0.25">
      <c r="A656" s="25" t="str">
        <f ca="1">TEXT(Regen!A656,"000\,")&amp;TEXT(Regen!B656,"?00000000")&amp;TEXT(Regen!C656,""",""?0")&amp;SUBSTITUTE(TEXT(Regen!D656,""",""????0;"",""???-0;"",""????0;"", ////"""),"'","""")&amp;SUBSTITUTE(TEXT(Regen!E656,""",""?00;"",""?-00;"",""?00;"", //"""),"'","""")</f>
        <v>083, 19401015, 1,  150, 00</v>
      </c>
    </row>
    <row r="657" spans="1:1" x14ac:dyDescent="0.25">
      <c r="A657" s="25" t="str">
        <f ca="1">TEXT(Regen!A657,"000\,")&amp;TEXT(Regen!B657,"?00000000")&amp;TEXT(Regen!C657,""",""?0")&amp;SUBSTITUTE(TEXT(Regen!D657,""",""????0;"",""???-0;"",""????0;"", ////"""),"'","""")&amp;SUBSTITUTE(TEXT(Regen!E657,""",""?00;"",""?-00;"",""?00;"", //"""),"'","""")</f>
        <v>083, 19401016, 1,   70, 00</v>
      </c>
    </row>
    <row r="658" spans="1:1" x14ac:dyDescent="0.25">
      <c r="A658" s="25" t="str">
        <f ca="1">TEXT(Regen!A658,"000\,")&amp;TEXT(Regen!B658,"?00000000")&amp;TEXT(Regen!C658,""",""?0")&amp;SUBSTITUTE(TEXT(Regen!D658,""",""????0;"",""???-0;"",""????0;"", ////"""),"'","""")&amp;SUBSTITUTE(TEXT(Regen!E658,""",""?00;"",""?-00;"",""?00;"", //"""),"'","""")</f>
        <v>083, 19401017, 1,  230, 00</v>
      </c>
    </row>
    <row r="659" spans="1:1" x14ac:dyDescent="0.25">
      <c r="A659" s="25" t="str">
        <f ca="1">TEXT(Regen!A659,"000\,")&amp;TEXT(Regen!B659,"?00000000")&amp;TEXT(Regen!C659,""",""?0")&amp;SUBSTITUTE(TEXT(Regen!D659,""",""????0;"",""???-0;"",""????0;"", ////"""),"'","""")&amp;SUBSTITUTE(TEXT(Regen!E659,""",""?00;"",""?-00;"",""?00;"", //"""),"'","""")</f>
        <v>083, 19401018, 1,   20, 00</v>
      </c>
    </row>
    <row r="660" spans="1:1" x14ac:dyDescent="0.25">
      <c r="A660" s="25" t="str">
        <f ca="1">TEXT(Regen!A660,"000\,")&amp;TEXT(Regen!B660,"?00000000")&amp;TEXT(Regen!C660,""",""?0")&amp;SUBSTITUTE(TEXT(Regen!D660,""",""????0;"",""???-0;"",""????0;"", ////"""),"'","""")&amp;SUBSTITUTE(TEXT(Regen!E660,""",""?00;"",""?-00;"",""?00;"", //"""),"'","""")</f>
        <v>083, 19401019, 1,   30, 00</v>
      </c>
    </row>
    <row r="661" spans="1:1" x14ac:dyDescent="0.25">
      <c r="A661" s="25" t="str">
        <f ca="1">TEXT(Regen!A661,"000\,")&amp;TEXT(Regen!B661,"?00000000")&amp;TEXT(Regen!C661,""",""?0")&amp;SUBSTITUTE(TEXT(Regen!D661,""",""????0;"",""???-0;"",""????0;"", ////"""),"'","""")&amp;SUBSTITUTE(TEXT(Regen!E661,""",""?00;"",""?-00;"",""?00;"", //"""),"'","""")</f>
        <v>083, 19401020, 1,   10, 00</v>
      </c>
    </row>
    <row r="662" spans="1:1" x14ac:dyDescent="0.25">
      <c r="A662" s="25" t="str">
        <f ca="1">TEXT(Regen!A662,"000\,")&amp;TEXT(Regen!B662,"?00000000")&amp;TEXT(Regen!C662,""",""?0")&amp;SUBSTITUTE(TEXT(Regen!D662,""",""????0;"",""???-0;"",""????0;"", ////"""),"'","""")&amp;SUBSTITUTE(TEXT(Regen!E662,""",""?00;"",""?-00;"",""?00;"", //"""),"'","""")</f>
        <v>083, 19401021, 1,    0, 00</v>
      </c>
    </row>
    <row r="663" spans="1:1" x14ac:dyDescent="0.25">
      <c r="A663" s="25" t="str">
        <f ca="1">TEXT(Regen!A663,"000\,")&amp;TEXT(Regen!B663,"?00000000")&amp;TEXT(Regen!C663,""",""?0")&amp;SUBSTITUTE(TEXT(Regen!D663,""",""????0;"",""???-0;"",""????0;"", ////"""),"'","""")&amp;SUBSTITUTE(TEXT(Regen!E663,""",""?00;"",""?-00;"",""?00;"", //"""),"'","""")</f>
        <v>083, 19401022, 1,    0, 00</v>
      </c>
    </row>
    <row r="664" spans="1:1" x14ac:dyDescent="0.25">
      <c r="A664" s="25" t="str">
        <f ca="1">TEXT(Regen!A664,"000\,")&amp;TEXT(Regen!B664,"?00000000")&amp;TEXT(Regen!C664,""",""?0")&amp;SUBSTITUTE(TEXT(Regen!D664,""",""????0;"",""???-0;"",""????0;"", ////"""),"'","""")&amp;SUBSTITUTE(TEXT(Regen!E664,""",""?00;"",""?-00;"",""?00;"", //"""),"'","""")</f>
        <v>083, 19401023, 1,    0, 00</v>
      </c>
    </row>
    <row r="665" spans="1:1" x14ac:dyDescent="0.25">
      <c r="A665" s="25" t="str">
        <f ca="1">TEXT(Regen!A665,"000\,")&amp;TEXT(Regen!B665,"?00000000")&amp;TEXT(Regen!C665,""",""?0")&amp;SUBSTITUTE(TEXT(Regen!D665,""",""????0;"",""???-0;"",""????0;"", ////"""),"'","""")&amp;SUBSTITUTE(TEXT(Regen!E665,""",""?00;"",""?-00;"",""?00;"", //"""),"'","""")</f>
        <v>083, 19401024, 1,    0, 00</v>
      </c>
    </row>
    <row r="666" spans="1:1" x14ac:dyDescent="0.25">
      <c r="A666" s="25" t="str">
        <f ca="1">TEXT(Regen!A666,"000\,")&amp;TEXT(Regen!B666,"?00000000")&amp;TEXT(Regen!C666,""",""?0")&amp;SUBSTITUTE(TEXT(Regen!D666,""",""????0;"",""???-0;"",""????0;"", ////"""),"'","""")&amp;SUBSTITUTE(TEXT(Regen!E666,""",""?00;"",""?-00;"",""?00;"", //"""),"'","""")</f>
        <v>083, 19401025, 1,  230, 00</v>
      </c>
    </row>
    <row r="667" spans="1:1" x14ac:dyDescent="0.25">
      <c r="A667" s="25" t="str">
        <f ca="1">TEXT(Regen!A667,"000\,")&amp;TEXT(Regen!B667,"?00000000")&amp;TEXT(Regen!C667,""",""?0")&amp;SUBSTITUTE(TEXT(Regen!D667,""",""????0;"",""???-0;"",""????0;"", ////"""),"'","""")&amp;SUBSTITUTE(TEXT(Regen!E667,""",""?00;"",""?-00;"",""?00;"", //"""),"'","""")</f>
        <v>083, 19401026, 1,    0, 00</v>
      </c>
    </row>
    <row r="668" spans="1:1" x14ac:dyDescent="0.25">
      <c r="A668" s="25" t="str">
        <f ca="1">TEXT(Regen!A668,"000\,")&amp;TEXT(Regen!B668,"?00000000")&amp;TEXT(Regen!C668,""",""?0")&amp;SUBSTITUTE(TEXT(Regen!D668,""",""????0;"",""???-0;"",""????0;"", ////"""),"'","""")&amp;SUBSTITUTE(TEXT(Regen!E668,""",""?00;"",""?-00;"",""?00;"", //"""),"'","""")</f>
        <v>083, 19401027, 1,    0, 00</v>
      </c>
    </row>
    <row r="669" spans="1:1" x14ac:dyDescent="0.25">
      <c r="A669" s="25" t="str">
        <f ca="1">TEXT(Regen!A669,"000\,")&amp;TEXT(Regen!B669,"?00000000")&amp;TEXT(Regen!C669,""",""?0")&amp;SUBSTITUTE(TEXT(Regen!D669,""",""????0;"",""???-0;"",""????0;"", ////"""),"'","""")&amp;SUBSTITUTE(TEXT(Regen!E669,""",""?00;"",""?-00;"",""?00;"", //"""),"'","""")</f>
        <v>083, 19401028, 1,    0, 00</v>
      </c>
    </row>
    <row r="670" spans="1:1" x14ac:dyDescent="0.25">
      <c r="A670" s="25" t="str">
        <f ca="1">TEXT(Regen!A670,"000\,")&amp;TEXT(Regen!B670,"?00000000")&amp;TEXT(Regen!C670,""",""?0")&amp;SUBSTITUTE(TEXT(Regen!D670,""",""????0;"",""???-0;"",""????0;"", ////"""),"'","""")&amp;SUBSTITUTE(TEXT(Regen!E670,""",""?00;"",""?-00;"",""?00;"", //"""),"'","""")</f>
        <v>083, 19401029, 1,    0, 00</v>
      </c>
    </row>
    <row r="671" spans="1:1" x14ac:dyDescent="0.25">
      <c r="A671" s="25" t="str">
        <f ca="1">TEXT(Regen!A671,"000\,")&amp;TEXT(Regen!B671,"?00000000")&amp;TEXT(Regen!C671,""",""?0")&amp;SUBSTITUTE(TEXT(Regen!D671,""",""????0;"",""???-0;"",""????0;"", ////"""),"'","""")&amp;SUBSTITUTE(TEXT(Regen!E671,""",""?00;"",""?-00;"",""?00;"", //"""),"'","""")</f>
        <v>083, 19401030, 1,   20, 00</v>
      </c>
    </row>
    <row r="672" spans="1:1" x14ac:dyDescent="0.25">
      <c r="A672" s="25" t="str">
        <f ca="1">TEXT(Regen!A672,"000\,")&amp;TEXT(Regen!B672,"?00000000")&amp;TEXT(Regen!C672,""",""?0")&amp;SUBSTITUTE(TEXT(Regen!D672,""",""????0;"",""???-0;"",""????0;"", ////"""),"'","""")&amp;SUBSTITUTE(TEXT(Regen!E672,""",""?00;"",""?-00;"",""?00;"", //"""),"'","""")</f>
        <v>083, 19401031, 1,   30, 00</v>
      </c>
    </row>
    <row r="673" spans="1:1" x14ac:dyDescent="0.25">
      <c r="A673" s="25" t="str">
        <f ca="1">TEXT(Regen!A673,"000\,")&amp;TEXT(Regen!B673,"?00000000")&amp;TEXT(Regen!C673,""",""?0")&amp;SUBSTITUTE(TEXT(Regen!D673,""",""????0;"",""???-0;"",""????0;"", ////"""),"'","""")&amp;SUBSTITUTE(TEXT(Regen!E673,""",""?00;"",""?-00;"",""?00;"", //"""),"'","""")</f>
        <v>083, 19401101, 1,   40, 00</v>
      </c>
    </row>
    <row r="674" spans="1:1" x14ac:dyDescent="0.25">
      <c r="A674" s="25" t="str">
        <f ca="1">TEXT(Regen!A674,"000\,")&amp;TEXT(Regen!B674,"?00000000")&amp;TEXT(Regen!C674,""",""?0")&amp;SUBSTITUTE(TEXT(Regen!D674,""",""????0;"",""???-0;"",""????0;"", ////"""),"'","""")&amp;SUBSTITUTE(TEXT(Regen!E674,""",""?00;"",""?-00;"",""?00;"", //"""),"'","""")</f>
        <v>083, 19401102, 1,    0, 00</v>
      </c>
    </row>
    <row r="675" spans="1:1" x14ac:dyDescent="0.25">
      <c r="A675" s="25" t="str">
        <f ca="1">TEXT(Regen!A675,"000\,")&amp;TEXT(Regen!B675,"?00000000")&amp;TEXT(Regen!C675,""",""?0")&amp;SUBSTITUTE(TEXT(Regen!D675,""",""????0;"",""???-0;"",""????0;"", ////"""),"'","""")&amp;SUBSTITUTE(TEXT(Regen!E675,""",""?00;"",""?-00;"",""?00;"", //"""),"'","""")</f>
        <v>083, 19401103, 1,   20, 00</v>
      </c>
    </row>
    <row r="676" spans="1:1" x14ac:dyDescent="0.25">
      <c r="A676" s="25" t="str">
        <f ca="1">TEXT(Regen!A676,"000\,")&amp;TEXT(Regen!B676,"?00000000")&amp;TEXT(Regen!C676,""",""?0")&amp;SUBSTITUTE(TEXT(Regen!D676,""",""????0;"",""???-0;"",""????0;"", ////"""),"'","""")&amp;SUBSTITUTE(TEXT(Regen!E676,""",""?00;"",""?-00;"",""?00;"", //"""),"'","""")</f>
        <v>083, 19401104, 1,  420, 00</v>
      </c>
    </row>
    <row r="677" spans="1:1" x14ac:dyDescent="0.25">
      <c r="A677" s="25" t="str">
        <f ca="1">TEXT(Regen!A677,"000\,")&amp;TEXT(Regen!B677,"?00000000")&amp;TEXT(Regen!C677,""",""?0")&amp;SUBSTITUTE(TEXT(Regen!D677,""",""????0;"",""???-0;"",""????0;"", ////"""),"'","""")&amp;SUBSTITUTE(TEXT(Regen!E677,""",""?00;"",""?-00;"",""?00;"", //"""),"'","""")</f>
        <v>083, 19401105, 1,   70, 00</v>
      </c>
    </row>
    <row r="678" spans="1:1" x14ac:dyDescent="0.25">
      <c r="A678" s="25" t="str">
        <f ca="1">TEXT(Regen!A678,"000\,")&amp;TEXT(Regen!B678,"?00000000")&amp;TEXT(Regen!C678,""",""?0")&amp;SUBSTITUTE(TEXT(Regen!D678,""",""????0;"",""???-0;"",""????0;"", ////"""),"'","""")&amp;SUBSTITUTE(TEXT(Regen!E678,""",""?00;"",""?-00;"",""?00;"", //"""),"'","""")</f>
        <v>083, 19401106, 1,    0, 00</v>
      </c>
    </row>
    <row r="679" spans="1:1" x14ac:dyDescent="0.25">
      <c r="A679" s="25" t="str">
        <f ca="1">TEXT(Regen!A679,"000\,")&amp;TEXT(Regen!B679,"?00000000")&amp;TEXT(Regen!C679,""",""?0")&amp;SUBSTITUTE(TEXT(Regen!D679,""",""????0;"",""???-0;"",""????0;"", ////"""),"'","""")&amp;SUBSTITUTE(TEXT(Regen!E679,""",""?00;"",""?-00;"",""?00;"", //"""),"'","""")</f>
        <v>083, 19401107, 1,    0, 00</v>
      </c>
    </row>
    <row r="680" spans="1:1" x14ac:dyDescent="0.25">
      <c r="A680" s="25" t="str">
        <f ca="1">TEXT(Regen!A680,"000\,")&amp;TEXT(Regen!B680,"?00000000")&amp;TEXT(Regen!C680,""",""?0")&amp;SUBSTITUTE(TEXT(Regen!D680,""",""????0;"",""???-0;"",""????0;"", ////"""),"'","""")&amp;SUBSTITUTE(TEXT(Regen!E680,""",""?00;"",""?-00;"",""?00;"", //"""),"'","""")</f>
        <v>083, 19401108, 1,    0, 00</v>
      </c>
    </row>
    <row r="681" spans="1:1" x14ac:dyDescent="0.25">
      <c r="A681" s="25" t="str">
        <f ca="1">TEXT(Regen!A681,"000\,")&amp;TEXT(Regen!B681,"?00000000")&amp;TEXT(Regen!C681,""",""?0")&amp;SUBSTITUTE(TEXT(Regen!D681,""",""????0;"",""???-0;"",""????0;"", ////"""),"'","""")&amp;SUBSTITUTE(TEXT(Regen!E681,""",""?00;"",""?-00;"",""?00;"", //"""),"'","""")</f>
        <v>083, 19401109, 1,    0, 00</v>
      </c>
    </row>
    <row r="682" spans="1:1" x14ac:dyDescent="0.25">
      <c r="A682" s="25" t="str">
        <f ca="1">TEXT(Regen!A682,"000\,")&amp;TEXT(Regen!B682,"?00000000")&amp;TEXT(Regen!C682,""",""?0")&amp;SUBSTITUTE(TEXT(Regen!D682,""",""????0;"",""???-0;"",""????0;"", ////"""),"'","""")&amp;SUBSTITUTE(TEXT(Regen!E682,""",""?00;"",""?-00;"",""?00;"", //"""),"'","""")</f>
        <v>083, 19401110, 1,  130, 00</v>
      </c>
    </row>
    <row r="683" spans="1:1" x14ac:dyDescent="0.25">
      <c r="A683" s="25" t="str">
        <f ca="1">TEXT(Regen!A683,"000\,")&amp;TEXT(Regen!B683,"?00000000")&amp;TEXT(Regen!C683,""",""?0")&amp;SUBSTITUTE(TEXT(Regen!D683,""",""????0;"",""???-0;"",""????0;"", ////"""),"'","""")&amp;SUBSTITUTE(TEXT(Regen!E683,""",""?00;"",""?-00;"",""?00;"", //"""),"'","""")</f>
        <v>083, 19401111, 1,   60, 00</v>
      </c>
    </row>
    <row r="684" spans="1:1" x14ac:dyDescent="0.25">
      <c r="A684" s="25" t="str">
        <f ca="1">TEXT(Regen!A684,"000\,")&amp;TEXT(Regen!B684,"?00000000")&amp;TEXT(Regen!C684,""",""?0")&amp;SUBSTITUTE(TEXT(Regen!D684,""",""????0;"",""???-0;"",""????0;"", ////"""),"'","""")&amp;SUBSTITUTE(TEXT(Regen!E684,""",""?00;"",""?-00;"",""?00;"", //"""),"'","""")</f>
        <v>083, 19401112, 1,    0, 00</v>
      </c>
    </row>
    <row r="685" spans="1:1" x14ac:dyDescent="0.25">
      <c r="A685" s="25" t="str">
        <f ca="1">TEXT(Regen!A685,"000\,")&amp;TEXT(Regen!B685,"?00000000")&amp;TEXT(Regen!C685,""",""?0")&amp;SUBSTITUTE(TEXT(Regen!D685,""",""????0;"",""???-0;"",""????0;"", ////"""),"'","""")&amp;SUBSTITUTE(TEXT(Regen!E685,""",""?00;"",""?-00;"",""?00;"", //"""),"'","""")</f>
        <v>083, 19401113, 1,  100, 00</v>
      </c>
    </row>
    <row r="686" spans="1:1" x14ac:dyDescent="0.25">
      <c r="A686" s="25" t="str">
        <f ca="1">TEXT(Regen!A686,"000\,")&amp;TEXT(Regen!B686,"?00000000")&amp;TEXT(Regen!C686,""",""?0")&amp;SUBSTITUTE(TEXT(Regen!D686,""",""????0;"",""???-0;"",""????0;"", ////"""),"'","""")&amp;SUBSTITUTE(TEXT(Regen!E686,""",""?00;"",""?-00;"",""?00;"", //"""),"'","""")</f>
        <v>083, 19401114, 1,   20, 00</v>
      </c>
    </row>
    <row r="687" spans="1:1" x14ac:dyDescent="0.25">
      <c r="A687" s="25" t="str">
        <f ca="1">TEXT(Regen!A687,"000\,")&amp;TEXT(Regen!B687,"?00000000")&amp;TEXT(Regen!C687,""",""?0")&amp;SUBSTITUTE(TEXT(Regen!D687,""",""????0;"",""???-0;"",""????0;"", ////"""),"'","""")&amp;SUBSTITUTE(TEXT(Regen!E687,""",""?00;"",""?-00;"",""?00;"", //"""),"'","""")</f>
        <v>083, 19401115, 1,  130, 00</v>
      </c>
    </row>
    <row r="688" spans="1:1" x14ac:dyDescent="0.25">
      <c r="A688" s="25" t="str">
        <f ca="1">TEXT(Regen!A688,"000\,")&amp;TEXT(Regen!B688,"?00000000")&amp;TEXT(Regen!C688,""",""?0")&amp;SUBSTITUTE(TEXT(Regen!D688,""",""????0;"",""???-0;"",""????0;"", ////"""),"'","""")&amp;SUBSTITUTE(TEXT(Regen!E688,""",""?00;"",""?-00;"",""?00;"", //"""),"'","""")</f>
        <v>083, 19401116, 1,    0, 00</v>
      </c>
    </row>
    <row r="689" spans="1:1" x14ac:dyDescent="0.25">
      <c r="A689" s="25" t="str">
        <f ca="1">TEXT(Regen!A689,"000\,")&amp;TEXT(Regen!B689,"?00000000")&amp;TEXT(Regen!C689,""",""?0")&amp;SUBSTITUTE(TEXT(Regen!D689,""",""????0;"",""???-0;"",""????0;"", ////"""),"'","""")&amp;SUBSTITUTE(TEXT(Regen!E689,""",""?00;"",""?-00;"",""?00;"", //"""),"'","""")</f>
        <v>083, 19401117, 1,    0, 00</v>
      </c>
    </row>
    <row r="690" spans="1:1" x14ac:dyDescent="0.25">
      <c r="A690" s="25" t="str">
        <f ca="1">TEXT(Regen!A690,"000\,")&amp;TEXT(Regen!B690,"?00000000")&amp;TEXT(Regen!C690,""",""?0")&amp;SUBSTITUTE(TEXT(Regen!D690,""",""????0;"",""???-0;"",""????0;"", ////"""),"'","""")&amp;SUBSTITUTE(TEXT(Regen!E690,""",""?00;"",""?-00;"",""?00;"", //"""),"'","""")</f>
        <v>083, 19401118, 1,    0, 00</v>
      </c>
    </row>
    <row r="691" spans="1:1" x14ac:dyDescent="0.25">
      <c r="A691" s="25" t="str">
        <f ca="1">TEXT(Regen!A691,"000\,")&amp;TEXT(Regen!B691,"?00000000")&amp;TEXT(Regen!C691,""",""?0")&amp;SUBSTITUTE(TEXT(Regen!D691,""",""????0;"",""???-0;"",""????0;"", ////"""),"'","""")&amp;SUBSTITUTE(TEXT(Regen!E691,""",""?00;"",""?-00;"",""?00;"", //"""),"'","""")</f>
        <v>083, 19401119, 1,   30, 00</v>
      </c>
    </row>
    <row r="692" spans="1:1" x14ac:dyDescent="0.25">
      <c r="A692" s="25" t="str">
        <f ca="1">TEXT(Regen!A692,"000\,")&amp;TEXT(Regen!B692,"?00000000")&amp;TEXT(Regen!C692,""",""?0")&amp;SUBSTITUTE(TEXT(Regen!D692,""",""????0;"",""???-0;"",""????0;"", ////"""),"'","""")&amp;SUBSTITUTE(TEXT(Regen!E692,""",""?00;"",""?-00;"",""?00;"", //"""),"'","""")</f>
        <v>083, 19401120, 1,   90, 00</v>
      </c>
    </row>
    <row r="693" spans="1:1" x14ac:dyDescent="0.25">
      <c r="A693" s="25" t="str">
        <f ca="1">TEXT(Regen!A693,"000\,")&amp;TEXT(Regen!B693,"?00000000")&amp;TEXT(Regen!C693,""",""?0")&amp;SUBSTITUTE(TEXT(Regen!D693,""",""????0;"",""???-0;"",""????0;"", ////"""),"'","""")&amp;SUBSTITUTE(TEXT(Regen!E693,""",""?00;"",""?-00;"",""?00;"", //"""),"'","""")</f>
        <v>083, 19401121, 1,    0, 00</v>
      </c>
    </row>
    <row r="694" spans="1:1" x14ac:dyDescent="0.25">
      <c r="A694" s="25" t="str">
        <f ca="1">TEXT(Regen!A694,"000\,")&amp;TEXT(Regen!B694,"?00000000")&amp;TEXT(Regen!C694,""",""?0")&amp;SUBSTITUTE(TEXT(Regen!D694,""",""????0;"",""???-0;"",""????0;"", ////"""),"'","""")&amp;SUBSTITUTE(TEXT(Regen!E694,""",""?00;"",""?-00;"",""?00;"", //"""),"'","""")</f>
        <v>083, 19401122, 1,    0, 00</v>
      </c>
    </row>
    <row r="695" spans="1:1" x14ac:dyDescent="0.25">
      <c r="A695" s="25" t="str">
        <f ca="1">TEXT(Regen!A695,"000\,")&amp;TEXT(Regen!B695,"?00000000")&amp;TEXT(Regen!C695,""",""?0")&amp;SUBSTITUTE(TEXT(Regen!D695,""",""????0;"",""???-0;"",""????0;"", ////"""),"'","""")&amp;SUBSTITUTE(TEXT(Regen!E695,""",""?00;"",""?-00;"",""?00;"", //"""),"'","""")</f>
        <v>083, 19401123, 1,   20, 00</v>
      </c>
    </row>
    <row r="696" spans="1:1" x14ac:dyDescent="0.25">
      <c r="A696" s="25" t="str">
        <f ca="1">TEXT(Regen!A696,"000\,")&amp;TEXT(Regen!B696,"?00000000")&amp;TEXT(Regen!C696,""",""?0")&amp;SUBSTITUTE(TEXT(Regen!D696,""",""????0;"",""???-0;"",""????0;"", ////"""),"'","""")&amp;SUBSTITUTE(TEXT(Regen!E696,""",""?00;"",""?-00;"",""?00;"", //"""),"'","""")</f>
        <v>083, 19401124, 1,  240, 00</v>
      </c>
    </row>
    <row r="697" spans="1:1" x14ac:dyDescent="0.25">
      <c r="A697" s="25" t="str">
        <f ca="1">TEXT(Regen!A697,"000\,")&amp;TEXT(Regen!B697,"?00000000")&amp;TEXT(Regen!C697,""",""?0")&amp;SUBSTITUTE(TEXT(Regen!D697,""",""????0;"",""???-0;"",""????0;"", ////"""),"'","""")&amp;SUBSTITUTE(TEXT(Regen!E697,""",""?00;"",""?-00;"",""?00;"", //"""),"'","""")</f>
        <v>083, 19401125, 1,    0, 00</v>
      </c>
    </row>
    <row r="698" spans="1:1" x14ac:dyDescent="0.25">
      <c r="A698" s="25" t="str">
        <f ca="1">TEXT(Regen!A698,"000\,")&amp;TEXT(Regen!B698,"?00000000")&amp;TEXT(Regen!C698,""",""?0")&amp;SUBSTITUTE(TEXT(Regen!D698,""",""????0;"",""???-0;"",""????0;"", ////"""),"'","""")&amp;SUBSTITUTE(TEXT(Regen!E698,""",""?00;"",""?-00;"",""?00;"", //"""),"'","""")</f>
        <v>083, 19401126, 1,   40, 00</v>
      </c>
    </row>
    <row r="699" spans="1:1" x14ac:dyDescent="0.25">
      <c r="A699" s="25" t="str">
        <f ca="1">TEXT(Regen!A699,"000\,")&amp;TEXT(Regen!B699,"?00000000")&amp;TEXT(Regen!C699,""",""?0")&amp;SUBSTITUTE(TEXT(Regen!D699,""",""????0;"",""???-0;"",""????0;"", ////"""),"'","""")&amp;SUBSTITUTE(TEXT(Regen!E699,""",""?00;"",""?-00;"",""?00;"", //"""),"'","""")</f>
        <v>083, 19401127, 1,    0, 00</v>
      </c>
    </row>
    <row r="700" spans="1:1" x14ac:dyDescent="0.25">
      <c r="A700" s="25" t="str">
        <f ca="1">TEXT(Regen!A700,"000\,")&amp;TEXT(Regen!B700,"?00000000")&amp;TEXT(Regen!C700,""",""?0")&amp;SUBSTITUTE(TEXT(Regen!D700,""",""????0;"",""???-0;"",""????0;"", ////"""),"'","""")&amp;SUBSTITUTE(TEXT(Regen!E700,""",""?00;"",""?-00;"",""?00;"", //"""),"'","""")</f>
        <v>083, 19401128, 1,   20, 00</v>
      </c>
    </row>
    <row r="701" spans="1:1" x14ac:dyDescent="0.25">
      <c r="A701" s="25" t="str">
        <f ca="1">TEXT(Regen!A701,"000\,")&amp;TEXT(Regen!B701,"?00000000")&amp;TEXT(Regen!C701,""",""?0")&amp;SUBSTITUTE(TEXT(Regen!D701,""",""????0;"",""???-0;"",""????0;"", ////"""),"'","""")&amp;SUBSTITUTE(TEXT(Regen!E701,""",""?00;"",""?-00;"",""?00;"", //"""),"'","""")</f>
        <v>083, 19401129, 1,   70, 00</v>
      </c>
    </row>
    <row r="702" spans="1:1" x14ac:dyDescent="0.25">
      <c r="A702" s="25" t="str">
        <f ca="1">TEXT(Regen!A702,"000\,")&amp;TEXT(Regen!B702,"?00000000")&amp;TEXT(Regen!C702,""",""?0")&amp;SUBSTITUTE(TEXT(Regen!D702,""",""????0;"",""???-0;"",""????0;"", ////"""),"'","""")&amp;SUBSTITUTE(TEXT(Regen!E702,""",""?00;"",""?-00;"",""?00;"", //"""),"'","""")</f>
        <v>083, 19401130, 1,    0, 00</v>
      </c>
    </row>
    <row r="703" spans="1:1" x14ac:dyDescent="0.25">
      <c r="A703" s="25" t="str">
        <f ca="1">TEXT(Regen!A703,"000\,")&amp;TEXT(Regen!B703,"?00000000")&amp;TEXT(Regen!C703,""",""?0")&amp;SUBSTITUTE(TEXT(Regen!D703,""",""????0;"",""???-0;"",""????0;"", ////"""),"'","""")&amp;SUBSTITUTE(TEXT(Regen!E703,""",""?00;"",""?-00;"",""?00;"", //"""),"'","""")</f>
        <v>083, 19401201, 1,    0, 00</v>
      </c>
    </row>
    <row r="704" spans="1:1" x14ac:dyDescent="0.25">
      <c r="A704" s="25" t="str">
        <f ca="1">TEXT(Regen!A704,"000\,")&amp;TEXT(Regen!B704,"?00000000")&amp;TEXT(Regen!C704,""",""?0")&amp;SUBSTITUTE(TEXT(Regen!D704,""",""????0;"",""???-0;"",""????0;"", ////"""),"'","""")&amp;SUBSTITUTE(TEXT(Regen!E704,""",""?00;"",""?-00;"",""?00;"", //"""),"'","""")</f>
        <v>083, 19401202, 1,    0, 00</v>
      </c>
    </row>
    <row r="705" spans="1:1" x14ac:dyDescent="0.25">
      <c r="A705" s="25" t="str">
        <f ca="1">TEXT(Regen!A705,"000\,")&amp;TEXT(Regen!B705,"?00000000")&amp;TEXT(Regen!C705,""",""?0")&amp;SUBSTITUTE(TEXT(Regen!D705,""",""????0;"",""???-0;"",""????0;"", ////"""),"'","""")&amp;SUBSTITUTE(TEXT(Regen!E705,""",""?00;"",""?-00;"",""?00;"", //"""),"'","""")</f>
        <v>083, 19401203, 1,    0, 00</v>
      </c>
    </row>
    <row r="706" spans="1:1" x14ac:dyDescent="0.25">
      <c r="A706" s="25" t="str">
        <f ca="1">TEXT(Regen!A706,"000\,")&amp;TEXT(Regen!B706,"?00000000")&amp;TEXT(Regen!C706,""",""?0")&amp;SUBSTITUTE(TEXT(Regen!D706,""",""????0;"",""???-0;"",""????0;"", ////"""),"'","""")&amp;SUBSTITUTE(TEXT(Regen!E706,""",""?00;"",""?-00;"",""?00;"", //"""),"'","""")</f>
        <v>083, 19401204, 1,    0, 00</v>
      </c>
    </row>
    <row r="707" spans="1:1" x14ac:dyDescent="0.25">
      <c r="A707" s="25" t="str">
        <f ca="1">TEXT(Regen!A707,"000\,")&amp;TEXT(Regen!B707,"?00000000")&amp;TEXT(Regen!C707,""",""?0")&amp;SUBSTITUTE(TEXT(Regen!D707,""",""????0;"",""???-0;"",""????0;"", ////"""),"'","""")&amp;SUBSTITUTE(TEXT(Regen!E707,""",""?00;"",""?-00;"",""?00;"", //"""),"'","""")</f>
        <v>083, 19401205, 1,   60, 00</v>
      </c>
    </row>
    <row r="708" spans="1:1" x14ac:dyDescent="0.25">
      <c r="A708" s="25" t="str">
        <f ca="1">TEXT(Regen!A708,"000\,")&amp;TEXT(Regen!B708,"?00000000")&amp;TEXT(Regen!C708,""",""?0")&amp;SUBSTITUTE(TEXT(Regen!D708,""",""????0;"",""???-0;"",""????0;"", ////"""),"'","""")&amp;SUBSTITUTE(TEXT(Regen!E708,""",""?00;"",""?-00;"",""?00;"", //"""),"'","""")</f>
        <v>083, 19401206, 1,   25, 00</v>
      </c>
    </row>
    <row r="709" spans="1:1" x14ac:dyDescent="0.25">
      <c r="A709" s="25" t="str">
        <f ca="1">TEXT(Regen!A709,"000\,")&amp;TEXT(Regen!B709,"?00000000")&amp;TEXT(Regen!C709,""",""?0")&amp;SUBSTITUTE(TEXT(Regen!D709,""",""????0;"",""???-0;"",""????0;"", ////"""),"'","""")&amp;SUBSTITUTE(TEXT(Regen!E709,""",""?00;"",""?-00;"",""?00;"", //"""),"'","""")</f>
        <v>083, 19401207, 1,    0, 00</v>
      </c>
    </row>
    <row r="710" spans="1:1" x14ac:dyDescent="0.25">
      <c r="A710" s="25" t="str">
        <f ca="1">TEXT(Regen!A710,"000\,")&amp;TEXT(Regen!B710,"?00000000")&amp;TEXT(Regen!C710,""",""?0")&amp;SUBSTITUTE(TEXT(Regen!D710,""",""????0;"",""???-0;"",""????0;"", ////"""),"'","""")&amp;SUBSTITUTE(TEXT(Regen!E710,""",""?00;"",""?-00;"",""?00;"", //"""),"'","""")</f>
        <v>083, 19401208, 1,    0, 00</v>
      </c>
    </row>
    <row r="711" spans="1:1" x14ac:dyDescent="0.25">
      <c r="A711" s="25" t="str">
        <f ca="1">TEXT(Regen!A711,"000\,")&amp;TEXT(Regen!B711,"?00000000")&amp;TEXT(Regen!C711,""",""?0")&amp;SUBSTITUTE(TEXT(Regen!D711,""",""????0;"",""???-0;"",""????0;"", ////"""),"'","""")&amp;SUBSTITUTE(TEXT(Regen!E711,""",""?00;"",""?-00;"",""?00;"", //"""),"'","""")</f>
        <v>083, 19401209, 1,    0, 00</v>
      </c>
    </row>
    <row r="712" spans="1:1" x14ac:dyDescent="0.25">
      <c r="A712" s="25" t="str">
        <f ca="1">TEXT(Regen!A712,"000\,")&amp;TEXT(Regen!B712,"?00000000")&amp;TEXT(Regen!C712,""",""?0")&amp;SUBSTITUTE(TEXT(Regen!D712,""",""????0;"",""???-0;"",""????0;"", ////"""),"'","""")&amp;SUBSTITUTE(TEXT(Regen!E712,""",""?00;"",""?-00;"",""?00;"", //"""),"'","""")</f>
        <v>083, 19401210, 1,    0, 00</v>
      </c>
    </row>
    <row r="713" spans="1:1" x14ac:dyDescent="0.25">
      <c r="A713" s="25" t="str">
        <f ca="1">TEXT(Regen!A713,"000\,")&amp;TEXT(Regen!B713,"?00000000")&amp;TEXT(Regen!C713,""",""?0")&amp;SUBSTITUTE(TEXT(Regen!D713,""",""????0;"",""???-0;"",""????0;"", ////"""),"'","""")&amp;SUBSTITUTE(TEXT(Regen!E713,""",""?00;"",""?-00;"",""?00;"", //"""),"'","""")</f>
        <v>083, 19401211, 1,   20, 00</v>
      </c>
    </row>
    <row r="714" spans="1:1" x14ac:dyDescent="0.25">
      <c r="A714" s="25" t="str">
        <f ca="1">TEXT(Regen!A714,"000\,")&amp;TEXT(Regen!B714,"?00000000")&amp;TEXT(Regen!C714,""",""?0")&amp;SUBSTITUTE(TEXT(Regen!D714,""",""????0;"",""???-0;"",""????0;"", ////"""),"'","""")&amp;SUBSTITUTE(TEXT(Regen!E714,""",""?00;"",""?-00;"",""?00;"", //"""),"'","""")</f>
        <v>083, 19401212, 1,    0, 00</v>
      </c>
    </row>
    <row r="715" spans="1:1" x14ac:dyDescent="0.25">
      <c r="A715" s="25" t="str">
        <f ca="1">TEXT(Regen!A715,"000\,")&amp;TEXT(Regen!B715,"?00000000")&amp;TEXT(Regen!C715,""",""?0")&amp;SUBSTITUTE(TEXT(Regen!D715,""",""????0;"",""???-0;"",""????0;"", ////"""),"'","""")&amp;SUBSTITUTE(TEXT(Regen!E715,""",""?00;"",""?-00;"",""?00;"", //"""),"'","""")</f>
        <v>083, 19401213, 1,    0, 00</v>
      </c>
    </row>
    <row r="716" spans="1:1" x14ac:dyDescent="0.25">
      <c r="A716" s="25" t="str">
        <f ca="1">TEXT(Regen!A716,"000\,")&amp;TEXT(Regen!B716,"?00000000")&amp;TEXT(Regen!C716,""",""?0")&amp;SUBSTITUTE(TEXT(Regen!D716,""",""????0;"",""???-0;"",""????0;"", ////"""),"'","""")&amp;SUBSTITUTE(TEXT(Regen!E716,""",""?00;"",""?-00;"",""?00;"", //"""),"'","""")</f>
        <v>083, 19401214, 1,   50, 00</v>
      </c>
    </row>
    <row r="717" spans="1:1" x14ac:dyDescent="0.25">
      <c r="A717" s="25" t="str">
        <f ca="1">TEXT(Regen!A717,"000\,")&amp;TEXT(Regen!B717,"?00000000")&amp;TEXT(Regen!C717,""",""?0")&amp;SUBSTITUTE(TEXT(Regen!D717,""",""????0;"",""???-0;"",""????0;"", ////"""),"'","""")&amp;SUBSTITUTE(TEXT(Regen!E717,""",""?00;"",""?-00;"",""?00;"", //"""),"'","""")</f>
        <v>083, 19401215, 1,   15, 00</v>
      </c>
    </row>
    <row r="718" spans="1:1" x14ac:dyDescent="0.25">
      <c r="A718" s="25" t="str">
        <f ca="1">TEXT(Regen!A718,"000\,")&amp;TEXT(Regen!B718,"?00000000")&amp;TEXT(Regen!C718,""",""?0")&amp;SUBSTITUTE(TEXT(Regen!D718,""",""????0;"",""???-0;"",""????0;"", ////"""),"'","""")&amp;SUBSTITUTE(TEXT(Regen!E718,""",""?00;"",""?-00;"",""?00;"", //"""),"'","""")</f>
        <v>083, 19401216, 1,    0, 00</v>
      </c>
    </row>
    <row r="719" spans="1:1" x14ac:dyDescent="0.25">
      <c r="A719" s="25" t="str">
        <f ca="1">TEXT(Regen!A719,"000\,")&amp;TEXT(Regen!B719,"?00000000")&amp;TEXT(Regen!C719,""",""?0")&amp;SUBSTITUTE(TEXT(Regen!D719,""",""????0;"",""???-0;"",""????0;"", ////"""),"'","""")&amp;SUBSTITUTE(TEXT(Regen!E719,""",""?00;"",""?-00;"",""?00;"", //"""),"'","""")</f>
        <v>083, 19401217, 1,    0, 00</v>
      </c>
    </row>
    <row r="720" spans="1:1" x14ac:dyDescent="0.25">
      <c r="A720" s="25" t="str">
        <f ca="1">TEXT(Regen!A720,"000\,")&amp;TEXT(Regen!B720,"?00000000")&amp;TEXT(Regen!C720,""",""?0")&amp;SUBSTITUTE(TEXT(Regen!D720,""",""????0;"",""???-0;"",""????0;"", ////"""),"'","""")&amp;SUBSTITUTE(TEXT(Regen!E720,""",""?00;"",""?-00;"",""?00;"", //"""),"'","""")</f>
        <v>083, 19401218, 1,    0, 00</v>
      </c>
    </row>
    <row r="721" spans="1:1" x14ac:dyDescent="0.25">
      <c r="A721" s="25" t="str">
        <f ca="1">TEXT(Regen!A721,"000\,")&amp;TEXT(Regen!B721,"?00000000")&amp;TEXT(Regen!C721,""",""?0")&amp;SUBSTITUTE(TEXT(Regen!D721,""",""????0;"",""???-0;"",""????0;"", ////"""),"'","""")&amp;SUBSTITUTE(TEXT(Regen!E721,""",""?00;"",""?-00;"",""?00;"", //"""),"'","""")</f>
        <v>083, 19401219, 1,   60, 00</v>
      </c>
    </row>
    <row r="722" spans="1:1" x14ac:dyDescent="0.25">
      <c r="A722" s="25" t="str">
        <f ca="1">TEXT(Regen!A722,"000\,")&amp;TEXT(Regen!B722,"?00000000")&amp;TEXT(Regen!C722,""",""?0")&amp;SUBSTITUTE(TEXT(Regen!D722,""",""????0;"",""???-0;"",""????0;"", ////"""),"'","""")&amp;SUBSTITUTE(TEXT(Regen!E722,""",""?00;"",""?-00;"",""?00;"", //"""),"'","""")</f>
        <v>083, 19401220, 1,    0, 00</v>
      </c>
    </row>
    <row r="723" spans="1:1" x14ac:dyDescent="0.25">
      <c r="A723" s="25" t="str">
        <f ca="1">TEXT(Regen!A723,"000\,")&amp;TEXT(Regen!B723,"?00000000")&amp;TEXT(Regen!C723,""",""?0")&amp;SUBSTITUTE(TEXT(Regen!D723,""",""????0;"",""???-0;"",""????0;"", ////"""),"'","""")&amp;SUBSTITUTE(TEXT(Regen!E723,""",""?00;"",""?-00;"",""?00;"", //"""),"'","""")</f>
        <v>083, 19401221, 1,   30, 00</v>
      </c>
    </row>
    <row r="724" spans="1:1" x14ac:dyDescent="0.25">
      <c r="A724" s="25" t="str">
        <f ca="1">TEXT(Regen!A724,"000\,")&amp;TEXT(Regen!B724,"?00000000")&amp;TEXT(Regen!C724,""",""?0")&amp;SUBSTITUTE(TEXT(Regen!D724,""",""????0;"",""???-0;"",""????0;"", ////"""),"'","""")&amp;SUBSTITUTE(TEXT(Regen!E724,""",""?00;"",""?-00;"",""?00;"", //"""),"'","""")</f>
        <v>083, 19401222, 1,    0, 00</v>
      </c>
    </row>
    <row r="725" spans="1:1" x14ac:dyDescent="0.25">
      <c r="A725" s="25" t="str">
        <f ca="1">TEXT(Regen!A725,"000\,")&amp;TEXT(Regen!B725,"?00000000")&amp;TEXT(Regen!C725,""",""?0")&amp;SUBSTITUTE(TEXT(Regen!D725,""",""????0;"",""???-0;"",""????0;"", ////"""),"'","""")&amp;SUBSTITUTE(TEXT(Regen!E725,""",""?00;"",""?-00;"",""?00;"", //"""),"'","""")</f>
        <v>083, 19401223, 1,   15, 00</v>
      </c>
    </row>
    <row r="726" spans="1:1" x14ac:dyDescent="0.25">
      <c r="A726" s="25" t="str">
        <f ca="1">TEXT(Regen!A726,"000\,")&amp;TEXT(Regen!B726,"?00000000")&amp;TEXT(Regen!C726,""",""?0")&amp;SUBSTITUTE(TEXT(Regen!D726,""",""????0;"",""???-0;"",""????0;"", ////"""),"'","""")&amp;SUBSTITUTE(TEXT(Regen!E726,""",""?00;"",""?-00;"",""?00;"", //"""),"'","""")</f>
        <v>083, 19401224, 1,  260, 00</v>
      </c>
    </row>
    <row r="727" spans="1:1" x14ac:dyDescent="0.25">
      <c r="A727" s="25" t="str">
        <f ca="1">TEXT(Regen!A727,"000\,")&amp;TEXT(Regen!B727,"?00000000")&amp;TEXT(Regen!C727,""",""?0")&amp;SUBSTITUTE(TEXT(Regen!D727,""",""????0;"",""???-0;"",""????0;"", ////"""),"'","""")&amp;SUBSTITUTE(TEXT(Regen!E727,""",""?00;"",""?-00;"",""?00;"", //"""),"'","""")</f>
        <v>083, 19401225, 1,    0, 00</v>
      </c>
    </row>
    <row r="728" spans="1:1" x14ac:dyDescent="0.25">
      <c r="A728" s="25" t="str">
        <f ca="1">TEXT(Regen!A728,"000\,")&amp;TEXT(Regen!B728,"?00000000")&amp;TEXT(Regen!C728,""",""?0")&amp;SUBSTITUTE(TEXT(Regen!D728,""",""????0;"",""???-0;"",""????0;"", ////"""),"'","""")&amp;SUBSTITUTE(TEXT(Regen!E728,""",""?00;"",""?-00;"",""?00;"", //"""),"'","""")</f>
        <v>083, 19401226, 1,    0, 00</v>
      </c>
    </row>
    <row r="729" spans="1:1" x14ac:dyDescent="0.25">
      <c r="A729" s="25" t="str">
        <f ca="1">TEXT(Regen!A729,"000\,")&amp;TEXT(Regen!B729,"?00000000")&amp;TEXT(Regen!C729,""",""?0")&amp;SUBSTITUTE(TEXT(Regen!D729,""",""????0;"",""???-0;"",""????0;"", ////"""),"'","""")&amp;SUBSTITUTE(TEXT(Regen!E729,""",""?00;"",""?-00;"",""?00;"", //"""),"'","""")</f>
        <v>083, 19401227, 1,    0, 00</v>
      </c>
    </row>
    <row r="730" spans="1:1" x14ac:dyDescent="0.25">
      <c r="A730" s="25" t="str">
        <f ca="1">TEXT(Regen!A730,"000\,")&amp;TEXT(Regen!B730,"?00000000")&amp;TEXT(Regen!C730,""",""?0")&amp;SUBSTITUTE(TEXT(Regen!D730,""",""????0;"",""???-0;"",""????0;"", ////"""),"'","""")&amp;SUBSTITUTE(TEXT(Regen!E730,""",""?00;"",""?-00;"",""?00;"", //"""),"'","""")</f>
        <v>083, 19401228, 1,    0, 00</v>
      </c>
    </row>
    <row r="731" spans="1:1" x14ac:dyDescent="0.25">
      <c r="A731" s="25" t="str">
        <f ca="1">TEXT(Regen!A731,"000\,")&amp;TEXT(Regen!B731,"?00000000")&amp;TEXT(Regen!C731,""",""?0")&amp;SUBSTITUTE(TEXT(Regen!D731,""",""????0;"",""???-0;"",""????0;"", ////"""),"'","""")&amp;SUBSTITUTE(TEXT(Regen!E731,""",""?00;"",""?-00;"",""?00;"", //"""),"'","""")</f>
        <v>083, 19401229, 1,   15, 00</v>
      </c>
    </row>
    <row r="732" spans="1:1" x14ac:dyDescent="0.25">
      <c r="A732" s="25" t="str">
        <f ca="1">TEXT(Regen!A732,"000\,")&amp;TEXT(Regen!B732,"?00000000")&amp;TEXT(Regen!C732,""",""?0")&amp;SUBSTITUTE(TEXT(Regen!D732,""",""????0;"",""???-0;"",""????0;"", ////"""),"'","""")&amp;SUBSTITUTE(TEXT(Regen!E732,""",""?00;"",""?-00;"",""?00;"", //"""),"'","""")</f>
        <v>083, 19401230, 1,    0, 00</v>
      </c>
    </row>
    <row r="733" spans="1:1" x14ac:dyDescent="0.25">
      <c r="A733" s="25" t="str">
        <f ca="1">TEXT(Regen!A733,"000\,")&amp;TEXT(Regen!B733,"?00000000")&amp;TEXT(Regen!C733,""",""?0")&amp;SUBSTITUTE(TEXT(Regen!D733,""",""????0;"",""???-0;"",""????0;"", ////"""),"'","""")&amp;SUBSTITUTE(TEXT(Regen!E733,""",""?00;"",""?-00;"",""?00;"", //"""),"'","""")</f>
        <v>083, 19401231, 1,    0, 00</v>
      </c>
    </row>
    <row r="734" spans="1:1" x14ac:dyDescent="0.25">
      <c r="A734" s="25" t="str">
        <f ca="1">TEXT(Regen!A734,"000\,")&amp;TEXT(Regen!B734,"?00000000")&amp;TEXT(Regen!C734,""",""?0")&amp;SUBSTITUTE(TEXT(Regen!D734,""",""????0;"",""???-0;"",""????0;"", ////"""),"'","""")&amp;SUBSTITUTE(TEXT(Regen!E734,""",""?00;"",""?-00;"",""?00;"", //"""),"'","""")</f>
        <v>082, 19400101, 1,    0, 00</v>
      </c>
    </row>
    <row r="735" spans="1:1" x14ac:dyDescent="0.25">
      <c r="A735" s="25" t="str">
        <f ca="1">TEXT(Regen!A735,"000\,")&amp;TEXT(Regen!B735,"?00000000")&amp;TEXT(Regen!C735,""",""?0")&amp;SUBSTITUTE(TEXT(Regen!D735,""",""????0;"",""???-0;"",""????0;"", ////"""),"'","""")&amp;SUBSTITUTE(TEXT(Regen!E735,""",""?00;"",""?-00;"",""?00;"", //"""),"'","""")</f>
        <v>082, 19400102, 1,    0, 00</v>
      </c>
    </row>
    <row r="736" spans="1:1" x14ac:dyDescent="0.25">
      <c r="A736" s="25" t="str">
        <f ca="1">TEXT(Regen!A736,"000\,")&amp;TEXT(Regen!B736,"?00000000")&amp;TEXT(Regen!C736,""",""?0")&amp;SUBSTITUTE(TEXT(Regen!D736,""",""????0;"",""???-0;"",""????0;"", ////"""),"'","""")&amp;SUBSTITUTE(TEXT(Regen!E736,""",""?00;"",""?-00;"",""?00;"", //"""),"'","""")</f>
        <v>082, 19400103, 1,    0, 00</v>
      </c>
    </row>
    <row r="737" spans="1:1" x14ac:dyDescent="0.25">
      <c r="A737" s="25" t="str">
        <f ca="1">TEXT(Regen!A737,"000\,")&amp;TEXT(Regen!B737,"?00000000")&amp;TEXT(Regen!C737,""",""?0")&amp;SUBSTITUTE(TEXT(Regen!D737,""",""????0;"",""???-0;"",""????0;"", ////"""),"'","""")&amp;SUBSTITUTE(TEXT(Regen!E737,""",""?00;"",""?-00;"",""?00;"", //"""),"'","""")</f>
        <v>082, 19400104, 1,    0, 00</v>
      </c>
    </row>
    <row r="738" spans="1:1" x14ac:dyDescent="0.25">
      <c r="A738" s="25" t="str">
        <f ca="1">TEXT(Regen!A738,"000\,")&amp;TEXT(Regen!B738,"?00000000")&amp;TEXT(Regen!C738,""",""?0")&amp;SUBSTITUTE(TEXT(Regen!D738,""",""????0;"",""???-0;"",""????0;"", ////"""),"'","""")&amp;SUBSTITUTE(TEXT(Regen!E738,""",""?00;"",""?-00;"",""?00;"", //"""),"'","""")</f>
        <v>082, 19400105, 1,    0, 00</v>
      </c>
    </row>
    <row r="739" spans="1:1" x14ac:dyDescent="0.25">
      <c r="A739" s="25" t="str">
        <f ca="1">TEXT(Regen!A739,"000\,")&amp;TEXT(Regen!B739,"?00000000")&amp;TEXT(Regen!C739,""",""?0")&amp;SUBSTITUTE(TEXT(Regen!D739,""",""????0;"",""???-0;"",""????0;"", ////"""),"'","""")&amp;SUBSTITUTE(TEXT(Regen!E739,""",""?00;"",""?-00;"",""?00;"", //"""),"'","""")</f>
        <v>082, 19400106, 1,    0, 00</v>
      </c>
    </row>
    <row r="740" spans="1:1" x14ac:dyDescent="0.25">
      <c r="A740" s="25" t="str">
        <f ca="1">TEXT(Regen!A740,"000\,")&amp;TEXT(Regen!B740,"?00000000")&amp;TEXT(Regen!C740,""",""?0")&amp;SUBSTITUTE(TEXT(Regen!D740,""",""????0;"",""???-0;"",""????0;"", ////"""),"'","""")&amp;SUBSTITUTE(TEXT(Regen!E740,""",""?00;"",""?-00;"",""?00;"", //"""),"'","""")</f>
        <v>082, 19400107, 1,   23, 00</v>
      </c>
    </row>
    <row r="741" spans="1:1" x14ac:dyDescent="0.25">
      <c r="A741" s="25" t="str">
        <f ca="1">TEXT(Regen!A741,"000\,")&amp;TEXT(Regen!B741,"?00000000")&amp;TEXT(Regen!C741,""",""?0")&amp;SUBSTITUTE(TEXT(Regen!D741,""",""????0;"",""???-0;"",""????0;"", ////"""),"'","""")&amp;SUBSTITUTE(TEXT(Regen!E741,""",""?00;"",""?-00;"",""?00;"", //"""),"'","""")</f>
        <v>082, 19400108, 1,    0, 00</v>
      </c>
    </row>
    <row r="742" spans="1:1" x14ac:dyDescent="0.25">
      <c r="A742" s="25" t="str">
        <f ca="1">TEXT(Regen!A742,"000\,")&amp;TEXT(Regen!B742,"?00000000")&amp;TEXT(Regen!C742,""",""?0")&amp;SUBSTITUTE(TEXT(Regen!D742,""",""????0;"",""???-0;"",""????0;"", ////"""),"'","""")&amp;SUBSTITUTE(TEXT(Regen!E742,""",""?00;"",""?-00;"",""?00;"", //"""),"'","""")</f>
        <v>082, 19400109, 1,    0, 00</v>
      </c>
    </row>
    <row r="743" spans="1:1" x14ac:dyDescent="0.25">
      <c r="A743" s="25" t="str">
        <f ca="1">TEXT(Regen!A743,"000\,")&amp;TEXT(Regen!B743,"?00000000")&amp;TEXT(Regen!C743,""",""?0")&amp;SUBSTITUTE(TEXT(Regen!D743,""",""????0;"",""???-0;"",""????0;"", ////"""),"'","""")&amp;SUBSTITUTE(TEXT(Regen!E743,""",""?00;"",""?-00;"",""?00;"", //"""),"'","""")</f>
        <v>082, 19400110, 1,   35, 00</v>
      </c>
    </row>
    <row r="744" spans="1:1" x14ac:dyDescent="0.25">
      <c r="A744" s="25" t="str">
        <f ca="1">TEXT(Regen!A744,"000\,")&amp;TEXT(Regen!B744,"?00000000")&amp;TEXT(Regen!C744,""",""?0")&amp;SUBSTITUTE(TEXT(Regen!D744,""",""????0;"",""???-0;"",""????0;"", ////"""),"'","""")&amp;SUBSTITUTE(TEXT(Regen!E744,""",""?00;"",""?-00;"",""?00;"", //"""),"'","""")</f>
        <v>082, 19400111, 1,    7, 00</v>
      </c>
    </row>
    <row r="745" spans="1:1" x14ac:dyDescent="0.25">
      <c r="A745" s="25" t="str">
        <f ca="1">TEXT(Regen!A745,"000\,")&amp;TEXT(Regen!B745,"?00000000")&amp;TEXT(Regen!C745,""",""?0")&amp;SUBSTITUTE(TEXT(Regen!D745,""",""????0;"",""???-0;"",""????0;"", ////"""),"'","""")&amp;SUBSTITUTE(TEXT(Regen!E745,""",""?00;"",""?-00;"",""?00;"", //"""),"'","""")</f>
        <v>082, 19400112, 1,    0, 00</v>
      </c>
    </row>
    <row r="746" spans="1:1" x14ac:dyDescent="0.25">
      <c r="A746" s="25" t="str">
        <f ca="1">TEXT(Regen!A746,"000\,")&amp;TEXT(Regen!B746,"?00000000")&amp;TEXT(Regen!C746,""",""?0")&amp;SUBSTITUTE(TEXT(Regen!D746,""",""????0;"",""???-0;"",""????0;"", ////"""),"'","""")&amp;SUBSTITUTE(TEXT(Regen!E746,""",""?00;"",""?-00;"",""?00;"", //"""),"'","""")</f>
        <v>082, 19400113, 1,    0, 00</v>
      </c>
    </row>
    <row r="747" spans="1:1" x14ac:dyDescent="0.25">
      <c r="A747" s="25" t="str">
        <f ca="1">TEXT(Regen!A747,"000\,")&amp;TEXT(Regen!B747,"?00000000")&amp;TEXT(Regen!C747,""",""?0")&amp;SUBSTITUTE(TEXT(Regen!D747,""",""????0;"",""???-0;"",""????0;"", ////"""),"'","""")&amp;SUBSTITUTE(TEXT(Regen!E747,""",""?00;"",""?-00;"",""?00;"", //"""),"'","""")</f>
        <v>082, 19400114, 1,    0, 00</v>
      </c>
    </row>
    <row r="748" spans="1:1" x14ac:dyDescent="0.25">
      <c r="A748" s="25" t="str">
        <f ca="1">TEXT(Regen!A748,"000\,")&amp;TEXT(Regen!B748,"?00000000")&amp;TEXT(Regen!C748,""",""?0")&amp;SUBSTITUTE(TEXT(Regen!D748,""",""????0;"",""???-0;"",""????0;"", ////"""),"'","""")&amp;SUBSTITUTE(TEXT(Regen!E748,""",""?00;"",""?-00;"",""?00;"", //"""),"'","""")</f>
        <v>082, 19400115, 1,    0, 00</v>
      </c>
    </row>
    <row r="749" spans="1:1" x14ac:dyDescent="0.25">
      <c r="A749" s="25" t="str">
        <f ca="1">TEXT(Regen!A749,"000\,")&amp;TEXT(Regen!B749,"?00000000")&amp;TEXT(Regen!C749,""",""?0")&amp;SUBSTITUTE(TEXT(Regen!D749,""",""????0;"",""???-0;"",""????0;"", ////"""),"'","""")&amp;SUBSTITUTE(TEXT(Regen!E749,""",""?00;"",""?-00;"",""?00;"", //"""),"'","""")</f>
        <v>082, 19400116, 1,    0, 00</v>
      </c>
    </row>
    <row r="750" spans="1:1" x14ac:dyDescent="0.25">
      <c r="A750" s="25" t="str">
        <f ca="1">TEXT(Regen!A750,"000\,")&amp;TEXT(Regen!B750,"?00000000")&amp;TEXT(Regen!C750,""",""?0")&amp;SUBSTITUTE(TEXT(Regen!D750,""",""????0;"",""???-0;"",""????0;"", ////"""),"'","""")&amp;SUBSTITUTE(TEXT(Regen!E750,""",""?00;"",""?-00;"",""?00;"", //"""),"'","""")</f>
        <v>082, 19400117, 1,   33, 00</v>
      </c>
    </row>
    <row r="751" spans="1:1" x14ac:dyDescent="0.25">
      <c r="A751" s="25" t="str">
        <f ca="1">TEXT(Regen!A751,"000\,")&amp;TEXT(Regen!B751,"?00000000")&amp;TEXT(Regen!C751,""",""?0")&amp;SUBSTITUTE(TEXT(Regen!D751,""",""????0;"",""???-0;"",""????0;"", ////"""),"'","""")&amp;SUBSTITUTE(TEXT(Regen!E751,""",""?00;"",""?-00;"",""?00;"", //"""),"'","""")</f>
        <v>082, 19400118, 1,    0, 00</v>
      </c>
    </row>
    <row r="752" spans="1:1" x14ac:dyDescent="0.25">
      <c r="A752" s="25" t="str">
        <f ca="1">TEXT(Regen!A752,"000\,")&amp;TEXT(Regen!B752,"?00000000")&amp;TEXT(Regen!C752,""",""?0")&amp;SUBSTITUTE(TEXT(Regen!D752,""",""????0;"",""???-0;"",""????0;"", ////"""),"'","""")&amp;SUBSTITUTE(TEXT(Regen!E752,""",""?00;"",""?-00;"",""?00;"", //"""),"'","""")</f>
        <v>082, 19400119, 1,    0, 00</v>
      </c>
    </row>
    <row r="753" spans="1:1" x14ac:dyDescent="0.25">
      <c r="A753" s="25" t="str">
        <f ca="1">TEXT(Regen!A753,"000\,")&amp;TEXT(Regen!B753,"?00000000")&amp;TEXT(Regen!C753,""",""?0")&amp;SUBSTITUTE(TEXT(Regen!D753,""",""????0;"",""???-0;"",""????0;"", ////"""),"'","""")&amp;SUBSTITUTE(TEXT(Regen!E753,""",""?00;"",""?-00;"",""?00;"", //"""),"'","""")</f>
        <v>082, 19400120, 1,    0, 00</v>
      </c>
    </row>
    <row r="754" spans="1:1" x14ac:dyDescent="0.25">
      <c r="A754" s="25" t="str">
        <f ca="1">TEXT(Regen!A754,"000\,")&amp;TEXT(Regen!B754,"?00000000")&amp;TEXT(Regen!C754,""",""?0")&amp;SUBSTITUTE(TEXT(Regen!D754,""",""????0;"",""???-0;"",""????0;"", ////"""),"'","""")&amp;SUBSTITUTE(TEXT(Regen!E754,""",""?00;"",""?-00;"",""?00;"", //"""),"'","""")</f>
        <v>082, 19400121, 1,    0, 00</v>
      </c>
    </row>
    <row r="755" spans="1:1" x14ac:dyDescent="0.25">
      <c r="A755" s="25" t="str">
        <f ca="1">TEXT(Regen!A755,"000\,")&amp;TEXT(Regen!B755,"?00000000")&amp;TEXT(Regen!C755,""",""?0")&amp;SUBSTITUTE(TEXT(Regen!D755,""",""????0;"",""???-0;"",""????0;"", ////"""),"'","""")&amp;SUBSTITUTE(TEXT(Regen!E755,""",""?00;"",""?-00;"",""?00;"", //"""),"'","""")</f>
        <v>082, 19400122, 1,    0, 00</v>
      </c>
    </row>
    <row r="756" spans="1:1" x14ac:dyDescent="0.25">
      <c r="A756" s="25" t="str">
        <f ca="1">TEXT(Regen!A756,"000\,")&amp;TEXT(Regen!B756,"?00000000")&amp;TEXT(Regen!C756,""",""?0")&amp;SUBSTITUTE(TEXT(Regen!D756,""",""????0;"",""???-0;"",""????0;"", ////"""),"'","""")&amp;SUBSTITUTE(TEXT(Regen!E756,""",""?00;"",""?-00;"",""?00;"", //"""),"'","""")</f>
        <v>082, 19400123, 1,  230, 00</v>
      </c>
    </row>
    <row r="757" spans="1:1" x14ac:dyDescent="0.25">
      <c r="A757" s="25" t="str">
        <f ca="1">TEXT(Regen!A757,"000\,")&amp;TEXT(Regen!B757,"?00000000")&amp;TEXT(Regen!C757,""",""?0")&amp;SUBSTITUTE(TEXT(Regen!D757,""",""????0;"",""???-0;"",""????0;"", ////"""),"'","""")&amp;SUBSTITUTE(TEXT(Regen!E757,""",""?00;"",""?-00;"",""?00;"", //"""),"'","""")</f>
        <v>082, 19400124, 1,   75, 00</v>
      </c>
    </row>
    <row r="758" spans="1:1" x14ac:dyDescent="0.25">
      <c r="A758" s="25" t="str">
        <f ca="1">TEXT(Regen!A758,"000\,")&amp;TEXT(Regen!B758,"?00000000")&amp;TEXT(Regen!C758,""",""?0")&amp;SUBSTITUTE(TEXT(Regen!D758,""",""????0;"",""???-0;"",""????0;"", ////"""),"'","""")&amp;SUBSTITUTE(TEXT(Regen!E758,""",""?00;"",""?-00;"",""?00;"", //"""),"'","""")</f>
        <v>082, 19400125, 1,    0, 00</v>
      </c>
    </row>
    <row r="759" spans="1:1" x14ac:dyDescent="0.25">
      <c r="A759" s="25" t="str">
        <f ca="1">TEXT(Regen!A759,"000\,")&amp;TEXT(Regen!B759,"?00000000")&amp;TEXT(Regen!C759,""",""?0")&amp;SUBSTITUTE(TEXT(Regen!D759,""",""????0;"",""???-0;"",""????0;"", ////"""),"'","""")&amp;SUBSTITUTE(TEXT(Regen!E759,""",""?00;"",""?-00;"",""?00;"", //"""),"'","""")</f>
        <v>082, 19400126, 1,   24, 00</v>
      </c>
    </row>
    <row r="760" spans="1:1" x14ac:dyDescent="0.25">
      <c r="A760" s="25" t="str">
        <f ca="1">TEXT(Regen!A760,"000\,")&amp;TEXT(Regen!B760,"?00000000")&amp;TEXT(Regen!C760,""",""?0")&amp;SUBSTITUTE(TEXT(Regen!D760,""",""????0;"",""???-0;"",""????0;"", ////"""),"'","""")&amp;SUBSTITUTE(TEXT(Regen!E760,""",""?00;"",""?-00;"",""?00;"", //"""),"'","""")</f>
        <v>082, 19400127, 1,    0, 00</v>
      </c>
    </row>
    <row r="761" spans="1:1" x14ac:dyDescent="0.25">
      <c r="A761" s="25" t="str">
        <f ca="1">TEXT(Regen!A761,"000\,")&amp;TEXT(Regen!B761,"?00000000")&amp;TEXT(Regen!C761,""",""?0")&amp;SUBSTITUTE(TEXT(Regen!D761,""",""????0;"",""???-0;"",""????0;"", ////"""),"'","""")&amp;SUBSTITUTE(TEXT(Regen!E761,""",""?00;"",""?-00;"",""?00;"", //"""),"'","""")</f>
        <v>082, 19400128, 1,    0, 00</v>
      </c>
    </row>
    <row r="762" spans="1:1" x14ac:dyDescent="0.25">
      <c r="A762" s="25" t="str">
        <f ca="1">TEXT(Regen!A762,"000\,")&amp;TEXT(Regen!B762,"?00000000")&amp;TEXT(Regen!C762,""",""?0")&amp;SUBSTITUTE(TEXT(Regen!D762,""",""????0;"",""???-0;"",""????0;"", ////"""),"'","""")&amp;SUBSTITUTE(TEXT(Regen!E762,""",""?00;"",""?-00;"",""?00;"", //"""),"'","""")</f>
        <v>082, 19400129, 1,    0, 00</v>
      </c>
    </row>
    <row r="763" spans="1:1" x14ac:dyDescent="0.25">
      <c r="A763" s="25" t="str">
        <f ca="1">TEXT(Regen!A763,"000\,")&amp;TEXT(Regen!B763,"?00000000")&amp;TEXT(Regen!C763,""",""?0")&amp;SUBSTITUTE(TEXT(Regen!D763,""",""????0;"",""???-0;"",""????0;"", ////"""),"'","""")&amp;SUBSTITUTE(TEXT(Regen!E763,""",""?00;"",""?-00;"",""?00;"", //"""),"'","""")</f>
        <v>082, 19400130, 1,    0, 00</v>
      </c>
    </row>
    <row r="764" spans="1:1" x14ac:dyDescent="0.25">
      <c r="A764" s="25" t="str">
        <f ca="1">TEXT(Regen!A764,"000\,")&amp;TEXT(Regen!B764,"?00000000")&amp;TEXT(Regen!C764,""",""?0")&amp;SUBSTITUTE(TEXT(Regen!D764,""",""????0;"",""???-0;"",""????0;"", ////"""),"'","""")&amp;SUBSTITUTE(TEXT(Regen!E764,""",""?00;"",""?-00;"",""?00;"", //"""),"'","""")</f>
        <v>082, 19400131, 1,    5, 00</v>
      </c>
    </row>
    <row r="765" spans="1:1" x14ac:dyDescent="0.25">
      <c r="A765" s="25" t="str">
        <f ca="1">TEXT(Regen!A765,"000\,")&amp;TEXT(Regen!B765,"?00000000")&amp;TEXT(Regen!C765,""",""?0")&amp;SUBSTITUTE(TEXT(Regen!D765,""",""????0;"",""???-0;"",""????0;"", ////"""),"'","""")&amp;SUBSTITUTE(TEXT(Regen!E765,""",""?00;"",""?-00;"",""?00;"", //"""),"'","""")</f>
        <v>082, 19400201, 1,    0, 00</v>
      </c>
    </row>
    <row r="766" spans="1:1" x14ac:dyDescent="0.25">
      <c r="A766" s="25" t="str">
        <f ca="1">TEXT(Regen!A766,"000\,")&amp;TEXT(Regen!B766,"?00000000")&amp;TEXT(Regen!C766,""",""?0")&amp;SUBSTITUTE(TEXT(Regen!D766,""",""????0;"",""???-0;"",""????0;"", ////"""),"'","""")&amp;SUBSTITUTE(TEXT(Regen!E766,""",""?00;"",""?-00;"",""?00;"", //"""),"'","""")</f>
        <v>082, 19400202, 1,    0, 00</v>
      </c>
    </row>
    <row r="767" spans="1:1" x14ac:dyDescent="0.25">
      <c r="A767" s="25" t="str">
        <f ca="1">TEXT(Regen!A767,"000\,")&amp;TEXT(Regen!B767,"?00000000")&amp;TEXT(Regen!C767,""",""?0")&amp;SUBSTITUTE(TEXT(Regen!D767,""",""????0;"",""???-0;"",""????0;"", ////"""),"'","""")&amp;SUBSTITUTE(TEXT(Regen!E767,""",""?00;"",""?-00;"",""?00;"", //"""),"'","""")</f>
        <v>082, 19400203, 1,    0, 00</v>
      </c>
    </row>
    <row r="768" spans="1:1" x14ac:dyDescent="0.25">
      <c r="A768" s="25" t="str">
        <f ca="1">TEXT(Regen!A768,"000\,")&amp;TEXT(Regen!B768,"?00000000")&amp;TEXT(Regen!C768,""",""?0")&amp;SUBSTITUTE(TEXT(Regen!D768,""",""????0;"",""???-0;"",""????0;"", ////"""),"'","""")&amp;SUBSTITUTE(TEXT(Regen!E768,""",""?00;"",""?-00;"",""?00;"", //"""),"'","""")</f>
        <v>082, 19400204, 1,    0, 00</v>
      </c>
    </row>
    <row r="769" spans="1:1" x14ac:dyDescent="0.25">
      <c r="A769" s="25" t="str">
        <f ca="1">TEXT(Regen!A769,"000\,")&amp;TEXT(Regen!B769,"?00000000")&amp;TEXT(Regen!C769,""",""?0")&amp;SUBSTITUTE(TEXT(Regen!D769,""",""????0;"",""???-0;"",""????0;"", ////"""),"'","""")&amp;SUBSTITUTE(TEXT(Regen!E769,""",""?00;"",""?-00;"",""?00;"", //"""),"'","""")</f>
        <v>082, 19400205, 1,  120, 00</v>
      </c>
    </row>
    <row r="770" spans="1:1" x14ac:dyDescent="0.25">
      <c r="A770" s="25" t="str">
        <f ca="1">TEXT(Regen!A770,"000\,")&amp;TEXT(Regen!B770,"?00000000")&amp;TEXT(Regen!C770,""",""?0")&amp;SUBSTITUTE(TEXT(Regen!D770,""",""????0;"",""???-0;"",""????0;"", ////"""),"'","""")&amp;SUBSTITUTE(TEXT(Regen!E770,""",""?00;"",""?-00;"",""?00;"", //"""),"'","""")</f>
        <v>082, 19400206, 1,  115, 00</v>
      </c>
    </row>
    <row r="771" spans="1:1" x14ac:dyDescent="0.25">
      <c r="A771" s="25" t="str">
        <f ca="1">TEXT(Regen!A771,"000\,")&amp;TEXT(Regen!B771,"?00000000")&amp;TEXT(Regen!C771,""",""?0")&amp;SUBSTITUTE(TEXT(Regen!D771,""",""????0;"",""???-0;"",""????0;"", ////"""),"'","""")&amp;SUBSTITUTE(TEXT(Regen!E771,""",""?00;"",""?-00;"",""?00;"", //"""),"'","""")</f>
        <v>082, 19400207, 1,    0, 00</v>
      </c>
    </row>
    <row r="772" spans="1:1" x14ac:dyDescent="0.25">
      <c r="A772" s="25" t="str">
        <f ca="1">TEXT(Regen!A772,"000\,")&amp;TEXT(Regen!B772,"?00000000")&amp;TEXT(Regen!C772,""",""?0")&amp;SUBSTITUTE(TEXT(Regen!D772,""",""????0;"",""???-0;"",""????0;"", ////"""),"'","""")&amp;SUBSTITUTE(TEXT(Regen!E772,""",""?00;"",""?-00;"",""?00;"", //"""),"'","""")</f>
        <v>082, 19400208, 1,   45, 00</v>
      </c>
    </row>
    <row r="773" spans="1:1" x14ac:dyDescent="0.25">
      <c r="A773" s="25" t="str">
        <f ca="1">TEXT(Regen!A773,"000\,")&amp;TEXT(Regen!B773,"?00000000")&amp;TEXT(Regen!C773,""",""?0")&amp;SUBSTITUTE(TEXT(Regen!D773,""",""????0;"",""???-0;"",""????0;"", ////"""),"'","""")&amp;SUBSTITUTE(TEXT(Regen!E773,""",""?00;"",""?-00;"",""?00;"", //"""),"'","""")</f>
        <v>082, 19400209, 1,    0, 00</v>
      </c>
    </row>
    <row r="774" spans="1:1" x14ac:dyDescent="0.25">
      <c r="A774" s="25" t="str">
        <f ca="1">TEXT(Regen!A774,"000\,")&amp;TEXT(Regen!B774,"?00000000")&amp;TEXT(Regen!C774,""",""?0")&amp;SUBSTITUTE(TEXT(Regen!D774,""",""????0;"",""???-0;"",""????0;"", ////"""),"'","""")&amp;SUBSTITUTE(TEXT(Regen!E774,""",""?00;"",""?-00;"",""?00;"", //"""),"'","""")</f>
        <v>082, 19400210, 1,   50, 00</v>
      </c>
    </row>
    <row r="775" spans="1:1" x14ac:dyDescent="0.25">
      <c r="A775" s="25" t="str">
        <f ca="1">TEXT(Regen!A775,"000\,")&amp;TEXT(Regen!B775,"?00000000")&amp;TEXT(Regen!C775,""",""?0")&amp;SUBSTITUTE(TEXT(Regen!D775,""",""????0;"",""???-0;"",""????0;"", ////"""),"'","""")&amp;SUBSTITUTE(TEXT(Regen!E775,""",""?00;"",""?-00;"",""?00;"", //"""),"'","""")</f>
        <v>082, 19400211, 1,    0, 00</v>
      </c>
    </row>
    <row r="776" spans="1:1" x14ac:dyDescent="0.25">
      <c r="A776" s="25" t="str">
        <f ca="1">TEXT(Regen!A776,"000\,")&amp;TEXT(Regen!B776,"?00000000")&amp;TEXT(Regen!C776,""",""?0")&amp;SUBSTITUTE(TEXT(Regen!D776,""",""????0;"",""???-0;"",""????0;"", ////"""),"'","""")&amp;SUBSTITUTE(TEXT(Regen!E776,""",""?00;"",""?-00;"",""?00;"", //"""),"'","""")</f>
        <v>082, 19400212, 1,  110, 00</v>
      </c>
    </row>
    <row r="777" spans="1:1" x14ac:dyDescent="0.25">
      <c r="A777" s="25" t="str">
        <f ca="1">TEXT(Regen!A777,"000\,")&amp;TEXT(Regen!B777,"?00000000")&amp;TEXT(Regen!C777,""",""?0")&amp;SUBSTITUTE(TEXT(Regen!D777,""",""????0;"",""???-0;"",""????0;"", ////"""),"'","""")&amp;SUBSTITUTE(TEXT(Regen!E777,""",""?00;"",""?-00;"",""?00;"", //"""),"'","""")</f>
        <v>082, 19400213, 1,   60, 00</v>
      </c>
    </row>
    <row r="778" spans="1:1" x14ac:dyDescent="0.25">
      <c r="A778" s="25" t="str">
        <f ca="1">TEXT(Regen!A778,"000\,")&amp;TEXT(Regen!B778,"?00000000")&amp;TEXT(Regen!C778,""",""?0")&amp;SUBSTITUTE(TEXT(Regen!D778,""",""????0;"",""???-0;"",""????0;"", ////"""),"'","""")&amp;SUBSTITUTE(TEXT(Regen!E778,""",""?00;"",""?-00;"",""?00;"", //"""),"'","""")</f>
        <v>082, 19400214, 1,    0, 00</v>
      </c>
    </row>
    <row r="779" spans="1:1" x14ac:dyDescent="0.25">
      <c r="A779" s="25" t="str">
        <f ca="1">TEXT(Regen!A779,"000\,")&amp;TEXT(Regen!B779,"?00000000")&amp;TEXT(Regen!C779,""",""?0")&amp;SUBSTITUTE(TEXT(Regen!D779,""",""????0;"",""???-0;"",""????0;"", ////"""),"'","""")&amp;SUBSTITUTE(TEXT(Regen!E779,""",""?00;"",""?-00;"",""?00;"", //"""),"'","""")</f>
        <v>082, 19400215, 1,    0, 00</v>
      </c>
    </row>
    <row r="780" spans="1:1" x14ac:dyDescent="0.25">
      <c r="A780" s="25" t="str">
        <f ca="1">TEXT(Regen!A780,"000\,")&amp;TEXT(Regen!B780,"?00000000")&amp;TEXT(Regen!C780,""",""?0")&amp;SUBSTITUTE(TEXT(Regen!D780,""",""????0;"",""???-0;"",""????0;"", ////"""),"'","""")&amp;SUBSTITUTE(TEXT(Regen!E780,""",""?00;"",""?-00;"",""?00;"", //"""),"'","""")</f>
        <v>082, 19400216, 1,    0, 00</v>
      </c>
    </row>
    <row r="781" spans="1:1" x14ac:dyDescent="0.25">
      <c r="A781" s="25" t="str">
        <f ca="1">TEXT(Regen!A781,"000\,")&amp;TEXT(Regen!B781,"?00000000")&amp;TEXT(Regen!C781,""",""?0")&amp;SUBSTITUTE(TEXT(Regen!D781,""",""????0;"",""???-0;"",""????0;"", ////"""),"'","""")&amp;SUBSTITUTE(TEXT(Regen!E781,""",""?00;"",""?-00;"",""?00;"", //"""),"'","""")</f>
        <v>082, 19400217, 1,   60, 00</v>
      </c>
    </row>
    <row r="782" spans="1:1" x14ac:dyDescent="0.25">
      <c r="A782" s="25" t="str">
        <f ca="1">TEXT(Regen!A782,"000\,")&amp;TEXT(Regen!B782,"?00000000")&amp;TEXT(Regen!C782,""",""?0")&amp;SUBSTITUTE(TEXT(Regen!D782,""",""????0;"",""???-0;"",""????0;"", ////"""),"'","""")&amp;SUBSTITUTE(TEXT(Regen!E782,""",""?00;"",""?-00;"",""?00;"", //"""),"'","""")</f>
        <v>082, 19400218, 1,    0, 00</v>
      </c>
    </row>
    <row r="783" spans="1:1" x14ac:dyDescent="0.25">
      <c r="A783" s="25" t="str">
        <f ca="1">TEXT(Regen!A783,"000\,")&amp;TEXT(Regen!B783,"?00000000")&amp;TEXT(Regen!C783,""",""?0")&amp;SUBSTITUTE(TEXT(Regen!D783,""",""????0;"",""???-0;"",""????0;"", ////"""),"'","""")&amp;SUBSTITUTE(TEXT(Regen!E783,""",""?00;"",""?-00;"",""?00;"", //"""),"'","""")</f>
        <v>082, 19400219, 1,    0, 00</v>
      </c>
    </row>
    <row r="784" spans="1:1" x14ac:dyDescent="0.25">
      <c r="A784" s="25" t="str">
        <f ca="1">TEXT(Regen!A784,"000\,")&amp;TEXT(Regen!B784,"?00000000")&amp;TEXT(Regen!C784,""",""?0")&amp;SUBSTITUTE(TEXT(Regen!D784,""",""????0;"",""???-0;"",""????0;"", ////"""),"'","""")&amp;SUBSTITUTE(TEXT(Regen!E784,""",""?00;"",""?-00;"",""?00;"", //"""),"'","""")</f>
        <v>082, 19400220, 1,   35, 00</v>
      </c>
    </row>
    <row r="785" spans="1:1" x14ac:dyDescent="0.25">
      <c r="A785" s="25" t="str">
        <f ca="1">TEXT(Regen!A785,"000\,")&amp;TEXT(Regen!B785,"?00000000")&amp;TEXT(Regen!C785,""",""?0")&amp;SUBSTITUTE(TEXT(Regen!D785,""",""????0;"",""???-0;"",""????0;"", ////"""),"'","""")&amp;SUBSTITUTE(TEXT(Regen!E785,""",""?00;"",""?-00;"",""?00;"", //"""),"'","""")</f>
        <v>082, 19400221, 1,    0, 00</v>
      </c>
    </row>
    <row r="786" spans="1:1" x14ac:dyDescent="0.25">
      <c r="A786" s="25" t="str">
        <f ca="1">TEXT(Regen!A786,"000\,")&amp;TEXT(Regen!B786,"?00000000")&amp;TEXT(Regen!C786,""",""?0")&amp;SUBSTITUTE(TEXT(Regen!D786,""",""????0;"",""???-0;"",""????0;"", ////"""),"'","""")&amp;SUBSTITUTE(TEXT(Regen!E786,""",""?00;"",""?-00;"",""?00;"", //"""),"'","""")</f>
        <v>082, 19400222, 1,    0, 00</v>
      </c>
    </row>
    <row r="787" spans="1:1" x14ac:dyDescent="0.25">
      <c r="A787" s="25" t="str">
        <f ca="1">TEXT(Regen!A787,"000\,")&amp;TEXT(Regen!B787,"?00000000")&amp;TEXT(Regen!C787,""",""?0")&amp;SUBSTITUTE(TEXT(Regen!D787,""",""????0;"",""???-0;"",""????0;"", ////"""),"'","""")&amp;SUBSTITUTE(TEXT(Regen!E787,""",""?00;"",""?-00;"",""?00;"", //"""),"'","""")</f>
        <v>082, 19400223, 1,    0, 00</v>
      </c>
    </row>
    <row r="788" spans="1:1" x14ac:dyDescent="0.25">
      <c r="A788" s="25" t="str">
        <f ca="1">TEXT(Regen!A788,"000\,")&amp;TEXT(Regen!B788,"?00000000")&amp;TEXT(Regen!C788,""",""?0")&amp;SUBSTITUTE(TEXT(Regen!D788,""",""????0;"",""???-0;"",""????0;"", ////"""),"'","""")&amp;SUBSTITUTE(TEXT(Regen!E788,""",""?00;"",""?-00;"",""?00;"", //"""),"'","""")</f>
        <v>082, 19400224, 1,    0, 00</v>
      </c>
    </row>
    <row r="789" spans="1:1" x14ac:dyDescent="0.25">
      <c r="A789" s="25" t="str">
        <f ca="1">TEXT(Regen!A789,"000\,")&amp;TEXT(Regen!B789,"?00000000")&amp;TEXT(Regen!C789,""",""?0")&amp;SUBSTITUTE(TEXT(Regen!D789,""",""????0;"",""???-0;"",""????0;"", ////"""),"'","""")&amp;SUBSTITUTE(TEXT(Regen!E789,""",""?00;"",""?-00;"",""?00;"", //"""),"'","""")</f>
        <v>082, 19400225, 1,    0, 00</v>
      </c>
    </row>
    <row r="790" spans="1:1" x14ac:dyDescent="0.25">
      <c r="A790" s="25" t="str">
        <f ca="1">TEXT(Regen!A790,"000\,")&amp;TEXT(Regen!B790,"?00000000")&amp;TEXT(Regen!C790,""",""?0")&amp;SUBSTITUTE(TEXT(Regen!D790,""",""????0;"",""???-0;"",""????0;"", ////"""),"'","""")&amp;SUBSTITUTE(TEXT(Regen!E790,""",""?00;"",""?-00;"",""?00;"", //"""),"'","""")</f>
        <v>082, 19400226, 1,    0, 00</v>
      </c>
    </row>
    <row r="791" spans="1:1" x14ac:dyDescent="0.25">
      <c r="A791" s="25" t="str">
        <f ca="1">TEXT(Regen!A791,"000\,")&amp;TEXT(Regen!B791,"?00000000")&amp;TEXT(Regen!C791,""",""?0")&amp;SUBSTITUTE(TEXT(Regen!D791,""",""????0;"",""???-0;"",""????0;"", ////"""),"'","""")&amp;SUBSTITUTE(TEXT(Regen!E791,""",""?00;"",""?-00;"",""?00;"", //"""),"'","""")</f>
        <v>082, 19400227, 1,    0, 00</v>
      </c>
    </row>
    <row r="792" spans="1:1" x14ac:dyDescent="0.25">
      <c r="A792" s="25" t="str">
        <f ca="1">TEXT(Regen!A792,"000\,")&amp;TEXT(Regen!B792,"?00000000")&amp;TEXT(Regen!C792,""",""?0")&amp;SUBSTITUTE(TEXT(Regen!D792,""",""????0;"",""???-0;"",""????0;"", ////"""),"'","""")&amp;SUBSTITUTE(TEXT(Regen!E792,""",""?00;"",""?-00;"",""?00;"", //"""),"'","""")</f>
        <v>082, 19400228, 1,   95, 00</v>
      </c>
    </row>
    <row r="793" spans="1:1" x14ac:dyDescent="0.25">
      <c r="A793" s="25" t="str">
        <f ca="1">TEXT(Regen!A793,"000\,")&amp;TEXT(Regen!B793,"?00000000")&amp;TEXT(Regen!C793,""",""?0")&amp;SUBSTITUTE(TEXT(Regen!D793,""",""????0;"",""???-0;"",""????0;"", ////"""),"'","""")&amp;SUBSTITUTE(TEXT(Regen!E793,""",""?00;"",""?-00;"",""?00;"", //"""),"'","""")</f>
        <v>082, 19400229, 1,  110, 00</v>
      </c>
    </row>
    <row r="794" spans="1:1" x14ac:dyDescent="0.25">
      <c r="A794" s="25" t="str">
        <f ca="1">TEXT(Regen!A794,"000\,")&amp;TEXT(Regen!B794,"?00000000")&amp;TEXT(Regen!C794,""",""?0")&amp;SUBSTITUTE(TEXT(Regen!D794,""",""????0;"",""???-0;"",""????0;"", ////"""),"'","""")&amp;SUBSTITUTE(TEXT(Regen!E794,""",""?00;"",""?-00;"",""?00;"", //"""),"'","""")</f>
        <v>082, 19400301, 1,   50, 00</v>
      </c>
    </row>
    <row r="795" spans="1:1" x14ac:dyDescent="0.25">
      <c r="A795" s="25" t="str">
        <f ca="1">TEXT(Regen!A795,"000\,")&amp;TEXT(Regen!B795,"?00000000")&amp;TEXT(Regen!C795,""",""?0")&amp;SUBSTITUTE(TEXT(Regen!D795,""",""????0;"",""???-0;"",""????0;"", ////"""),"'","""")&amp;SUBSTITUTE(TEXT(Regen!E795,""",""?00;"",""?-00;"",""?00;"", //"""),"'","""")</f>
        <v>082, 19400302, 1,    0, 00</v>
      </c>
    </row>
    <row r="796" spans="1:1" x14ac:dyDescent="0.25">
      <c r="A796" s="25" t="str">
        <f ca="1">TEXT(Regen!A796,"000\,")&amp;TEXT(Regen!B796,"?00000000")&amp;TEXT(Regen!C796,""",""?0")&amp;SUBSTITUTE(TEXT(Regen!D796,""",""????0;"",""???-0;"",""????0;"", ////"""),"'","""")&amp;SUBSTITUTE(TEXT(Regen!E796,""",""?00;"",""?-00;"",""?00;"", //"""),"'","""")</f>
        <v>082, 19400303, 1,    0, 00</v>
      </c>
    </row>
    <row r="797" spans="1:1" x14ac:dyDescent="0.25">
      <c r="A797" s="25" t="str">
        <f ca="1">TEXT(Regen!A797,"000\,")&amp;TEXT(Regen!B797,"?00000000")&amp;TEXT(Regen!C797,""",""?0")&amp;SUBSTITUTE(TEXT(Regen!D797,""",""????0;"",""???-0;"",""????0;"", ////"""),"'","""")&amp;SUBSTITUTE(TEXT(Regen!E797,""",""?00;"",""?-00;"",""?00;"", //"""),"'","""")</f>
        <v>082, 19400304, 1,    0, 00</v>
      </c>
    </row>
    <row r="798" spans="1:1" x14ac:dyDescent="0.25">
      <c r="A798" s="25" t="str">
        <f ca="1">TEXT(Regen!A798,"000\,")&amp;TEXT(Regen!B798,"?00000000")&amp;TEXT(Regen!C798,""",""?0")&amp;SUBSTITUTE(TEXT(Regen!D798,""",""????0;"",""???-0;"",""????0;"", ////"""),"'","""")&amp;SUBSTITUTE(TEXT(Regen!E798,""",""?00;"",""?-00;"",""?00;"", //"""),"'","""")</f>
        <v>082, 19400305, 1,    0, 00</v>
      </c>
    </row>
    <row r="799" spans="1:1" x14ac:dyDescent="0.25">
      <c r="A799" s="25" t="str">
        <f ca="1">TEXT(Regen!A799,"000\,")&amp;TEXT(Regen!B799,"?00000000")&amp;TEXT(Regen!C799,""",""?0")&amp;SUBSTITUTE(TEXT(Regen!D799,""",""????0;"",""???-0;"",""????0;"", ////"""),"'","""")&amp;SUBSTITUTE(TEXT(Regen!E799,""",""?00;"",""?-00;"",""?00;"", //"""),"'","""")</f>
        <v>082, 19400306, 1,    0, 00</v>
      </c>
    </row>
    <row r="800" spans="1:1" x14ac:dyDescent="0.25">
      <c r="A800" s="25" t="str">
        <f ca="1">TEXT(Regen!A800,"000\,")&amp;TEXT(Regen!B800,"?00000000")&amp;TEXT(Regen!C800,""",""?0")&amp;SUBSTITUTE(TEXT(Regen!D800,""",""????0;"",""???-0;"",""????0;"", ////"""),"'","""")&amp;SUBSTITUTE(TEXT(Regen!E800,""",""?00;"",""?-00;"",""?00;"", //"""),"'","""")</f>
        <v>082, 19400307, 1,    0, 00</v>
      </c>
    </row>
    <row r="801" spans="1:1" x14ac:dyDescent="0.25">
      <c r="A801" s="25" t="str">
        <f ca="1">TEXT(Regen!A801,"000\,")&amp;TEXT(Regen!B801,"?00000000")&amp;TEXT(Regen!C801,""",""?0")&amp;SUBSTITUTE(TEXT(Regen!D801,""",""????0;"",""???-0;"",""????0;"", ////"""),"'","""")&amp;SUBSTITUTE(TEXT(Regen!E801,""",""?00;"",""?-00;"",""?00;"", //"""),"'","""")</f>
        <v>082, 19400308, 1,    0, 00</v>
      </c>
    </row>
    <row r="802" spans="1:1" x14ac:dyDescent="0.25">
      <c r="A802" s="25" t="str">
        <f ca="1">TEXT(Regen!A802,"000\,")&amp;TEXT(Regen!B802,"?00000000")&amp;TEXT(Regen!C802,""",""?0")&amp;SUBSTITUTE(TEXT(Regen!D802,""",""????0;"",""???-0;"",""????0;"", ////"""),"'","""")&amp;SUBSTITUTE(TEXT(Regen!E802,""",""?00;"",""?-00;"",""?00;"", //"""),"'","""")</f>
        <v>082, 19400309, 1,   75, 00</v>
      </c>
    </row>
    <row r="803" spans="1:1" x14ac:dyDescent="0.25">
      <c r="A803" s="25" t="str">
        <f ca="1">TEXT(Regen!A803,"000\,")&amp;TEXT(Regen!B803,"?00000000")&amp;TEXT(Regen!C803,""",""?0")&amp;SUBSTITUTE(TEXT(Regen!D803,""",""????0;"",""???-0;"",""????0;"", ////"""),"'","""")&amp;SUBSTITUTE(TEXT(Regen!E803,""",""?00;"",""?-00;"",""?00;"", //"""),"'","""")</f>
        <v>082, 19400310, 1,  100, 00</v>
      </c>
    </row>
    <row r="804" spans="1:1" x14ac:dyDescent="0.25">
      <c r="A804" s="25" t="str">
        <f ca="1">TEXT(Regen!A804,"000\,")&amp;TEXT(Regen!B804,"?00000000")&amp;TEXT(Regen!C804,""",""?0")&amp;SUBSTITUTE(TEXT(Regen!D804,""",""????0;"",""???-0;"",""????0;"", ////"""),"'","""")&amp;SUBSTITUTE(TEXT(Regen!E804,""",""?00;"",""?-00;"",""?00;"", //"""),"'","""")</f>
        <v>082, 19400311, 1,   70, 00</v>
      </c>
    </row>
    <row r="805" spans="1:1" x14ac:dyDescent="0.25">
      <c r="A805" s="25" t="str">
        <f ca="1">TEXT(Regen!A805,"000\,")&amp;TEXT(Regen!B805,"?00000000")&amp;TEXT(Regen!C805,""",""?0")&amp;SUBSTITUTE(TEXT(Regen!D805,""",""????0;"",""???-0;"",""????0;"", ////"""),"'","""")&amp;SUBSTITUTE(TEXT(Regen!E805,""",""?00;"",""?-00;"",""?00;"", //"""),"'","""")</f>
        <v>082, 19400312, 1,   20, 00</v>
      </c>
    </row>
    <row r="806" spans="1:1" x14ac:dyDescent="0.25">
      <c r="A806" s="25" t="str">
        <f ca="1">TEXT(Regen!A806,"000\,")&amp;TEXT(Regen!B806,"?00000000")&amp;TEXT(Regen!C806,""",""?0")&amp;SUBSTITUTE(TEXT(Regen!D806,""",""????0;"",""???-0;"",""????0;"", ////"""),"'","""")&amp;SUBSTITUTE(TEXT(Regen!E806,""",""?00;"",""?-00;"",""?00;"", //"""),"'","""")</f>
        <v>082, 19400313, 1,    0, 00</v>
      </c>
    </row>
    <row r="807" spans="1:1" x14ac:dyDescent="0.25">
      <c r="A807" s="25" t="str">
        <f ca="1">TEXT(Regen!A807,"000\,")&amp;TEXT(Regen!B807,"?00000000")&amp;TEXT(Regen!C807,""",""?0")&amp;SUBSTITUTE(TEXT(Regen!D807,""",""????0;"",""???-0;"",""????0;"", ////"""),"'","""")&amp;SUBSTITUTE(TEXT(Regen!E807,""",""?00;"",""?-00;"",""?00;"", //"""),"'","""")</f>
        <v>082, 19400314, 1,    0, 00</v>
      </c>
    </row>
    <row r="808" spans="1:1" x14ac:dyDescent="0.25">
      <c r="A808" s="25" t="str">
        <f ca="1">TEXT(Regen!A808,"000\,")&amp;TEXT(Regen!B808,"?00000000")&amp;TEXT(Regen!C808,""",""?0")&amp;SUBSTITUTE(TEXT(Regen!D808,""",""????0;"",""???-0;"",""????0;"", ////"""),"'","""")&amp;SUBSTITUTE(TEXT(Regen!E808,""",""?00;"",""?-00;"",""?00;"", //"""),"'","""")</f>
        <v>082, 19400315, 1,    0, 00</v>
      </c>
    </row>
    <row r="809" spans="1:1" x14ac:dyDescent="0.25">
      <c r="A809" s="25" t="str">
        <f ca="1">TEXT(Regen!A809,"000\,")&amp;TEXT(Regen!B809,"?00000000")&amp;TEXT(Regen!C809,""",""?0")&amp;SUBSTITUTE(TEXT(Regen!D809,""",""????0;"",""???-0;"",""????0;"", ////"""),"'","""")&amp;SUBSTITUTE(TEXT(Regen!E809,""",""?00;"",""?-00;"",""?00;"", //"""),"'","""")</f>
        <v>082, 19400316, 1,   25, 00</v>
      </c>
    </row>
    <row r="810" spans="1:1" x14ac:dyDescent="0.25">
      <c r="A810" s="25" t="str">
        <f ca="1">TEXT(Regen!A810,"000\,")&amp;TEXT(Regen!B810,"?00000000")&amp;TEXT(Regen!C810,""",""?0")&amp;SUBSTITUTE(TEXT(Regen!D810,""",""????0;"",""???-0;"",""????0;"", ////"""),"'","""")&amp;SUBSTITUTE(TEXT(Regen!E810,""",""?00;"",""?-00;"",""?00;"", //"""),"'","""")</f>
        <v>082, 19400317, 1,    0, 00</v>
      </c>
    </row>
    <row r="811" spans="1:1" x14ac:dyDescent="0.25">
      <c r="A811" s="25" t="str">
        <f ca="1">TEXT(Regen!A811,"000\,")&amp;TEXT(Regen!B811,"?00000000")&amp;TEXT(Regen!C811,""",""?0")&amp;SUBSTITUTE(TEXT(Regen!D811,""",""????0;"",""???-0;"",""????0;"", ////"""),"'","""")&amp;SUBSTITUTE(TEXT(Regen!E811,""",""?00;"",""?-00;"",""?00;"", //"""),"'","""")</f>
        <v>082, 19400318, 1,    0, 00</v>
      </c>
    </row>
    <row r="812" spans="1:1" x14ac:dyDescent="0.25">
      <c r="A812" s="25" t="str">
        <f ca="1">TEXT(Regen!A812,"000\,")&amp;TEXT(Regen!B812,"?00000000")&amp;TEXT(Regen!C812,""",""?0")&amp;SUBSTITUTE(TEXT(Regen!D812,""",""????0;"",""???-0;"",""????0;"", ////"""),"'","""")&amp;SUBSTITUTE(TEXT(Regen!E812,""",""?00;"",""?-00;"",""?00;"", //"""),"'","""")</f>
        <v>082, 19400319, 1,    0, 00</v>
      </c>
    </row>
    <row r="813" spans="1:1" x14ac:dyDescent="0.25">
      <c r="A813" s="25" t="str">
        <f ca="1">TEXT(Regen!A813,"000\,")&amp;TEXT(Regen!B813,"?00000000")&amp;TEXT(Regen!C813,""",""?0")&amp;SUBSTITUTE(TEXT(Regen!D813,""",""????0;"",""???-0;"",""????0;"", ////"""),"'","""")&amp;SUBSTITUTE(TEXT(Regen!E813,""",""?00;"",""?-00;"",""?00;"", //"""),"'","""")</f>
        <v>082, 19400320, 1,    0, 00</v>
      </c>
    </row>
    <row r="814" spans="1:1" x14ac:dyDescent="0.25">
      <c r="A814" s="25" t="str">
        <f ca="1">TEXT(Regen!A814,"000\,")&amp;TEXT(Regen!B814,"?00000000")&amp;TEXT(Regen!C814,""",""?0")&amp;SUBSTITUTE(TEXT(Regen!D814,""",""????0;"",""???-0;"",""????0;"", ////"""),"'","""")&amp;SUBSTITUTE(TEXT(Regen!E814,""",""?00;"",""?-00;"",""?00;"", //"""),"'","""")</f>
        <v>082, 19400321, 1,    0, 00</v>
      </c>
    </row>
    <row r="815" spans="1:1" x14ac:dyDescent="0.25">
      <c r="A815" s="25" t="str">
        <f ca="1">TEXT(Regen!A815,"000\,")&amp;TEXT(Regen!B815,"?00000000")&amp;TEXT(Regen!C815,""",""?0")&amp;SUBSTITUTE(TEXT(Regen!D815,""",""????0;"",""???-0;"",""????0;"", ////"""),"'","""")&amp;SUBSTITUTE(TEXT(Regen!E815,""",""?00;"",""?-00;"",""?00;"", //"""),"'","""")</f>
        <v>082, 19400322, 1,    0, 00</v>
      </c>
    </row>
    <row r="816" spans="1:1" x14ac:dyDescent="0.25">
      <c r="A816" s="25" t="str">
        <f ca="1">TEXT(Regen!A816,"000\,")&amp;TEXT(Regen!B816,"?00000000")&amp;TEXT(Regen!C816,""",""?0")&amp;SUBSTITUTE(TEXT(Regen!D816,""",""????0;"",""???-0;"",""????0;"", ////"""),"'","""")&amp;SUBSTITUTE(TEXT(Regen!E816,""",""?00;"",""?-00;"",""?00;"", //"""),"'","""")</f>
        <v>082, 19400323, 1,    0, 00</v>
      </c>
    </row>
    <row r="817" spans="1:1" x14ac:dyDescent="0.25">
      <c r="A817" s="25" t="str">
        <f ca="1">TEXT(Regen!A817,"000\,")&amp;TEXT(Regen!B817,"?00000000")&amp;TEXT(Regen!C817,""",""?0")&amp;SUBSTITUTE(TEXT(Regen!D817,""",""????0;"",""???-0;"",""????0;"", ////"""),"'","""")&amp;SUBSTITUTE(TEXT(Regen!E817,""",""?00;"",""?-00;"",""?00;"", //"""),"'","""")</f>
        <v>082, 19400324, 1,   20, 00</v>
      </c>
    </row>
    <row r="818" spans="1:1" x14ac:dyDescent="0.25">
      <c r="A818" s="25" t="str">
        <f ca="1">TEXT(Regen!A818,"000\,")&amp;TEXT(Regen!B818,"?00000000")&amp;TEXT(Regen!C818,""",""?0")&amp;SUBSTITUTE(TEXT(Regen!D818,""",""????0;"",""???-0;"",""????0;"", ////"""),"'","""")&amp;SUBSTITUTE(TEXT(Regen!E818,""",""?00;"",""?-00;"",""?00;"", //"""),"'","""")</f>
        <v>082, 19400325, 1,    0, 00</v>
      </c>
    </row>
    <row r="819" spans="1:1" x14ac:dyDescent="0.25">
      <c r="A819" s="25" t="str">
        <f ca="1">TEXT(Regen!A819,"000\,")&amp;TEXT(Regen!B819,"?00000000")&amp;TEXT(Regen!C819,""",""?0")&amp;SUBSTITUTE(TEXT(Regen!D819,""",""????0;"",""???-0;"",""????0;"", ////"""),"'","""")&amp;SUBSTITUTE(TEXT(Regen!E819,""",""?00;"",""?-00;"",""?00;"", //"""),"'","""")</f>
        <v>082, 19400326, 1,   20, 00</v>
      </c>
    </row>
    <row r="820" spans="1:1" x14ac:dyDescent="0.25">
      <c r="A820" s="25" t="str">
        <f ca="1">TEXT(Regen!A820,"000\,")&amp;TEXT(Regen!B820,"?00000000")&amp;TEXT(Regen!C820,""",""?0")&amp;SUBSTITUTE(TEXT(Regen!D820,""",""????0;"",""???-0;"",""????0;"", ////"""),"'","""")&amp;SUBSTITUTE(TEXT(Regen!E820,""",""?00;"",""?-00;"",""?00;"", //"""),"'","""")</f>
        <v>082, 19400327, 1,    0, 00</v>
      </c>
    </row>
    <row r="821" spans="1:1" x14ac:dyDescent="0.25">
      <c r="A821" s="25" t="str">
        <f ca="1">TEXT(Regen!A821,"000\,")&amp;TEXT(Regen!B821,"?00000000")&amp;TEXT(Regen!C821,""",""?0")&amp;SUBSTITUTE(TEXT(Regen!D821,""",""????0;"",""???-0;"",""????0;"", ////"""),"'","""")&amp;SUBSTITUTE(TEXT(Regen!E821,""",""?00;"",""?-00;"",""?00;"", //"""),"'","""")</f>
        <v>082, 19400328, 1,    0, 00</v>
      </c>
    </row>
    <row r="822" spans="1:1" x14ac:dyDescent="0.25">
      <c r="A822" s="25" t="str">
        <f ca="1">TEXT(Regen!A822,"000\,")&amp;TEXT(Regen!B822,"?00000000")&amp;TEXT(Regen!C822,""",""?0")&amp;SUBSTITUTE(TEXT(Regen!D822,""",""????0;"",""???-0;"",""????0;"", ////"""),"'","""")&amp;SUBSTITUTE(TEXT(Regen!E822,""",""?00;"",""?-00;"",""?00;"", //"""),"'","""")</f>
        <v>082, 19400329, 1,    0, 00</v>
      </c>
    </row>
    <row r="823" spans="1:1" x14ac:dyDescent="0.25">
      <c r="A823" s="25" t="str">
        <f ca="1">TEXT(Regen!A823,"000\,")&amp;TEXT(Regen!B823,"?00000000")&amp;TEXT(Regen!C823,""",""?0")&amp;SUBSTITUTE(TEXT(Regen!D823,""",""????0;"",""???-0;"",""????0;"", ////"""),"'","""")&amp;SUBSTITUTE(TEXT(Regen!E823,""",""?00;"",""?-00;"",""?00;"", //"""),"'","""")</f>
        <v>082, 19400330, 1,    0, 00</v>
      </c>
    </row>
    <row r="824" spans="1:1" x14ac:dyDescent="0.25">
      <c r="A824" s="25" t="str">
        <f ca="1">TEXT(Regen!A824,"000\,")&amp;TEXT(Regen!B824,"?00000000")&amp;TEXT(Regen!C824,""",""?0")&amp;SUBSTITUTE(TEXT(Regen!D824,""",""????0;"",""???-0;"",""????0;"", ////"""),"'","""")&amp;SUBSTITUTE(TEXT(Regen!E824,""",""?00;"",""?-00;"",""?00;"", //"""),"'","""")</f>
        <v>082, 19400331, 1,   15, 00</v>
      </c>
    </row>
    <row r="825" spans="1:1" x14ac:dyDescent="0.25">
      <c r="A825" s="25" t="str">
        <f ca="1">TEXT(Regen!A825,"000\,")&amp;TEXT(Regen!B825,"?00000000")&amp;TEXT(Regen!C825,""",""?0")&amp;SUBSTITUTE(TEXT(Regen!D825,""",""????0;"",""???-0;"",""????0;"", ////"""),"'","""")&amp;SUBSTITUTE(TEXT(Regen!E825,""",""?00;"",""?-00;"",""?00;"", //"""),"'","""")</f>
        <v>082, 19400401, 1,    0, 00</v>
      </c>
    </row>
    <row r="826" spans="1:1" x14ac:dyDescent="0.25">
      <c r="A826" s="25" t="str">
        <f ca="1">TEXT(Regen!A826,"000\,")&amp;TEXT(Regen!B826,"?00000000")&amp;TEXT(Regen!C826,""",""?0")&amp;SUBSTITUTE(TEXT(Regen!D826,""",""????0;"",""???-0;"",""????0;"", ////"""),"'","""")&amp;SUBSTITUTE(TEXT(Regen!E826,""",""?00;"",""?-00;"",""?00;"", //"""),"'","""")</f>
        <v>082, 19400402, 1,    0, 00</v>
      </c>
    </row>
    <row r="827" spans="1:1" x14ac:dyDescent="0.25">
      <c r="A827" s="25" t="str">
        <f ca="1">TEXT(Regen!A827,"000\,")&amp;TEXT(Regen!B827,"?00000000")&amp;TEXT(Regen!C827,""",""?0")&amp;SUBSTITUTE(TEXT(Regen!D827,""",""????0;"",""???-0;"",""????0;"", ////"""),"'","""")&amp;SUBSTITUTE(TEXT(Regen!E827,""",""?00;"",""?-00;"",""?00;"", //"""),"'","""")</f>
        <v>082, 19400403, 1,    0, 00</v>
      </c>
    </row>
    <row r="828" spans="1:1" x14ac:dyDescent="0.25">
      <c r="A828" s="25" t="str">
        <f ca="1">TEXT(Regen!A828,"000\,")&amp;TEXT(Regen!B828,"?00000000")&amp;TEXT(Regen!C828,""",""?0")&amp;SUBSTITUTE(TEXT(Regen!D828,""",""????0;"",""???-0;"",""????0;"", ////"""),"'","""")&amp;SUBSTITUTE(TEXT(Regen!E828,""",""?00;"",""?-00;"",""?00;"", //"""),"'","""")</f>
        <v>082, 19400404, 1,    0, 00</v>
      </c>
    </row>
    <row r="829" spans="1:1" x14ac:dyDescent="0.25">
      <c r="A829" s="25" t="str">
        <f ca="1">TEXT(Regen!A829,"000\,")&amp;TEXT(Regen!B829,"?00000000")&amp;TEXT(Regen!C829,""",""?0")&amp;SUBSTITUTE(TEXT(Regen!D829,""",""????0;"",""???-0;"",""????0;"", ////"""),"'","""")&amp;SUBSTITUTE(TEXT(Regen!E829,""",""?00;"",""?-00;"",""?00;"", //"""),"'","""")</f>
        <v>082, 19400405, 1,    0, 00</v>
      </c>
    </row>
    <row r="830" spans="1:1" x14ac:dyDescent="0.25">
      <c r="A830" s="25" t="str">
        <f ca="1">TEXT(Regen!A830,"000\,")&amp;TEXT(Regen!B830,"?00000000")&amp;TEXT(Regen!C830,""",""?0")&amp;SUBSTITUTE(TEXT(Regen!D830,""",""????0;"",""???-0;"",""????0;"", ////"""),"'","""")&amp;SUBSTITUTE(TEXT(Regen!E830,""",""?00;"",""?-00;"",""?00;"", //"""),"'","""")</f>
        <v>082, 19400406, 1,   10, 00</v>
      </c>
    </row>
    <row r="831" spans="1:1" x14ac:dyDescent="0.25">
      <c r="A831" s="25" t="str">
        <f ca="1">TEXT(Regen!A831,"000\,")&amp;TEXT(Regen!B831,"?00000000")&amp;TEXT(Regen!C831,""",""?0")&amp;SUBSTITUTE(TEXT(Regen!D831,""",""????0;"",""???-0;"",""????0;"", ////"""),"'","""")&amp;SUBSTITUTE(TEXT(Regen!E831,""",""?00;"",""?-00;"",""?00;"", //"""),"'","""")</f>
        <v>082, 19400407, 1,    0, 00</v>
      </c>
    </row>
    <row r="832" spans="1:1" x14ac:dyDescent="0.25">
      <c r="A832" s="25" t="str">
        <f ca="1">TEXT(Regen!A832,"000\,")&amp;TEXT(Regen!B832,"?00000000")&amp;TEXT(Regen!C832,""",""?0")&amp;SUBSTITUTE(TEXT(Regen!D832,""",""????0;"",""???-0;"",""????0;"", ////"""),"'","""")&amp;SUBSTITUTE(TEXT(Regen!E832,""",""?00;"",""?-00;"",""?00;"", //"""),"'","""")</f>
        <v>082, 19400408, 1,   25, 00</v>
      </c>
    </row>
    <row r="833" spans="1:1" x14ac:dyDescent="0.25">
      <c r="A833" s="25" t="str">
        <f ca="1">TEXT(Regen!A833,"000\,")&amp;TEXT(Regen!B833,"?00000000")&amp;TEXT(Regen!C833,""",""?0")&amp;SUBSTITUTE(TEXT(Regen!D833,""",""????0;"",""???-0;"",""????0;"", ////"""),"'","""")&amp;SUBSTITUTE(TEXT(Regen!E833,""",""?00;"",""?-00;"",""?00;"", //"""),"'","""")</f>
        <v>082, 19400409, 1,    0, 00</v>
      </c>
    </row>
    <row r="834" spans="1:1" x14ac:dyDescent="0.25">
      <c r="A834" s="25" t="str">
        <f ca="1">TEXT(Regen!A834,"000\,")&amp;TEXT(Regen!B834,"?00000000")&amp;TEXT(Regen!C834,""",""?0")&amp;SUBSTITUTE(TEXT(Regen!D834,""",""????0;"",""???-0;"",""????0;"", ////"""),"'","""")&amp;SUBSTITUTE(TEXT(Regen!E834,""",""?00;"",""?-00;"",""?00;"", //"""),"'","""")</f>
        <v>082, 19400410, 1,   15, 00</v>
      </c>
    </row>
    <row r="835" spans="1:1" x14ac:dyDescent="0.25">
      <c r="A835" s="25" t="str">
        <f ca="1">TEXT(Regen!A835,"000\,")&amp;TEXT(Regen!B835,"?00000000")&amp;TEXT(Regen!C835,""",""?0")&amp;SUBSTITUTE(TEXT(Regen!D835,""",""????0;"",""???-0;"",""????0;"", ////"""),"'","""")&amp;SUBSTITUTE(TEXT(Regen!E835,""",""?00;"",""?-00;"",""?00;"", //"""),"'","""")</f>
        <v>082, 19400411, 1,    0, 00</v>
      </c>
    </row>
    <row r="836" spans="1:1" x14ac:dyDescent="0.25">
      <c r="A836" s="25" t="str">
        <f ca="1">TEXT(Regen!A836,"000\,")&amp;TEXT(Regen!B836,"?00000000")&amp;TEXT(Regen!C836,""",""?0")&amp;SUBSTITUTE(TEXT(Regen!D836,""",""????0;"",""???-0;"",""????0;"", ////"""),"'","""")&amp;SUBSTITUTE(TEXT(Regen!E836,""",""?00;"",""?-00;"",""?00;"", //"""),"'","""")</f>
        <v>082, 19400412, 1,    0, 00</v>
      </c>
    </row>
    <row r="837" spans="1:1" x14ac:dyDescent="0.25">
      <c r="A837" s="25" t="str">
        <f ca="1">TEXT(Regen!A837,"000\,")&amp;TEXT(Regen!B837,"?00000000")&amp;TEXT(Regen!C837,""",""?0")&amp;SUBSTITUTE(TEXT(Regen!D837,""",""????0;"",""???-0;"",""????0;"", ////"""),"'","""")&amp;SUBSTITUTE(TEXT(Regen!E837,""",""?00;"",""?-00;"",""?00;"", //"""),"'","""")</f>
        <v>082, 19400413, 1,    0, 00</v>
      </c>
    </row>
    <row r="838" spans="1:1" x14ac:dyDescent="0.25">
      <c r="A838" s="25" t="str">
        <f ca="1">TEXT(Regen!A838,"000\,")&amp;TEXT(Regen!B838,"?00000000")&amp;TEXT(Regen!C838,""",""?0")&amp;SUBSTITUTE(TEXT(Regen!D838,""",""????0;"",""???-0;"",""????0;"", ////"""),"'","""")&amp;SUBSTITUTE(TEXT(Regen!E838,""",""?00;"",""?-00;"",""?00;"", //"""),"'","""")</f>
        <v>082, 19400414, 1,    0, 00</v>
      </c>
    </row>
    <row r="839" spans="1:1" x14ac:dyDescent="0.25">
      <c r="A839" s="25" t="str">
        <f ca="1">TEXT(Regen!A839,"000\,")&amp;TEXT(Regen!B839,"?00000000")&amp;TEXT(Regen!C839,""",""?0")&amp;SUBSTITUTE(TEXT(Regen!D839,""",""????0;"",""???-0;"",""????0;"", ////"""),"'","""")&amp;SUBSTITUTE(TEXT(Regen!E839,""",""?00;"",""?-00;"",""?00;"", //"""),"'","""")</f>
        <v>082, 19400415, 1,    0, 00</v>
      </c>
    </row>
    <row r="840" spans="1:1" x14ac:dyDescent="0.25">
      <c r="A840" s="25" t="str">
        <f ca="1">TEXT(Regen!A840,"000\,")&amp;TEXT(Regen!B840,"?00000000")&amp;TEXT(Regen!C840,""",""?0")&amp;SUBSTITUTE(TEXT(Regen!D840,""",""????0;"",""???-0;"",""????0;"", ////"""),"'","""")&amp;SUBSTITUTE(TEXT(Regen!E840,""",""?00;"",""?-00;"",""?00;"", //"""),"'","""")</f>
        <v>082, 19400416, 1,    0, 00</v>
      </c>
    </row>
    <row r="841" spans="1:1" x14ac:dyDescent="0.25">
      <c r="A841" s="25" t="str">
        <f ca="1">TEXT(Regen!A841,"000\,")&amp;TEXT(Regen!B841,"?00000000")&amp;TEXT(Regen!C841,""",""?0")&amp;SUBSTITUTE(TEXT(Regen!D841,""",""????0;"",""???-0;"",""????0;"", ////"""),"'","""")&amp;SUBSTITUTE(TEXT(Regen!E841,""",""?00;"",""?-00;"",""?00;"", //"""),"'","""")</f>
        <v>082, 19400417, 1,  120, 00</v>
      </c>
    </row>
    <row r="842" spans="1:1" x14ac:dyDescent="0.25">
      <c r="A842" s="25" t="str">
        <f ca="1">TEXT(Regen!A842,"000\,")&amp;TEXT(Regen!B842,"?00000000")&amp;TEXT(Regen!C842,""",""?0")&amp;SUBSTITUTE(TEXT(Regen!D842,""",""????0;"",""???-0;"",""????0;"", ////"""),"'","""")&amp;SUBSTITUTE(TEXT(Regen!E842,""",""?00;"",""?-00;"",""?00;"", //"""),"'","""")</f>
        <v>082, 19400418, 1,   75, 00</v>
      </c>
    </row>
    <row r="843" spans="1:1" x14ac:dyDescent="0.25">
      <c r="A843" s="25" t="str">
        <f ca="1">TEXT(Regen!A843,"000\,")&amp;TEXT(Regen!B843,"?00000000")&amp;TEXT(Regen!C843,""",""?0")&amp;SUBSTITUTE(TEXT(Regen!D843,""",""????0;"",""???-0;"",""????0;"", ////"""),"'","""")&amp;SUBSTITUTE(TEXT(Regen!E843,""",""?00;"",""?-00;"",""?00;"", //"""),"'","""")</f>
        <v>082, 19400419, 1,    0, 00</v>
      </c>
    </row>
    <row r="844" spans="1:1" x14ac:dyDescent="0.25">
      <c r="A844" s="25" t="str">
        <f ca="1">TEXT(Regen!A844,"000\,")&amp;TEXT(Regen!B844,"?00000000")&amp;TEXT(Regen!C844,""",""?0")&amp;SUBSTITUTE(TEXT(Regen!D844,""",""????0;"",""???-0;"",""????0;"", ////"""),"'","""")&amp;SUBSTITUTE(TEXT(Regen!E844,""",""?00;"",""?-00;"",""?00;"", //"""),"'","""")</f>
        <v>082, 19400420, 1,   35, 00</v>
      </c>
    </row>
    <row r="845" spans="1:1" x14ac:dyDescent="0.25">
      <c r="A845" s="25" t="str">
        <f ca="1">TEXT(Regen!A845,"000\,")&amp;TEXT(Regen!B845,"?00000000")&amp;TEXT(Regen!C845,""",""?0")&amp;SUBSTITUTE(TEXT(Regen!D845,""",""????0;"",""???-0;"",""????0;"", ////"""),"'","""")&amp;SUBSTITUTE(TEXT(Regen!E845,""",""?00;"",""?-00;"",""?00;"", //"""),"'","""")</f>
        <v>082, 19400421, 1,   20, 00</v>
      </c>
    </row>
    <row r="846" spans="1:1" x14ac:dyDescent="0.25">
      <c r="A846" s="25" t="str">
        <f ca="1">TEXT(Regen!A846,"000\,")&amp;TEXT(Regen!B846,"?00000000")&amp;TEXT(Regen!C846,""",""?0")&amp;SUBSTITUTE(TEXT(Regen!D846,""",""????0;"",""???-0;"",""????0;"", ////"""),"'","""")&amp;SUBSTITUTE(TEXT(Regen!E846,""",""?00;"",""?-00;"",""?00;"", //"""),"'","""")</f>
        <v>082, 19400422, 1,    0, 00</v>
      </c>
    </row>
    <row r="847" spans="1:1" x14ac:dyDescent="0.25">
      <c r="A847" s="25" t="str">
        <f ca="1">TEXT(Regen!A847,"000\,")&amp;TEXT(Regen!B847,"?00000000")&amp;TEXT(Regen!C847,""",""?0")&amp;SUBSTITUTE(TEXT(Regen!D847,""",""????0;"",""???-0;"",""????0;"", ////"""),"'","""")&amp;SUBSTITUTE(TEXT(Regen!E847,""",""?00;"",""?-00;"",""?00;"", //"""),"'","""")</f>
        <v>082, 19400423, 1,    0, 00</v>
      </c>
    </row>
    <row r="848" spans="1:1" x14ac:dyDescent="0.25">
      <c r="A848" s="25" t="str">
        <f ca="1">TEXT(Regen!A848,"000\,")&amp;TEXT(Regen!B848,"?00000000")&amp;TEXT(Regen!C848,""",""?0")&amp;SUBSTITUTE(TEXT(Regen!D848,""",""????0;"",""???-0;"",""????0;"", ////"""),"'","""")&amp;SUBSTITUTE(TEXT(Regen!E848,""",""?00;"",""?-00;"",""?00;"", //"""),"'","""")</f>
        <v>082, 19400424, 1,    0, 00</v>
      </c>
    </row>
    <row r="849" spans="1:1" x14ac:dyDescent="0.25">
      <c r="A849" s="25" t="str">
        <f ca="1">TEXT(Regen!A849,"000\,")&amp;TEXT(Regen!B849,"?00000000")&amp;TEXT(Regen!C849,""",""?0")&amp;SUBSTITUTE(TEXT(Regen!D849,""",""????0;"",""???-0;"",""????0;"", ////"""),"'","""")&amp;SUBSTITUTE(TEXT(Regen!E849,""",""?00;"",""?-00;"",""?00;"", //"""),"'","""")</f>
        <v>082, 19400425, 1,    0, 00</v>
      </c>
    </row>
    <row r="850" spans="1:1" x14ac:dyDescent="0.25">
      <c r="A850" s="25" t="str">
        <f ca="1">TEXT(Regen!A850,"000\,")&amp;TEXT(Regen!B850,"?00000000")&amp;TEXT(Regen!C850,""",""?0")&amp;SUBSTITUTE(TEXT(Regen!D850,""",""????0;"",""???-0;"",""????0;"", ////"""),"'","""")&amp;SUBSTITUTE(TEXT(Regen!E850,""",""?00;"",""?-00;"",""?00;"", //"""),"'","""")</f>
        <v>082, 19400426, 1,    0, 00</v>
      </c>
    </row>
    <row r="851" spans="1:1" x14ac:dyDescent="0.25">
      <c r="A851" s="25" t="str">
        <f ca="1">TEXT(Regen!A851,"000\,")&amp;TEXT(Regen!B851,"?00000000")&amp;TEXT(Regen!C851,""",""?0")&amp;SUBSTITUTE(TEXT(Regen!D851,""",""????0;"",""???-0;"",""????0;"", ////"""),"'","""")&amp;SUBSTITUTE(TEXT(Regen!E851,""",""?00;"",""?-00;"",""?00;"", //"""),"'","""")</f>
        <v>082, 19400427, 1,    0, 00</v>
      </c>
    </row>
    <row r="852" spans="1:1" x14ac:dyDescent="0.25">
      <c r="A852" s="25" t="str">
        <f ca="1">TEXT(Regen!A852,"000\,")&amp;TEXT(Regen!B852,"?00000000")&amp;TEXT(Regen!C852,""",""?0")&amp;SUBSTITUTE(TEXT(Regen!D852,""",""????0;"",""???-0;"",""????0;"", ////"""),"'","""")&amp;SUBSTITUTE(TEXT(Regen!E852,""",""?00;"",""?-00;"",""?00;"", //"""),"'","""")</f>
        <v>082, 19400428, 1,    0, 00</v>
      </c>
    </row>
    <row r="853" spans="1:1" x14ac:dyDescent="0.25">
      <c r="A853" s="25" t="str">
        <f ca="1">TEXT(Regen!A853,"000\,")&amp;TEXT(Regen!B853,"?00000000")&amp;TEXT(Regen!C853,""",""?0")&amp;SUBSTITUTE(TEXT(Regen!D853,""",""????0;"",""???-0;"",""????0;"", ////"""),"'","""")&amp;SUBSTITUTE(TEXT(Regen!E853,""",""?00;"",""?-00;"",""?00;"", //"""),"'","""")</f>
        <v>082, 19400429, 1,    0, 00</v>
      </c>
    </row>
    <row r="854" spans="1:1" x14ac:dyDescent="0.25">
      <c r="A854" s="25" t="str">
        <f ca="1">TEXT(Regen!A854,"000\,")&amp;TEXT(Regen!B854,"?00000000")&amp;TEXT(Regen!C854,""",""?0")&amp;SUBSTITUTE(TEXT(Regen!D854,""",""????0;"",""???-0;"",""????0;"", ////"""),"'","""")&amp;SUBSTITUTE(TEXT(Regen!E854,""",""?00;"",""?-00;"",""?00;"", //"""),"'","""")</f>
        <v>082, 19400430, 1,  130, 00</v>
      </c>
    </row>
    <row r="855" spans="1:1" x14ac:dyDescent="0.25">
      <c r="A855" s="25" t="str">
        <f ca="1">TEXT(Regen!A855,"000\,")&amp;TEXT(Regen!B855,"?00000000")&amp;TEXT(Regen!C855,""",""?0")&amp;SUBSTITUTE(TEXT(Regen!D855,""",""????0;"",""???-0;"",""????0;"", ////"""),"'","""")&amp;SUBSTITUTE(TEXT(Regen!E855,""",""?00;"",""?-00;"",""?00;"", //"""),"'","""")</f>
        <v>082, 19400501, 1,   70, 00</v>
      </c>
    </row>
    <row r="856" spans="1:1" x14ac:dyDescent="0.25">
      <c r="A856" s="25" t="str">
        <f ca="1">TEXT(Regen!A856,"000\,")&amp;TEXT(Regen!B856,"?00000000")&amp;TEXT(Regen!C856,""",""?0")&amp;SUBSTITUTE(TEXT(Regen!D856,""",""????0;"",""???-0;"",""????0;"", ////"""),"'","""")&amp;SUBSTITUTE(TEXT(Regen!E856,""",""?00;"",""?-00;"",""?00;"", //"""),"'","""")</f>
        <v>082, 19400502, 1,   20, 00</v>
      </c>
    </row>
    <row r="857" spans="1:1" x14ac:dyDescent="0.25">
      <c r="A857" s="25" t="str">
        <f ca="1">TEXT(Regen!A857,"000\,")&amp;TEXT(Regen!B857,"?00000000")&amp;TEXT(Regen!C857,""",""?0")&amp;SUBSTITUTE(TEXT(Regen!D857,""",""????0;"",""???-0;"",""????0;"", ////"""),"'","""")&amp;SUBSTITUTE(TEXT(Regen!E857,""",""?00;"",""?-00;"",""?00;"", //"""),"'","""")</f>
        <v>082, 19400503, 1,    0, 00</v>
      </c>
    </row>
    <row r="858" spans="1:1" x14ac:dyDescent="0.25">
      <c r="A858" s="25" t="str">
        <f ca="1">TEXT(Regen!A858,"000\,")&amp;TEXT(Regen!B858,"?00000000")&amp;TEXT(Regen!C858,""",""?0")&amp;SUBSTITUTE(TEXT(Regen!D858,""",""????0;"",""???-0;"",""????0;"", ////"""),"'","""")&amp;SUBSTITUTE(TEXT(Regen!E858,""",""?00;"",""?-00;"",""?00;"", //"""),"'","""")</f>
        <v>082, 19400504, 1,    0, 00</v>
      </c>
    </row>
    <row r="859" spans="1:1" x14ac:dyDescent="0.25">
      <c r="A859" s="25" t="str">
        <f ca="1">TEXT(Regen!A859,"000\,")&amp;TEXT(Regen!B859,"?00000000")&amp;TEXT(Regen!C859,""",""?0")&amp;SUBSTITUTE(TEXT(Regen!D859,""",""????0;"",""???-0;"",""????0;"", ////"""),"'","""")&amp;SUBSTITUTE(TEXT(Regen!E859,""",""?00;"",""?-00;"",""?00;"", //"""),"'","""")</f>
        <v>082, 19400505, 1,    0, 00</v>
      </c>
    </row>
    <row r="860" spans="1:1" x14ac:dyDescent="0.25">
      <c r="A860" s="25" t="str">
        <f ca="1">TEXT(Regen!A860,"000\,")&amp;TEXT(Regen!B860,"?00000000")&amp;TEXT(Regen!C860,""",""?0")&amp;SUBSTITUTE(TEXT(Regen!D860,""",""????0;"",""???-0;"",""????0;"", ////"""),"'","""")&amp;SUBSTITUTE(TEXT(Regen!E860,""",""?00;"",""?-00;"",""?00;"", //"""),"'","""")</f>
        <v>082, 19400506, 1,    0, 00</v>
      </c>
    </row>
    <row r="861" spans="1:1" x14ac:dyDescent="0.25">
      <c r="A861" s="25" t="str">
        <f ca="1">TEXT(Regen!A861,"000\,")&amp;TEXT(Regen!B861,"?00000000")&amp;TEXT(Regen!C861,""",""?0")&amp;SUBSTITUTE(TEXT(Regen!D861,""",""????0;"",""???-0;"",""????0;"", ////"""),"'","""")&amp;SUBSTITUTE(TEXT(Regen!E861,""",""?00;"",""?-00;"",""?00;"", //"""),"'","""")</f>
        <v>082, 19400507, 1,    0, 00</v>
      </c>
    </row>
    <row r="862" spans="1:1" x14ac:dyDescent="0.25">
      <c r="A862" s="25" t="str">
        <f ca="1">TEXT(Regen!A862,"000\,")&amp;TEXT(Regen!B862,"?00000000")&amp;TEXT(Regen!C862,""",""?0")&amp;SUBSTITUTE(TEXT(Regen!D862,""",""????0;"",""???-0;"",""????0;"", ////"""),"'","""")&amp;SUBSTITUTE(TEXT(Regen!E862,""",""?00;"",""?-00;"",""?00;"", //"""),"'","""")</f>
        <v>082, 19400508, 1,  180, 00</v>
      </c>
    </row>
    <row r="863" spans="1:1" x14ac:dyDescent="0.25">
      <c r="A863" s="25" t="str">
        <f ca="1">TEXT(Regen!A863,"000\,")&amp;TEXT(Regen!B863,"?00000000")&amp;TEXT(Regen!C863,""",""?0")&amp;SUBSTITUTE(TEXT(Regen!D863,""",""????0;"",""???-0;"",""????0;"", ////"""),"'","""")&amp;SUBSTITUTE(TEXT(Regen!E863,""",""?00;"",""?-00;"",""?00;"", //"""),"'","""")</f>
        <v>082, 19400509, 1,   40, 00</v>
      </c>
    </row>
    <row r="864" spans="1:1" x14ac:dyDescent="0.25">
      <c r="A864" s="25" t="str">
        <f ca="1">TEXT(Regen!A864,"000\,")&amp;TEXT(Regen!B864,"?00000000")&amp;TEXT(Regen!C864,""",""?0")&amp;SUBSTITUTE(TEXT(Regen!D864,""",""????0;"",""???-0;"",""????0;"", ////"""),"'","""")&amp;SUBSTITUTE(TEXT(Regen!E864,""",""?00;"",""?-00;"",""?00;"", //"""),"'","""")</f>
        <v>082, 19400510, 1,   15, 00</v>
      </c>
    </row>
    <row r="865" spans="1:1" x14ac:dyDescent="0.25">
      <c r="A865" s="25" t="str">
        <f ca="1">TEXT(Regen!A865,"000\,")&amp;TEXT(Regen!B865,"?00000000")&amp;TEXT(Regen!C865,""",""?0")&amp;SUBSTITUTE(TEXT(Regen!D865,""",""????0;"",""???-0;"",""????0;"", ////"""),"'","""")&amp;SUBSTITUTE(TEXT(Regen!E865,""",""?00;"",""?-00;"",""?00;"", //"""),"'","""")</f>
        <v>082, 19400511, 1,    0, 00</v>
      </c>
    </row>
    <row r="866" spans="1:1" x14ac:dyDescent="0.25">
      <c r="A866" s="25" t="str">
        <f ca="1">TEXT(Regen!A866,"000\,")&amp;TEXT(Regen!B866,"?00000000")&amp;TEXT(Regen!C866,""",""?0")&amp;SUBSTITUTE(TEXT(Regen!D866,""",""????0;"",""???-0;"",""????0;"", ////"""),"'","""")&amp;SUBSTITUTE(TEXT(Regen!E866,""",""?00;"",""?-00;"",""?00;"", //"""),"'","""")</f>
        <v>082, 19400512, 1,    0, 00</v>
      </c>
    </row>
    <row r="867" spans="1:1" x14ac:dyDescent="0.25">
      <c r="A867" s="25" t="str">
        <f ca="1">TEXT(Regen!A867,"000\,")&amp;TEXT(Regen!B867,"?00000000")&amp;TEXT(Regen!C867,""",""?0")&amp;SUBSTITUTE(TEXT(Regen!D867,""",""????0;"",""???-0;"",""????0;"", ////"""),"'","""")&amp;SUBSTITUTE(TEXT(Regen!E867,""",""?00;"",""?-00;"",""?00;"", //"""),"'","""")</f>
        <v>082, 19400513, 1,    0, 00</v>
      </c>
    </row>
    <row r="868" spans="1:1" x14ac:dyDescent="0.25">
      <c r="A868" s="25" t="str">
        <f ca="1">TEXT(Regen!A868,"000\,")&amp;TEXT(Regen!B868,"?00000000")&amp;TEXT(Regen!C868,""",""?0")&amp;SUBSTITUTE(TEXT(Regen!D868,""",""????0;"",""???-0;"",""????0;"", ////"""),"'","""")&amp;SUBSTITUTE(TEXT(Regen!E868,""",""?00;"",""?-00;"",""?00;"", //"""),"'","""")</f>
        <v>082, 19400514, 1,    0, 00</v>
      </c>
    </row>
    <row r="869" spans="1:1" x14ac:dyDescent="0.25">
      <c r="A869" s="25" t="str">
        <f ca="1">TEXT(Regen!A869,"000\,")&amp;TEXT(Regen!B869,"?00000000")&amp;TEXT(Regen!C869,""",""?0")&amp;SUBSTITUTE(TEXT(Regen!D869,""",""????0;"",""???-0;"",""????0;"", ////"""),"'","""")&amp;SUBSTITUTE(TEXT(Regen!E869,""",""?00;"",""?-00;"",""?00;"", //"""),"'","""")</f>
        <v>082, 19400515, 1,   35, 00</v>
      </c>
    </row>
    <row r="870" spans="1:1" x14ac:dyDescent="0.25">
      <c r="A870" s="25" t="str">
        <f ca="1">TEXT(Regen!A870,"000\,")&amp;TEXT(Regen!B870,"?00000000")&amp;TEXT(Regen!C870,""",""?0")&amp;SUBSTITUTE(TEXT(Regen!D870,""",""????0;"",""???-0;"",""????0;"", ////"""),"'","""")&amp;SUBSTITUTE(TEXT(Regen!E870,""",""?00;"",""?-00;"",""?00;"", //"""),"'","""")</f>
        <v>082, 19400516, 1,   70, 00</v>
      </c>
    </row>
    <row r="871" spans="1:1" x14ac:dyDescent="0.25">
      <c r="A871" s="25" t="str">
        <f ca="1">TEXT(Regen!A871,"000\,")&amp;TEXT(Regen!B871,"?00000000")&amp;TEXT(Regen!C871,""",""?0")&amp;SUBSTITUTE(TEXT(Regen!D871,""",""????0;"",""???-0;"",""????0;"", ////"""),"'","""")&amp;SUBSTITUTE(TEXT(Regen!E871,""",""?00;"",""?-00;"",""?00;"", //"""),"'","""")</f>
        <v>082, 19400517, 1,   30, 00</v>
      </c>
    </row>
    <row r="872" spans="1:1" x14ac:dyDescent="0.25">
      <c r="A872" s="25" t="str">
        <f ca="1">TEXT(Regen!A872,"000\,")&amp;TEXT(Regen!B872,"?00000000")&amp;TEXT(Regen!C872,""",""?0")&amp;SUBSTITUTE(TEXT(Regen!D872,""",""????0;"",""???-0;"",""????0;"", ////"""),"'","""")&amp;SUBSTITUTE(TEXT(Regen!E872,""",""?00;"",""?-00;"",""?00;"", //"""),"'","""")</f>
        <v>082, 19400518, 1,    0, 00</v>
      </c>
    </row>
    <row r="873" spans="1:1" x14ac:dyDescent="0.25">
      <c r="A873" s="25" t="str">
        <f ca="1">TEXT(Regen!A873,"000\,")&amp;TEXT(Regen!B873,"?00000000")&amp;TEXT(Regen!C873,""",""?0")&amp;SUBSTITUTE(TEXT(Regen!D873,""",""????0;"",""???-0;"",""????0;"", ////"""),"'","""")&amp;SUBSTITUTE(TEXT(Regen!E873,""",""?00;"",""?-00;"",""?00;"", //"""),"'","""")</f>
        <v>082, 19400519, 1,    0, 00</v>
      </c>
    </row>
    <row r="874" spans="1:1" x14ac:dyDescent="0.25">
      <c r="A874" s="25" t="str">
        <f ca="1">TEXT(Regen!A874,"000\,")&amp;TEXT(Regen!B874,"?00000000")&amp;TEXT(Regen!C874,""",""?0")&amp;SUBSTITUTE(TEXT(Regen!D874,""",""????0;"",""???-0;"",""????0;"", ////"""),"'","""")&amp;SUBSTITUTE(TEXT(Regen!E874,""",""?00;"",""?-00;"",""?00;"", //"""),"'","""")</f>
        <v>082, 19400520, 1,    0, 00</v>
      </c>
    </row>
    <row r="875" spans="1:1" x14ac:dyDescent="0.25">
      <c r="A875" s="25" t="str">
        <f ca="1">TEXT(Regen!A875,"000\,")&amp;TEXT(Regen!B875,"?00000000")&amp;TEXT(Regen!C875,""",""?0")&amp;SUBSTITUTE(TEXT(Regen!D875,""",""????0;"",""???-0;"",""????0;"", ////"""),"'","""")&amp;SUBSTITUTE(TEXT(Regen!E875,""",""?00;"",""?-00;"",""?00;"", //"""),"'","""")</f>
        <v>082, 19400521, 1,  300, 00</v>
      </c>
    </row>
    <row r="876" spans="1:1" x14ac:dyDescent="0.25">
      <c r="A876" s="25" t="str">
        <f ca="1">TEXT(Regen!A876,"000\,")&amp;TEXT(Regen!B876,"?00000000")&amp;TEXT(Regen!C876,""",""?0")&amp;SUBSTITUTE(TEXT(Regen!D876,""",""????0;"",""???-0;"",""????0;"", ////"""),"'","""")&amp;SUBSTITUTE(TEXT(Regen!E876,""",""?00;"",""?-00;"",""?00;"", //"""),"'","""")</f>
        <v>082, 19400522, 1,  140, 00</v>
      </c>
    </row>
    <row r="877" spans="1:1" x14ac:dyDescent="0.25">
      <c r="A877" s="25" t="str">
        <f ca="1">TEXT(Regen!A877,"000\,")&amp;TEXT(Regen!B877,"?00000000")&amp;TEXT(Regen!C877,""",""?0")&amp;SUBSTITUTE(TEXT(Regen!D877,""",""????0;"",""???-0;"",""????0;"", ////"""),"'","""")&amp;SUBSTITUTE(TEXT(Regen!E877,""",""?00;"",""?-00;"",""?00;"", //"""),"'","""")</f>
        <v>082, 19400523, 1,  125, 00</v>
      </c>
    </row>
    <row r="878" spans="1:1" x14ac:dyDescent="0.25">
      <c r="A878" s="25" t="str">
        <f ca="1">TEXT(Regen!A878,"000\,")&amp;TEXT(Regen!B878,"?00000000")&amp;TEXT(Regen!C878,""",""?0")&amp;SUBSTITUTE(TEXT(Regen!D878,""",""????0;"",""???-0;"",""????0;"", ////"""),"'","""")&amp;SUBSTITUTE(TEXT(Regen!E878,""",""?00;"",""?-00;"",""?00;"", //"""),"'","""")</f>
        <v>082, 19400524, 1,    0, 00</v>
      </c>
    </row>
    <row r="879" spans="1:1" x14ac:dyDescent="0.25">
      <c r="A879" s="25" t="str">
        <f ca="1">TEXT(Regen!A879,"000\,")&amp;TEXT(Regen!B879,"?00000000")&amp;TEXT(Regen!C879,""",""?0")&amp;SUBSTITUTE(TEXT(Regen!D879,""",""????0;"",""???-0;"",""????0;"", ////"""),"'","""")&amp;SUBSTITUTE(TEXT(Regen!E879,""",""?00;"",""?-00;"",""?00;"", //"""),"'","""")</f>
        <v>082, 19400525, 1,   90, 00</v>
      </c>
    </row>
    <row r="880" spans="1:1" x14ac:dyDescent="0.25">
      <c r="A880" s="25" t="str">
        <f ca="1">TEXT(Regen!A880,"000\,")&amp;TEXT(Regen!B880,"?00000000")&amp;TEXT(Regen!C880,""",""?0")&amp;SUBSTITUTE(TEXT(Regen!D880,""",""????0;"",""???-0;"",""????0;"", ////"""),"'","""")&amp;SUBSTITUTE(TEXT(Regen!E880,""",""?00;"",""?-00;"",""?00;"", //"""),"'","""")</f>
        <v>082, 19400526, 1,    0, 00</v>
      </c>
    </row>
    <row r="881" spans="1:1" x14ac:dyDescent="0.25">
      <c r="A881" s="25" t="str">
        <f ca="1">TEXT(Regen!A881,"000\,")&amp;TEXT(Regen!B881,"?00000000")&amp;TEXT(Regen!C881,""",""?0")&amp;SUBSTITUTE(TEXT(Regen!D881,""",""????0;"",""???-0;"",""????0;"", ////"""),"'","""")&amp;SUBSTITUTE(TEXT(Regen!E881,""",""?00;"",""?-00;"",""?00;"", //"""),"'","""")</f>
        <v>082, 19400527, 1,    0, 00</v>
      </c>
    </row>
    <row r="882" spans="1:1" x14ac:dyDescent="0.25">
      <c r="A882" s="25" t="str">
        <f ca="1">TEXT(Regen!A882,"000\,")&amp;TEXT(Regen!B882,"?00000000")&amp;TEXT(Regen!C882,""",""?0")&amp;SUBSTITUTE(TEXT(Regen!D882,""",""????0;"",""???-0;"",""????0;"", ////"""),"'","""")&amp;SUBSTITUTE(TEXT(Regen!E882,""",""?00;"",""?-00;"",""?00;"", //"""),"'","""")</f>
        <v>082, 19400528, 1,    0, 00</v>
      </c>
    </row>
    <row r="883" spans="1:1" x14ac:dyDescent="0.25">
      <c r="A883" s="25" t="str">
        <f ca="1">TEXT(Regen!A883,"000\,")&amp;TEXT(Regen!B883,"?00000000")&amp;TEXT(Regen!C883,""",""?0")&amp;SUBSTITUTE(TEXT(Regen!D883,""",""????0;"",""???-0;"",""????0;"", ////"""),"'","""")&amp;SUBSTITUTE(TEXT(Regen!E883,""",""?00;"",""?-00;"",""?00;"", //"""),"'","""")</f>
        <v>082, 19400529, 1,    0, 00</v>
      </c>
    </row>
    <row r="884" spans="1:1" x14ac:dyDescent="0.25">
      <c r="A884" s="25" t="str">
        <f ca="1">TEXT(Regen!A884,"000\,")&amp;TEXT(Regen!B884,"?00000000")&amp;TEXT(Regen!C884,""",""?0")&amp;SUBSTITUTE(TEXT(Regen!D884,""",""????0;"",""???-0;"",""????0;"", ////"""),"'","""")&amp;SUBSTITUTE(TEXT(Regen!E884,""",""?00;"",""?-00;"",""?00;"", //"""),"'","""")</f>
        <v>082, 19400530, 1,    0, 00</v>
      </c>
    </row>
    <row r="885" spans="1:1" x14ac:dyDescent="0.25">
      <c r="A885" s="25" t="str">
        <f ca="1">TEXT(Regen!A885,"000\,")&amp;TEXT(Regen!B885,"?00000000")&amp;TEXT(Regen!C885,""",""?0")&amp;SUBSTITUTE(TEXT(Regen!D885,""",""????0;"",""???-0;"",""????0;"", ////"""),"'","""")&amp;SUBSTITUTE(TEXT(Regen!E885,""",""?00;"",""?-00;"",""?00;"", //"""),"'","""")</f>
        <v>082, 19400531, 1,    0, 00</v>
      </c>
    </row>
    <row r="886" spans="1:1" x14ac:dyDescent="0.25">
      <c r="A886" s="25" t="str">
        <f ca="1">TEXT(Regen!A886,"000\,")&amp;TEXT(Regen!B886,"?00000000")&amp;TEXT(Regen!C886,""",""?0")&amp;SUBSTITUTE(TEXT(Regen!D886,""",""????0;"",""???-0;"",""????0;"", ////"""),"'","""")&amp;SUBSTITUTE(TEXT(Regen!E886,""",""?00;"",""?-00;"",""?00;"", //"""),"'","""")</f>
        <v>082, 19400601, 1, ////, 07</v>
      </c>
    </row>
    <row r="887" spans="1:1" x14ac:dyDescent="0.25">
      <c r="A887" s="25" t="str">
        <f ca="1">TEXT(Regen!A887,"000\,")&amp;TEXT(Regen!B887,"?00000000")&amp;TEXT(Regen!C887,""",""?0")&amp;SUBSTITUTE(TEXT(Regen!D887,""",""????0;"",""???-0;"",""????0;"", ////"""),"'","""")&amp;SUBSTITUTE(TEXT(Regen!E887,""",""?00;"",""?-00;"",""?00;"", //"""),"'","""")</f>
        <v>082, 19400602, 1, ////, 07</v>
      </c>
    </row>
    <row r="888" spans="1:1" x14ac:dyDescent="0.25">
      <c r="A888" s="25" t="str">
        <f ca="1">TEXT(Regen!A888,"000\,")&amp;TEXT(Regen!B888,"?00000000")&amp;TEXT(Regen!C888,""",""?0")&amp;SUBSTITUTE(TEXT(Regen!D888,""",""????0;"",""???-0;"",""????0;"", ////"""),"'","""")&amp;SUBSTITUTE(TEXT(Regen!E888,""",""?00;"",""?-00;"",""?00;"", //"""),"'","""")</f>
        <v>082, 19400603, 1, ////, 07</v>
      </c>
    </row>
    <row r="889" spans="1:1" x14ac:dyDescent="0.25">
      <c r="A889" s="25" t="str">
        <f ca="1">TEXT(Regen!A889,"000\,")&amp;TEXT(Regen!B889,"?00000000")&amp;TEXT(Regen!C889,""",""?0")&amp;SUBSTITUTE(TEXT(Regen!D889,""",""????0;"",""???-0;"",""????0;"", ////"""),"'","""")&amp;SUBSTITUTE(TEXT(Regen!E889,""",""?00;"",""?-00;"",""?00;"", //"""),"'","""")</f>
        <v>082, 19400604, 1, ////, 07</v>
      </c>
    </row>
    <row r="890" spans="1:1" x14ac:dyDescent="0.25">
      <c r="A890" s="25" t="str">
        <f ca="1">TEXT(Regen!A890,"000\,")&amp;TEXT(Regen!B890,"?00000000")&amp;TEXT(Regen!C890,""",""?0")&amp;SUBSTITUTE(TEXT(Regen!D890,""",""????0;"",""???-0;"",""????0;"", ////"""),"'","""")&amp;SUBSTITUTE(TEXT(Regen!E890,""",""?00;"",""?-00;"",""?00;"", //"""),"'","""")</f>
        <v>082, 19400605, 1, ////, 07</v>
      </c>
    </row>
    <row r="891" spans="1:1" x14ac:dyDescent="0.25">
      <c r="A891" s="25" t="str">
        <f ca="1">TEXT(Regen!A891,"000\,")&amp;TEXT(Regen!B891,"?00000000")&amp;TEXT(Regen!C891,""",""?0")&amp;SUBSTITUTE(TEXT(Regen!D891,""",""????0;"",""???-0;"",""????0;"", ////"""),"'","""")&amp;SUBSTITUTE(TEXT(Regen!E891,""",""?00;"",""?-00;"",""?00;"", //"""),"'","""")</f>
        <v>082, 19400606, 1, ////, 07</v>
      </c>
    </row>
    <row r="892" spans="1:1" x14ac:dyDescent="0.25">
      <c r="A892" s="25" t="str">
        <f ca="1">TEXT(Regen!A892,"000\,")&amp;TEXT(Regen!B892,"?00000000")&amp;TEXT(Regen!C892,""",""?0")&amp;SUBSTITUTE(TEXT(Regen!D892,""",""????0;"",""???-0;"",""????0;"", ////"""),"'","""")&amp;SUBSTITUTE(TEXT(Regen!E892,""",""?00;"",""?-00;"",""?00;"", //"""),"'","""")</f>
        <v>082, 19400607, 1, ////, 07</v>
      </c>
    </row>
    <row r="893" spans="1:1" x14ac:dyDescent="0.25">
      <c r="A893" s="25" t="str">
        <f ca="1">TEXT(Regen!A893,"000\,")&amp;TEXT(Regen!B893,"?00000000")&amp;TEXT(Regen!C893,""",""?0")&amp;SUBSTITUTE(TEXT(Regen!D893,""",""????0;"",""???-0;"",""????0;"", ////"""),"'","""")&amp;SUBSTITUTE(TEXT(Regen!E893,""",""?00;"",""?-00;"",""?00;"", //"""),"'","""")</f>
        <v>082, 19400608, 1, ////, 07</v>
      </c>
    </row>
    <row r="894" spans="1:1" x14ac:dyDescent="0.25">
      <c r="A894" s="25" t="str">
        <f ca="1">TEXT(Regen!A894,"000\,")&amp;TEXT(Regen!B894,"?00000000")&amp;TEXT(Regen!C894,""",""?0")&amp;SUBSTITUTE(TEXT(Regen!D894,""",""????0;"",""???-0;"",""????0;"", ////"""),"'","""")&amp;SUBSTITUTE(TEXT(Regen!E894,""",""?00;"",""?-00;"",""?00;"", //"""),"'","""")</f>
        <v>082, 19400609, 1, ////, 07</v>
      </c>
    </row>
    <row r="895" spans="1:1" x14ac:dyDescent="0.25">
      <c r="A895" s="25" t="str">
        <f ca="1">TEXT(Regen!A895,"000\,")&amp;TEXT(Regen!B895,"?00000000")&amp;TEXT(Regen!C895,""",""?0")&amp;SUBSTITUTE(TEXT(Regen!D895,""",""????0;"",""???-0;"",""????0;"", ////"""),"'","""")&amp;SUBSTITUTE(TEXT(Regen!E895,""",""?00;"",""?-00;"",""?00;"", //"""),"'","""")</f>
        <v>082, 19400610, 1, ////, 07</v>
      </c>
    </row>
    <row r="896" spans="1:1" x14ac:dyDescent="0.25">
      <c r="A896" s="25" t="str">
        <f ca="1">TEXT(Regen!A896,"000\,")&amp;TEXT(Regen!B896,"?00000000")&amp;TEXT(Regen!C896,""",""?0")&amp;SUBSTITUTE(TEXT(Regen!D896,""",""????0;"",""???-0;"",""????0;"", ////"""),"'","""")&amp;SUBSTITUTE(TEXT(Regen!E896,""",""?00;"",""?-00;"",""?00;"", //"""),"'","""")</f>
        <v>082, 19400611, 1, ////, 07</v>
      </c>
    </row>
    <row r="897" spans="1:1" x14ac:dyDescent="0.25">
      <c r="A897" s="25" t="str">
        <f ca="1">TEXT(Regen!A897,"000\,")&amp;TEXT(Regen!B897,"?00000000")&amp;TEXT(Regen!C897,""",""?0")&amp;SUBSTITUTE(TEXT(Regen!D897,""",""????0;"",""???-0;"",""????0;"", ////"""),"'","""")&amp;SUBSTITUTE(TEXT(Regen!E897,""",""?00;"",""?-00;"",""?00;"", //"""),"'","""")</f>
        <v>082, 19400612, 1, ////, 07</v>
      </c>
    </row>
    <row r="898" spans="1:1" x14ac:dyDescent="0.25">
      <c r="A898" s="25" t="str">
        <f ca="1">TEXT(Regen!A898,"000\,")&amp;TEXT(Regen!B898,"?00000000")&amp;TEXT(Regen!C898,""",""?0")&amp;SUBSTITUTE(TEXT(Regen!D898,""",""????0;"",""???-0;"",""????0;"", ////"""),"'","""")&amp;SUBSTITUTE(TEXT(Regen!E898,""",""?00;"",""?-00;"",""?00;"", //"""),"'","""")</f>
        <v>082, 19400613, 1, ////, 07</v>
      </c>
    </row>
    <row r="899" spans="1:1" x14ac:dyDescent="0.25">
      <c r="A899" s="25" t="str">
        <f ca="1">TEXT(Regen!A899,"000\,")&amp;TEXT(Regen!B899,"?00000000")&amp;TEXT(Regen!C899,""",""?0")&amp;SUBSTITUTE(TEXT(Regen!D899,""",""????0;"",""???-0;"",""????0;"", ////"""),"'","""")&amp;SUBSTITUTE(TEXT(Regen!E899,""",""?00;"",""?-00;"",""?00;"", //"""),"'","""")</f>
        <v>082, 19400614, 1, ////, 07</v>
      </c>
    </row>
    <row r="900" spans="1:1" x14ac:dyDescent="0.25">
      <c r="A900" s="25" t="str">
        <f ca="1">TEXT(Regen!A900,"000\,")&amp;TEXT(Regen!B900,"?00000000")&amp;TEXT(Regen!C900,""",""?0")&amp;SUBSTITUTE(TEXT(Regen!D900,""",""????0;"",""???-0;"",""????0;"", ////"""),"'","""")&amp;SUBSTITUTE(TEXT(Regen!E900,""",""?00;"",""?-00;"",""?00;"", //"""),"'","""")</f>
        <v>082, 19400615, 1, ////, 07</v>
      </c>
    </row>
    <row r="901" spans="1:1" x14ac:dyDescent="0.25">
      <c r="A901" s="25" t="str">
        <f ca="1">TEXT(Regen!A901,"000\,")&amp;TEXT(Regen!B901,"?00000000")&amp;TEXT(Regen!C901,""",""?0")&amp;SUBSTITUTE(TEXT(Regen!D901,""",""????0;"",""???-0;"",""????0;"", ////"""),"'","""")&amp;SUBSTITUTE(TEXT(Regen!E901,""",""?00;"",""?-00;"",""?00;"", //"""),"'","""")</f>
        <v>082, 19400616, 1, ////, 07</v>
      </c>
    </row>
    <row r="902" spans="1:1" x14ac:dyDescent="0.25">
      <c r="A902" s="25" t="str">
        <f ca="1">TEXT(Regen!A902,"000\,")&amp;TEXT(Regen!B902,"?00000000")&amp;TEXT(Regen!C902,""",""?0")&amp;SUBSTITUTE(TEXT(Regen!D902,""",""????0;"",""???-0;"",""????0;"", ////"""),"'","""")&amp;SUBSTITUTE(TEXT(Regen!E902,""",""?00;"",""?-00;"",""?00;"", //"""),"'","""")</f>
        <v>082, 19400617, 1, ////, 07</v>
      </c>
    </row>
    <row r="903" spans="1:1" x14ac:dyDescent="0.25">
      <c r="A903" s="25" t="str">
        <f ca="1">TEXT(Regen!A903,"000\,")&amp;TEXT(Regen!B903,"?00000000")&amp;TEXT(Regen!C903,""",""?0")&amp;SUBSTITUTE(TEXT(Regen!D903,""",""????0;"",""???-0;"",""????0;"", ////"""),"'","""")&amp;SUBSTITUTE(TEXT(Regen!E903,""",""?00;"",""?-00;"",""?00;"", //"""),"'","""")</f>
        <v>082, 19400618, 1, ////, 07</v>
      </c>
    </row>
    <row r="904" spans="1:1" x14ac:dyDescent="0.25">
      <c r="A904" s="25" t="str">
        <f ca="1">TEXT(Regen!A904,"000\,")&amp;TEXT(Regen!B904,"?00000000")&amp;TEXT(Regen!C904,""",""?0")&amp;SUBSTITUTE(TEXT(Regen!D904,""",""????0;"",""???-0;"",""????0;"", ////"""),"'","""")&amp;SUBSTITUTE(TEXT(Regen!E904,""",""?00;"",""?-00;"",""?00;"", //"""),"'","""")</f>
        <v>082, 19400619, 1, ////, 07</v>
      </c>
    </row>
    <row r="905" spans="1:1" x14ac:dyDescent="0.25">
      <c r="A905" s="25" t="str">
        <f ca="1">TEXT(Regen!A905,"000\,")&amp;TEXT(Regen!B905,"?00000000")&amp;TEXT(Regen!C905,""",""?0")&amp;SUBSTITUTE(TEXT(Regen!D905,""",""????0;"",""???-0;"",""????0;"", ////"""),"'","""")&amp;SUBSTITUTE(TEXT(Regen!E905,""",""?00;"",""?-00;"",""?00;"", //"""),"'","""")</f>
        <v>082, 19400620, 1, ////, 07</v>
      </c>
    </row>
    <row r="906" spans="1:1" x14ac:dyDescent="0.25">
      <c r="A906" s="25" t="str">
        <f ca="1">TEXT(Regen!A906,"000\,")&amp;TEXT(Regen!B906,"?00000000")&amp;TEXT(Regen!C906,""",""?0")&amp;SUBSTITUTE(TEXT(Regen!D906,""",""????0;"",""???-0;"",""????0;"", ////"""),"'","""")&amp;SUBSTITUTE(TEXT(Regen!E906,""",""?00;"",""?-00;"",""?00;"", //"""),"'","""")</f>
        <v>082, 19400621, 1, ////, 07</v>
      </c>
    </row>
    <row r="907" spans="1:1" x14ac:dyDescent="0.25">
      <c r="A907" s="25" t="str">
        <f ca="1">TEXT(Regen!A907,"000\,")&amp;TEXT(Regen!B907,"?00000000")&amp;TEXT(Regen!C907,""",""?0")&amp;SUBSTITUTE(TEXT(Regen!D907,""",""????0;"",""???-0;"",""????0;"", ////"""),"'","""")&amp;SUBSTITUTE(TEXT(Regen!E907,""",""?00;"",""?-00;"",""?00;"", //"""),"'","""")</f>
        <v>082, 19400622, 1, ////, 07</v>
      </c>
    </row>
    <row r="908" spans="1:1" x14ac:dyDescent="0.25">
      <c r="A908" s="25" t="str">
        <f ca="1">TEXT(Regen!A908,"000\,")&amp;TEXT(Regen!B908,"?00000000")&amp;TEXT(Regen!C908,""",""?0")&amp;SUBSTITUTE(TEXT(Regen!D908,""",""????0;"",""???-0;"",""????0;"", ////"""),"'","""")&amp;SUBSTITUTE(TEXT(Regen!E908,""",""?00;"",""?-00;"",""?00;"", //"""),"'","""")</f>
        <v>082, 19400623, 1, ////, 07</v>
      </c>
    </row>
    <row r="909" spans="1:1" x14ac:dyDescent="0.25">
      <c r="A909" s="25" t="str">
        <f ca="1">TEXT(Regen!A909,"000\,")&amp;TEXT(Regen!B909,"?00000000")&amp;TEXT(Regen!C909,""",""?0")&amp;SUBSTITUTE(TEXT(Regen!D909,""",""????0;"",""???-0;"",""????0;"", ////"""),"'","""")&amp;SUBSTITUTE(TEXT(Regen!E909,""",""?00;"",""?-00;"",""?00;"", //"""),"'","""")</f>
        <v>082, 19400624, 1, ////, 07</v>
      </c>
    </row>
    <row r="910" spans="1:1" x14ac:dyDescent="0.25">
      <c r="A910" s="25" t="str">
        <f ca="1">TEXT(Regen!A910,"000\,")&amp;TEXT(Regen!B910,"?00000000")&amp;TEXT(Regen!C910,""",""?0")&amp;SUBSTITUTE(TEXT(Regen!D910,""",""????0;"",""???-0;"",""????0;"", ////"""),"'","""")&amp;SUBSTITUTE(TEXT(Regen!E910,""",""?00;"",""?-00;"",""?00;"", //"""),"'","""")</f>
        <v>082, 19400625, 1, ////, 07</v>
      </c>
    </row>
    <row r="911" spans="1:1" x14ac:dyDescent="0.25">
      <c r="A911" s="25" t="str">
        <f ca="1">TEXT(Regen!A911,"000\,")&amp;TEXT(Regen!B911,"?00000000")&amp;TEXT(Regen!C911,""",""?0")&amp;SUBSTITUTE(TEXT(Regen!D911,""",""????0;"",""???-0;"",""????0;"", ////"""),"'","""")&amp;SUBSTITUTE(TEXT(Regen!E911,""",""?00;"",""?-00;"",""?00;"", //"""),"'","""")</f>
        <v>082, 19400626, 1, ////, 07</v>
      </c>
    </row>
    <row r="912" spans="1:1" x14ac:dyDescent="0.25">
      <c r="A912" s="25" t="str">
        <f ca="1">TEXT(Regen!A912,"000\,")&amp;TEXT(Regen!B912,"?00000000")&amp;TEXT(Regen!C912,""",""?0")&amp;SUBSTITUTE(TEXT(Regen!D912,""",""????0;"",""???-0;"",""????0;"", ////"""),"'","""")&amp;SUBSTITUTE(TEXT(Regen!E912,""",""?00;"",""?-00;"",""?00;"", //"""),"'","""")</f>
        <v>082, 19400627, 1, ////, 07</v>
      </c>
    </row>
    <row r="913" spans="1:1" x14ac:dyDescent="0.25">
      <c r="A913" s="25" t="str">
        <f ca="1">TEXT(Regen!A913,"000\,")&amp;TEXT(Regen!B913,"?00000000")&amp;TEXT(Regen!C913,""",""?0")&amp;SUBSTITUTE(TEXT(Regen!D913,""",""????0;"",""???-0;"",""????0;"", ////"""),"'","""")&amp;SUBSTITUTE(TEXT(Regen!E913,""",""?00;"",""?-00;"",""?00;"", //"""),"'","""")</f>
        <v>082, 19400628, 1, ////, 07</v>
      </c>
    </row>
    <row r="914" spans="1:1" x14ac:dyDescent="0.25">
      <c r="A914" s="25" t="str">
        <f ca="1">TEXT(Regen!A914,"000\,")&amp;TEXT(Regen!B914,"?00000000")&amp;TEXT(Regen!C914,""",""?0")&amp;SUBSTITUTE(TEXT(Regen!D914,""",""????0;"",""???-0;"",""????0;"", ////"""),"'","""")&amp;SUBSTITUTE(TEXT(Regen!E914,""",""?00;"",""?-00;"",""?00;"", //"""),"'","""")</f>
        <v>082, 19400629, 1, ////, 07</v>
      </c>
    </row>
    <row r="915" spans="1:1" x14ac:dyDescent="0.25">
      <c r="A915" s="25" t="str">
        <f ca="1">TEXT(Regen!A915,"000\,")&amp;TEXT(Regen!B915,"?00000000")&amp;TEXT(Regen!C915,""",""?0")&amp;SUBSTITUTE(TEXT(Regen!D915,""",""????0;"",""???-0;"",""????0;"", ////"""),"'","""")&amp;SUBSTITUTE(TEXT(Regen!E915,""",""?00;"",""?-00;"",""?00;"", //"""),"'","""")</f>
        <v>082, 19400630, 1, ////, 07</v>
      </c>
    </row>
    <row r="916" spans="1:1" x14ac:dyDescent="0.25">
      <c r="A916" s="25" t="str">
        <f ca="1">TEXT(Regen!A916,"000\,")&amp;TEXT(Regen!B916,"?00000000")&amp;TEXT(Regen!C916,""",""?0")&amp;SUBSTITUTE(TEXT(Regen!D916,""",""????0;"",""???-0;"",""????0;"", ////"""),"'","""")&amp;SUBSTITUTE(TEXT(Regen!E916,""",""?00;"",""?-00;"",""?00;"", //"""),"'","""")</f>
        <v>082, 19400701, 1,    0, 00</v>
      </c>
    </row>
    <row r="917" spans="1:1" x14ac:dyDescent="0.25">
      <c r="A917" s="25" t="str">
        <f ca="1">TEXT(Regen!A917,"000\,")&amp;TEXT(Regen!B917,"?00000000")&amp;TEXT(Regen!C917,""",""?0")&amp;SUBSTITUTE(TEXT(Regen!D917,""",""????0;"",""???-0;"",""????0;"", ////"""),"'","""")&amp;SUBSTITUTE(TEXT(Regen!E917,""",""?00;"",""?-00;"",""?00;"", //"""),"'","""")</f>
        <v>082, 19400702, 1,    0, 00</v>
      </c>
    </row>
    <row r="918" spans="1:1" x14ac:dyDescent="0.25">
      <c r="A918" s="25" t="str">
        <f ca="1">TEXT(Regen!A918,"000\,")&amp;TEXT(Regen!B918,"?00000000")&amp;TEXT(Regen!C918,""",""?0")&amp;SUBSTITUTE(TEXT(Regen!D918,""",""????0;"",""???-0;"",""????0;"", ////"""),"'","""")&amp;SUBSTITUTE(TEXT(Regen!E918,""",""?00;"",""?-00;"",""?00;"", //"""),"'","""")</f>
        <v>082, 19400703, 1,    0, 00</v>
      </c>
    </row>
    <row r="919" spans="1:1" x14ac:dyDescent="0.25">
      <c r="A919" s="25" t="str">
        <f ca="1">TEXT(Regen!A919,"000\,")&amp;TEXT(Regen!B919,"?00000000")&amp;TEXT(Regen!C919,""",""?0")&amp;SUBSTITUTE(TEXT(Regen!D919,""",""????0;"",""???-0;"",""????0;"", ////"""),"'","""")&amp;SUBSTITUTE(TEXT(Regen!E919,""",""?00;"",""?-00;"",""?00;"", //"""),"'","""")</f>
        <v>082, 19400704, 1,    0, 00</v>
      </c>
    </row>
    <row r="920" spans="1:1" x14ac:dyDescent="0.25">
      <c r="A920" s="25" t="str">
        <f ca="1">TEXT(Regen!A920,"000\,")&amp;TEXT(Regen!B920,"?00000000")&amp;TEXT(Regen!C920,""",""?0")&amp;SUBSTITUTE(TEXT(Regen!D920,""",""????0;"",""???-0;"",""????0;"", ////"""),"'","""")&amp;SUBSTITUTE(TEXT(Regen!E920,""",""?00;"",""?-00;"",""?00;"", //"""),"'","""")</f>
        <v>082, 19400705, 1,    0, 00</v>
      </c>
    </row>
    <row r="921" spans="1:1" x14ac:dyDescent="0.25">
      <c r="A921" s="25" t="str">
        <f ca="1">TEXT(Regen!A921,"000\,")&amp;TEXT(Regen!B921,"?00000000")&amp;TEXT(Regen!C921,""",""?0")&amp;SUBSTITUTE(TEXT(Regen!D921,""",""????0;"",""???-0;"",""????0;"", ////"""),"'","""")&amp;SUBSTITUTE(TEXT(Regen!E921,""",""?00;"",""?-00;"",""?00;"", //"""),"'","""")</f>
        <v>082, 19400706, 1,    0, 00</v>
      </c>
    </row>
    <row r="922" spans="1:1" x14ac:dyDescent="0.25">
      <c r="A922" s="25" t="str">
        <f ca="1">TEXT(Regen!A922,"000\,")&amp;TEXT(Regen!B922,"?00000000")&amp;TEXT(Regen!C922,""",""?0")&amp;SUBSTITUTE(TEXT(Regen!D922,""",""????0;"",""???-0;"",""????0;"", ////"""),"'","""")&amp;SUBSTITUTE(TEXT(Regen!E922,""",""?00;"",""?-00;"",""?00;"", //"""),"'","""")</f>
        <v>082, 19400707, 1,  110, 00</v>
      </c>
    </row>
    <row r="923" spans="1:1" x14ac:dyDescent="0.25">
      <c r="A923" s="25" t="str">
        <f ca="1">TEXT(Regen!A923,"000\,")&amp;TEXT(Regen!B923,"?00000000")&amp;TEXT(Regen!C923,""",""?0")&amp;SUBSTITUTE(TEXT(Regen!D923,""",""????0;"",""???-0;"",""????0;"", ////"""),"'","""")&amp;SUBSTITUTE(TEXT(Regen!E923,""",""?00;"",""?-00;"",""?00;"", //"""),"'","""")</f>
        <v>082, 19400708, 1,   75, 00</v>
      </c>
    </row>
    <row r="924" spans="1:1" x14ac:dyDescent="0.25">
      <c r="A924" s="25" t="str">
        <f ca="1">TEXT(Regen!A924,"000\,")&amp;TEXT(Regen!B924,"?00000000")&amp;TEXT(Regen!C924,""",""?0")&amp;SUBSTITUTE(TEXT(Regen!D924,""",""????0;"",""???-0;"",""????0;"", ////"""),"'","""")&amp;SUBSTITUTE(TEXT(Regen!E924,""",""?00;"",""?-00;"",""?00;"", //"""),"'","""")</f>
        <v>082, 19400709, 1,    0, 00</v>
      </c>
    </row>
    <row r="925" spans="1:1" x14ac:dyDescent="0.25">
      <c r="A925" s="25" t="str">
        <f ca="1">TEXT(Regen!A925,"000\,")&amp;TEXT(Regen!B925,"?00000000")&amp;TEXT(Regen!C925,""",""?0")&amp;SUBSTITUTE(TEXT(Regen!D925,""",""????0;"",""???-0;"",""????0;"", ////"""),"'","""")&amp;SUBSTITUTE(TEXT(Regen!E925,""",""?00;"",""?-00;"",""?00;"", //"""),"'","""")</f>
        <v>082, 19400710, 1,    0, 00</v>
      </c>
    </row>
    <row r="926" spans="1:1" x14ac:dyDescent="0.25">
      <c r="A926" s="25" t="str">
        <f ca="1">TEXT(Regen!A926,"000\,")&amp;TEXT(Regen!B926,"?00000000")&amp;TEXT(Regen!C926,""",""?0")&amp;SUBSTITUTE(TEXT(Regen!D926,""",""????0;"",""???-0;"",""????0;"", ////"""),"'","""")&amp;SUBSTITUTE(TEXT(Regen!E926,""",""?00;"",""?-00;"",""?00;"", //"""),"'","""")</f>
        <v>082, 19400711, 1,    0, 00</v>
      </c>
    </row>
    <row r="927" spans="1:1" x14ac:dyDescent="0.25">
      <c r="A927" s="25" t="str">
        <f ca="1">TEXT(Regen!A927,"000\,")&amp;TEXT(Regen!B927,"?00000000")&amp;TEXT(Regen!C927,""",""?0")&amp;SUBSTITUTE(TEXT(Regen!D927,""",""????0;"",""???-0;"",""????0;"", ////"""),"'","""")&amp;SUBSTITUTE(TEXT(Regen!E927,""",""?00;"",""?-00;"",""?00;"", //"""),"'","""")</f>
        <v>082, 19400712, 1,    0, 00</v>
      </c>
    </row>
    <row r="928" spans="1:1" x14ac:dyDescent="0.25">
      <c r="A928" s="25" t="str">
        <f ca="1">TEXT(Regen!A928,"000\,")&amp;TEXT(Regen!B928,"?00000000")&amp;TEXT(Regen!C928,""",""?0")&amp;SUBSTITUTE(TEXT(Regen!D928,""",""????0;"",""???-0;"",""????0;"", ////"""),"'","""")&amp;SUBSTITUTE(TEXT(Regen!E928,""",""?00;"",""?-00;"",""?00;"", //"""),"'","""")</f>
        <v>082, 19400713, 1,    0, 00</v>
      </c>
    </row>
    <row r="929" spans="1:1" x14ac:dyDescent="0.25">
      <c r="A929" s="25" t="str">
        <f ca="1">TEXT(Regen!A929,"000\,")&amp;TEXT(Regen!B929,"?00000000")&amp;TEXT(Regen!C929,""",""?0")&amp;SUBSTITUTE(TEXT(Regen!D929,""",""????0;"",""???-0;"",""????0;"", ////"""),"'","""")&amp;SUBSTITUTE(TEXT(Regen!E929,""",""?00;"",""?-00;"",""?00;"", //"""),"'","""")</f>
        <v>082, 19400714, 1,   50, 00</v>
      </c>
    </row>
    <row r="930" spans="1:1" x14ac:dyDescent="0.25">
      <c r="A930" s="25" t="str">
        <f ca="1">TEXT(Regen!A930,"000\,")&amp;TEXT(Regen!B930,"?00000000")&amp;TEXT(Regen!C930,""",""?0")&amp;SUBSTITUTE(TEXT(Regen!D930,""",""????0;"",""???-0;"",""????0;"", ////"""),"'","""")&amp;SUBSTITUTE(TEXT(Regen!E930,""",""?00;"",""?-00;"",""?00;"", //"""),"'","""")</f>
        <v>082, 19400715, 1,   45, 00</v>
      </c>
    </row>
    <row r="931" spans="1:1" x14ac:dyDescent="0.25">
      <c r="A931" s="25" t="str">
        <f ca="1">TEXT(Regen!A931,"000\,")&amp;TEXT(Regen!B931,"?00000000")&amp;TEXT(Regen!C931,""",""?0")&amp;SUBSTITUTE(TEXT(Regen!D931,""",""????0;"",""???-0;"",""????0;"", ////"""),"'","""")&amp;SUBSTITUTE(TEXT(Regen!E931,""",""?00;"",""?-00;"",""?00;"", //"""),"'","""")</f>
        <v>082, 19400716, 1,   33, 00</v>
      </c>
    </row>
    <row r="932" spans="1:1" x14ac:dyDescent="0.25">
      <c r="A932" s="25" t="str">
        <f ca="1">TEXT(Regen!A932,"000\,")&amp;TEXT(Regen!B932,"?00000000")&amp;TEXT(Regen!C932,""",""?0")&amp;SUBSTITUTE(TEXT(Regen!D932,""",""????0;"",""???-0;"",""????0;"", ////"""),"'","""")&amp;SUBSTITUTE(TEXT(Regen!E932,""",""?00;"",""?-00;"",""?00;"", //"""),"'","""")</f>
        <v>082, 19400717, 1,  136, 00</v>
      </c>
    </row>
    <row r="933" spans="1:1" x14ac:dyDescent="0.25">
      <c r="A933" s="25" t="str">
        <f ca="1">TEXT(Regen!A933,"000\,")&amp;TEXT(Regen!B933,"?00000000")&amp;TEXT(Regen!C933,""",""?0")&amp;SUBSTITUTE(TEXT(Regen!D933,""",""????0;"",""???-0;"",""????0;"", ////"""),"'","""")&amp;SUBSTITUTE(TEXT(Regen!E933,""",""?00;"",""?-00;"",""?00;"", //"""),"'","""")</f>
        <v>082, 19400718, 1,    0, 00</v>
      </c>
    </row>
    <row r="934" spans="1:1" x14ac:dyDescent="0.25">
      <c r="A934" s="25" t="str">
        <f ca="1">TEXT(Regen!A934,"000\,")&amp;TEXT(Regen!B934,"?00000000")&amp;TEXT(Regen!C934,""",""?0")&amp;SUBSTITUTE(TEXT(Regen!D934,""",""????0;"",""???-0;"",""????0;"", ////"""),"'","""")&amp;SUBSTITUTE(TEXT(Regen!E934,""",""?00;"",""?-00;"",""?00;"", //"""),"'","""")</f>
        <v>082, 19400719, 1,    0, 00</v>
      </c>
    </row>
    <row r="935" spans="1:1" x14ac:dyDescent="0.25">
      <c r="A935" s="25" t="str">
        <f ca="1">TEXT(Regen!A935,"000\,")&amp;TEXT(Regen!B935,"?00000000")&amp;TEXT(Regen!C935,""",""?0")&amp;SUBSTITUTE(TEXT(Regen!D935,""",""????0;"",""???-0;"",""????0;"", ////"""),"'","""")&amp;SUBSTITUTE(TEXT(Regen!E935,""",""?00;"",""?-00;"",""?00;"", //"""),"'","""")</f>
        <v>082, 19400720, 1,    0, 00</v>
      </c>
    </row>
    <row r="936" spans="1:1" x14ac:dyDescent="0.25">
      <c r="A936" s="25" t="str">
        <f ca="1">TEXT(Regen!A936,"000\,")&amp;TEXT(Regen!B936,"?00000000")&amp;TEXT(Regen!C936,""",""?0")&amp;SUBSTITUTE(TEXT(Regen!D936,""",""????0;"",""???-0;"",""????0;"", ////"""),"'","""")&amp;SUBSTITUTE(TEXT(Regen!E936,""",""?00;"",""?-00;"",""?00;"", //"""),"'","""")</f>
        <v>082, 19400721, 1,   65, 00</v>
      </c>
    </row>
    <row r="937" spans="1:1" x14ac:dyDescent="0.25">
      <c r="A937" s="25" t="str">
        <f ca="1">TEXT(Regen!A937,"000\,")&amp;TEXT(Regen!B937,"?00000000")&amp;TEXT(Regen!C937,""",""?0")&amp;SUBSTITUTE(TEXT(Regen!D937,""",""????0;"",""???-0;"",""????0;"", ////"""),"'","""")&amp;SUBSTITUTE(TEXT(Regen!E937,""",""?00;"",""?-00;"",""?00;"", //"""),"'","""")</f>
        <v>082, 19400722, 1,   85, 00</v>
      </c>
    </row>
    <row r="938" spans="1:1" x14ac:dyDescent="0.25">
      <c r="A938" s="25" t="str">
        <f ca="1">TEXT(Regen!A938,"000\,")&amp;TEXT(Regen!B938,"?00000000")&amp;TEXT(Regen!C938,""",""?0")&amp;SUBSTITUTE(TEXT(Regen!D938,""",""????0;"",""???-0;"",""????0;"", ////"""),"'","""")&amp;SUBSTITUTE(TEXT(Regen!E938,""",""?00;"",""?-00;"",""?00;"", //"""),"'","""")</f>
        <v>082, 19400723, 1,  120, 00</v>
      </c>
    </row>
    <row r="939" spans="1:1" x14ac:dyDescent="0.25">
      <c r="A939" s="25" t="str">
        <f ca="1">TEXT(Regen!A939,"000\,")&amp;TEXT(Regen!B939,"?00000000")&amp;TEXT(Regen!C939,""",""?0")&amp;SUBSTITUTE(TEXT(Regen!D939,""",""????0;"",""???-0;"",""????0;"", ////"""),"'","""")&amp;SUBSTITUTE(TEXT(Regen!E939,""",""?00;"",""?-00;"",""?00;"", //"""),"'","""")</f>
        <v>082, 19400724, 1,   15, 00</v>
      </c>
    </row>
    <row r="940" spans="1:1" x14ac:dyDescent="0.25">
      <c r="A940" s="25" t="str">
        <f ca="1">TEXT(Regen!A940,"000\,")&amp;TEXT(Regen!B940,"?00000000")&amp;TEXT(Regen!C940,""",""?0")&amp;SUBSTITUTE(TEXT(Regen!D940,""",""????0;"",""???-0;"",""????0;"", ////"""),"'","""")&amp;SUBSTITUTE(TEXT(Regen!E940,""",""?00;"",""?-00;"",""?00;"", //"""),"'","""")</f>
        <v>082, 19400725, 1,    0, 00</v>
      </c>
    </row>
    <row r="941" spans="1:1" x14ac:dyDescent="0.25">
      <c r="A941" s="25" t="str">
        <f ca="1">TEXT(Regen!A941,"000\,")&amp;TEXT(Regen!B941,"?00000000")&amp;TEXT(Regen!C941,""",""?0")&amp;SUBSTITUTE(TEXT(Regen!D941,""",""????0;"",""???-0;"",""????0;"", ////"""),"'","""")&amp;SUBSTITUTE(TEXT(Regen!E941,""",""?00;"",""?-00;"",""?00;"", //"""),"'","""")</f>
        <v>082, 19400726, 1,    0, 00</v>
      </c>
    </row>
    <row r="942" spans="1:1" x14ac:dyDescent="0.25">
      <c r="A942" s="25" t="str">
        <f ca="1">TEXT(Regen!A942,"000\,")&amp;TEXT(Regen!B942,"?00000000")&amp;TEXT(Regen!C942,""",""?0")&amp;SUBSTITUTE(TEXT(Regen!D942,""",""????0;"",""???-0;"",""????0;"", ////"""),"'","""")&amp;SUBSTITUTE(TEXT(Regen!E942,""",""?00;"",""?-00;"",""?00;"", //"""),"'","""")</f>
        <v>082, 19400727, 1,   30, 00</v>
      </c>
    </row>
    <row r="943" spans="1:1" x14ac:dyDescent="0.25">
      <c r="A943" s="25" t="str">
        <f ca="1">TEXT(Regen!A943,"000\,")&amp;TEXT(Regen!B943,"?00000000")&amp;TEXT(Regen!C943,""",""?0")&amp;SUBSTITUTE(TEXT(Regen!D943,""",""????0;"",""???-0;"",""????0;"", ////"""),"'","""")&amp;SUBSTITUTE(TEXT(Regen!E943,""",""?00;"",""?-00;"",""?00;"", //"""),"'","""")</f>
        <v>082, 19400728, 1,    0, 00</v>
      </c>
    </row>
    <row r="944" spans="1:1" x14ac:dyDescent="0.25">
      <c r="A944" s="25" t="str">
        <f ca="1">TEXT(Regen!A944,"000\,")&amp;TEXT(Regen!B944,"?00000000")&amp;TEXT(Regen!C944,""",""?0")&amp;SUBSTITUTE(TEXT(Regen!D944,""",""????0;"",""???-0;"",""????0;"", ////"""),"'","""")&amp;SUBSTITUTE(TEXT(Regen!E944,""",""?00;"",""?-00;"",""?00;"", //"""),"'","""")</f>
        <v>082, 19400729, 1,    0, 00</v>
      </c>
    </row>
    <row r="945" spans="1:1" x14ac:dyDescent="0.25">
      <c r="A945" s="25" t="str">
        <f ca="1">TEXT(Regen!A945,"000\,")&amp;TEXT(Regen!B945,"?00000000")&amp;TEXT(Regen!C945,""",""?0")&amp;SUBSTITUTE(TEXT(Regen!D945,""",""????0;"",""???-0;"",""????0;"", ////"""),"'","""")&amp;SUBSTITUTE(TEXT(Regen!E945,""",""?00;"",""?-00;"",""?00;"", //"""),"'","""")</f>
        <v>082, 19400730, 1,    0, 00</v>
      </c>
    </row>
    <row r="946" spans="1:1" x14ac:dyDescent="0.25">
      <c r="A946" s="25" t="str">
        <f ca="1">TEXT(Regen!A946,"000\,")&amp;TEXT(Regen!B946,"?00000000")&amp;TEXT(Regen!C946,""",""?0")&amp;SUBSTITUTE(TEXT(Regen!D946,""",""????0;"",""???-0;"",""????0;"", ////"""),"'","""")&amp;SUBSTITUTE(TEXT(Regen!E946,""",""?00;"",""?-00;"",""?00;"", //"""),"'","""")</f>
        <v>082, 19400731, 1,    0, 00</v>
      </c>
    </row>
    <row r="947" spans="1:1" x14ac:dyDescent="0.25">
      <c r="A947" s="25" t="str">
        <f ca="1">TEXT(Regen!A947,"000\,")&amp;TEXT(Regen!B947,"?00000000")&amp;TEXT(Regen!C947,""",""?0")&amp;SUBSTITUTE(TEXT(Regen!D947,""",""????0;"",""???-0;"",""????0;"", ////"""),"'","""")&amp;SUBSTITUTE(TEXT(Regen!E947,""",""?00;"",""?-00;"",""?00;"", //"""),"'","""")</f>
        <v>082, 19400801, 1,    0, 00</v>
      </c>
    </row>
    <row r="948" spans="1:1" x14ac:dyDescent="0.25">
      <c r="A948" s="25" t="str">
        <f ca="1">TEXT(Regen!A948,"000\,")&amp;TEXT(Regen!B948,"?00000000")&amp;TEXT(Regen!C948,""",""?0")&amp;SUBSTITUTE(TEXT(Regen!D948,""",""????0;"",""???-0;"",""????0;"", ////"""),"'","""")&amp;SUBSTITUTE(TEXT(Regen!E948,""",""?00;"",""?-00;"",""?00;"", //"""),"'","""")</f>
        <v>082, 19400802, 1,    0, 00</v>
      </c>
    </row>
    <row r="949" spans="1:1" x14ac:dyDescent="0.25">
      <c r="A949" s="25" t="str">
        <f ca="1">TEXT(Regen!A949,"000\,")&amp;TEXT(Regen!B949,"?00000000")&amp;TEXT(Regen!C949,""",""?0")&amp;SUBSTITUTE(TEXT(Regen!D949,""",""????0;"",""???-0;"",""????0;"", ////"""),"'","""")&amp;SUBSTITUTE(TEXT(Regen!E949,""",""?00;"",""?-00;"",""?00;"", //"""),"'","""")</f>
        <v>082, 19400803, 1,    0, 00</v>
      </c>
    </row>
    <row r="950" spans="1:1" x14ac:dyDescent="0.25">
      <c r="A950" s="25" t="str">
        <f ca="1">TEXT(Regen!A950,"000\,")&amp;TEXT(Regen!B950,"?00000000")&amp;TEXT(Regen!C950,""",""?0")&amp;SUBSTITUTE(TEXT(Regen!D950,""",""????0;"",""???-0;"",""????0;"", ////"""),"'","""")&amp;SUBSTITUTE(TEXT(Regen!E950,""",""?00;"",""?-00;"",""?00;"", //"""),"'","""")</f>
        <v>082, 19400804, 1,   35, 00</v>
      </c>
    </row>
    <row r="951" spans="1:1" x14ac:dyDescent="0.25">
      <c r="A951" s="25" t="str">
        <f ca="1">TEXT(Regen!A951,"000\,")&amp;TEXT(Regen!B951,"?00000000")&amp;TEXT(Regen!C951,""",""?0")&amp;SUBSTITUTE(TEXT(Regen!D951,""",""????0;"",""???-0;"",""????0;"", ////"""),"'","""")&amp;SUBSTITUTE(TEXT(Regen!E951,""",""?00;"",""?-00;"",""?00;"", //"""),"'","""")</f>
        <v>082, 19400805, 1,  250, 00</v>
      </c>
    </row>
    <row r="952" spans="1:1" x14ac:dyDescent="0.25">
      <c r="A952" s="25" t="str">
        <f ca="1">TEXT(Regen!A952,"000\,")&amp;TEXT(Regen!B952,"?00000000")&amp;TEXT(Regen!C952,""",""?0")&amp;SUBSTITUTE(TEXT(Regen!D952,""",""????0;"",""???-0;"",""????0;"", ////"""),"'","""")&amp;SUBSTITUTE(TEXT(Regen!E952,""",""?00;"",""?-00;"",""?00;"", //"""),"'","""")</f>
        <v>082, 19400806, 1,    0, 00</v>
      </c>
    </row>
    <row r="953" spans="1:1" x14ac:dyDescent="0.25">
      <c r="A953" s="25" t="str">
        <f ca="1">TEXT(Regen!A953,"000\,")&amp;TEXT(Regen!B953,"?00000000")&amp;TEXT(Regen!C953,""",""?0")&amp;SUBSTITUTE(TEXT(Regen!D953,""",""????0;"",""???-0;"",""????0;"", ////"""),"'","""")&amp;SUBSTITUTE(TEXT(Regen!E953,""",""?00;"",""?-00;"",""?00;"", //"""),"'","""")</f>
        <v>082, 19400807, 1,    0, 00</v>
      </c>
    </row>
    <row r="954" spans="1:1" x14ac:dyDescent="0.25">
      <c r="A954" s="25" t="str">
        <f ca="1">TEXT(Regen!A954,"000\,")&amp;TEXT(Regen!B954,"?00000000")&amp;TEXT(Regen!C954,""",""?0")&amp;SUBSTITUTE(TEXT(Regen!D954,""",""????0;"",""???-0;"",""????0;"", ////"""),"'","""")&amp;SUBSTITUTE(TEXT(Regen!E954,""",""?00;"",""?-00;"",""?00;"", //"""),"'","""")</f>
        <v>082, 19400808, 1,    0, 00</v>
      </c>
    </row>
    <row r="955" spans="1:1" x14ac:dyDescent="0.25">
      <c r="A955" s="25" t="str">
        <f ca="1">TEXT(Regen!A955,"000\,")&amp;TEXT(Regen!B955,"?00000000")&amp;TEXT(Regen!C955,""",""?0")&amp;SUBSTITUTE(TEXT(Regen!D955,""",""????0;"",""???-0;"",""????0;"", ////"""),"'","""")&amp;SUBSTITUTE(TEXT(Regen!E955,""",""?00;"",""?-00;"",""?00;"", //"""),"'","""")</f>
        <v>082, 19400809, 1,    0, 00</v>
      </c>
    </row>
    <row r="956" spans="1:1" x14ac:dyDescent="0.25">
      <c r="A956" s="25" t="str">
        <f ca="1">TEXT(Regen!A956,"000\,")&amp;TEXT(Regen!B956,"?00000000")&amp;TEXT(Regen!C956,""",""?0")&amp;SUBSTITUTE(TEXT(Regen!D956,""",""????0;"",""???-0;"",""????0;"", ////"""),"'","""")&amp;SUBSTITUTE(TEXT(Regen!E956,""",""?00;"",""?-00;"",""?00;"", //"""),"'","""")</f>
        <v>082, 19400810, 1,   30, 00</v>
      </c>
    </row>
    <row r="957" spans="1:1" x14ac:dyDescent="0.25">
      <c r="A957" s="25" t="str">
        <f ca="1">TEXT(Regen!A957,"000\,")&amp;TEXT(Regen!B957,"?00000000")&amp;TEXT(Regen!C957,""",""?0")&amp;SUBSTITUTE(TEXT(Regen!D957,""",""????0;"",""???-0;"",""????0;"", ////"""),"'","""")&amp;SUBSTITUTE(TEXT(Regen!E957,""",""?00;"",""?-00;"",""?00;"", //"""),"'","""")</f>
        <v>082, 19400811, 1,   15, 00</v>
      </c>
    </row>
    <row r="958" spans="1:1" x14ac:dyDescent="0.25">
      <c r="A958" s="25" t="str">
        <f ca="1">TEXT(Regen!A958,"000\,")&amp;TEXT(Regen!B958,"?00000000")&amp;TEXT(Regen!C958,""",""?0")&amp;SUBSTITUTE(TEXT(Regen!D958,""",""????0;"",""???-0;"",""????0;"", ////"""),"'","""")&amp;SUBSTITUTE(TEXT(Regen!E958,""",""?00;"",""?-00;"",""?00;"", //"""),"'","""")</f>
        <v>082, 19400812, 1,   20, 00</v>
      </c>
    </row>
    <row r="959" spans="1:1" x14ac:dyDescent="0.25">
      <c r="A959" s="25" t="str">
        <f ca="1">TEXT(Regen!A959,"000\,")&amp;TEXT(Regen!B959,"?00000000")&amp;TEXT(Regen!C959,""",""?0")&amp;SUBSTITUTE(TEXT(Regen!D959,""",""????0;"",""???-0;"",""????0;"", ////"""),"'","""")&amp;SUBSTITUTE(TEXT(Regen!E959,""",""?00;"",""?-00;"",""?00;"", //"""),"'","""")</f>
        <v>082, 19400813, 1,    0, 00</v>
      </c>
    </row>
    <row r="960" spans="1:1" x14ac:dyDescent="0.25">
      <c r="A960" s="25" t="str">
        <f ca="1">TEXT(Regen!A960,"000\,")&amp;TEXT(Regen!B960,"?00000000")&amp;TEXT(Regen!C960,""",""?0")&amp;SUBSTITUTE(TEXT(Regen!D960,""",""????0;"",""???-0;"",""????0;"", ////"""),"'","""")&amp;SUBSTITUTE(TEXT(Regen!E960,""",""?00;"",""?-00;"",""?00;"", //"""),"'","""")</f>
        <v>082, 19400814, 1,    0, 00</v>
      </c>
    </row>
    <row r="961" spans="1:1" x14ac:dyDescent="0.25">
      <c r="A961" s="25" t="str">
        <f ca="1">TEXT(Regen!A961,"000\,")&amp;TEXT(Regen!B961,"?00000000")&amp;TEXT(Regen!C961,""",""?0")&amp;SUBSTITUTE(TEXT(Regen!D961,""",""????0;"",""???-0;"",""????0;"", ////"""),"'","""")&amp;SUBSTITUTE(TEXT(Regen!E961,""",""?00;"",""?-00;"",""?00;"", //"""),"'","""")</f>
        <v>082, 19400815, 1,    0, 00</v>
      </c>
    </row>
    <row r="962" spans="1:1" x14ac:dyDescent="0.25">
      <c r="A962" s="25" t="str">
        <f ca="1">TEXT(Regen!A962,"000\,")&amp;TEXT(Regen!B962,"?00000000")&amp;TEXT(Regen!C962,""",""?0")&amp;SUBSTITUTE(TEXT(Regen!D962,""",""????0;"",""???-0;"",""????0;"", ////"""),"'","""")&amp;SUBSTITUTE(TEXT(Regen!E962,""",""?00;"",""?-00;"",""?00;"", //"""),"'","""")</f>
        <v>082, 19400816, 1,    0, 00</v>
      </c>
    </row>
    <row r="963" spans="1:1" x14ac:dyDescent="0.25">
      <c r="A963" s="25" t="str">
        <f ca="1">TEXT(Regen!A963,"000\,")&amp;TEXT(Regen!B963,"?00000000")&amp;TEXT(Regen!C963,""",""?0")&amp;SUBSTITUTE(TEXT(Regen!D963,""",""????0;"",""???-0;"",""????0;"", ////"""),"'","""")&amp;SUBSTITUTE(TEXT(Regen!E963,""",""?00;"",""?-00;"",""?00;"", //"""),"'","""")</f>
        <v>082, 19400817, 1,    0, 00</v>
      </c>
    </row>
    <row r="964" spans="1:1" x14ac:dyDescent="0.25">
      <c r="A964" s="25" t="str">
        <f ca="1">TEXT(Regen!A964,"000\,")&amp;TEXT(Regen!B964,"?00000000")&amp;TEXT(Regen!C964,""",""?0")&amp;SUBSTITUTE(TEXT(Regen!D964,""",""????0;"",""???-0;"",""????0;"", ////"""),"'","""")&amp;SUBSTITUTE(TEXT(Regen!E964,""",""?00;"",""?-00;"",""?00;"", //"""),"'","""")</f>
        <v>082, 19400818, 1,   50, 00</v>
      </c>
    </row>
    <row r="965" spans="1:1" x14ac:dyDescent="0.25">
      <c r="A965" s="25" t="str">
        <f ca="1">TEXT(Regen!A965,"000\,")&amp;TEXT(Regen!B965,"?00000000")&amp;TEXT(Regen!C965,""",""?0")&amp;SUBSTITUTE(TEXT(Regen!D965,""",""????0;"",""???-0;"",""????0;"", ////"""),"'","""")&amp;SUBSTITUTE(TEXT(Regen!E965,""",""?00;"",""?-00;"",""?00;"", //"""),"'","""")</f>
        <v>082, 19400819, 1,   75, 00</v>
      </c>
    </row>
    <row r="966" spans="1:1" x14ac:dyDescent="0.25">
      <c r="A966" s="25" t="str">
        <f ca="1">TEXT(Regen!A966,"000\,")&amp;TEXT(Regen!B966,"?00000000")&amp;TEXT(Regen!C966,""",""?0")&amp;SUBSTITUTE(TEXT(Regen!D966,""",""????0;"",""???-0;"",""????0;"", ////"""),"'","""")&amp;SUBSTITUTE(TEXT(Regen!E966,""",""?00;"",""?-00;"",""?00;"", //"""),"'","""")</f>
        <v>082, 19400820, 1,    0, 00</v>
      </c>
    </row>
    <row r="967" spans="1:1" x14ac:dyDescent="0.25">
      <c r="A967" s="25" t="str">
        <f ca="1">TEXT(Regen!A967,"000\,")&amp;TEXT(Regen!B967,"?00000000")&amp;TEXT(Regen!C967,""",""?0")&amp;SUBSTITUTE(TEXT(Regen!D967,""",""????0;"",""???-0;"",""????0;"", ////"""),"'","""")&amp;SUBSTITUTE(TEXT(Regen!E967,""",""?00;"",""?-00;"",""?00;"", //"""),"'","""")</f>
        <v>082, 19400821, 1,    0, 00</v>
      </c>
    </row>
    <row r="968" spans="1:1" x14ac:dyDescent="0.25">
      <c r="A968" s="25" t="str">
        <f ca="1">TEXT(Regen!A968,"000\,")&amp;TEXT(Regen!B968,"?00000000")&amp;TEXT(Regen!C968,""",""?0")&amp;SUBSTITUTE(TEXT(Regen!D968,""",""????0;"",""???-0;"",""????0;"", ////"""),"'","""")&amp;SUBSTITUTE(TEXT(Regen!E968,""",""?00;"",""?-00;"",""?00;"", //"""),"'","""")</f>
        <v>082, 19400822, 1,    0, 00</v>
      </c>
    </row>
    <row r="969" spans="1:1" x14ac:dyDescent="0.25">
      <c r="A969" s="25" t="str">
        <f ca="1">TEXT(Regen!A969,"000\,")&amp;TEXT(Regen!B969,"?00000000")&amp;TEXT(Regen!C969,""",""?0")&amp;SUBSTITUTE(TEXT(Regen!D969,""",""????0;"",""???-0;"",""????0;"", ////"""),"'","""")&amp;SUBSTITUTE(TEXT(Regen!E969,""",""?00;"",""?-00;"",""?00;"", //"""),"'","""")</f>
        <v>082, 19400823, 1,    0, 00</v>
      </c>
    </row>
    <row r="970" spans="1:1" x14ac:dyDescent="0.25">
      <c r="A970" s="25" t="str">
        <f ca="1">TEXT(Regen!A970,"000\,")&amp;TEXT(Regen!B970,"?00000000")&amp;TEXT(Regen!C970,""",""?0")&amp;SUBSTITUTE(TEXT(Regen!D970,""",""????0;"",""???-0;"",""????0;"", ////"""),"'","""")&amp;SUBSTITUTE(TEXT(Regen!E970,""",""?00;"",""?-00;"",""?00;"", //"""),"'","""")</f>
        <v>082, 19400824, 1,    0, 00</v>
      </c>
    </row>
    <row r="971" spans="1:1" x14ac:dyDescent="0.25">
      <c r="A971" s="25" t="str">
        <f ca="1">TEXT(Regen!A971,"000\,")&amp;TEXT(Regen!B971,"?00000000")&amp;TEXT(Regen!C971,""",""?0")&amp;SUBSTITUTE(TEXT(Regen!D971,""",""????0;"",""???-0;"",""????0;"", ////"""),"'","""")&amp;SUBSTITUTE(TEXT(Regen!E971,""",""?00;"",""?-00;"",""?00;"", //"""),"'","""")</f>
        <v>082, 19400825, 1,    0, 00</v>
      </c>
    </row>
    <row r="972" spans="1:1" x14ac:dyDescent="0.25">
      <c r="A972" s="25" t="str">
        <f ca="1">TEXT(Regen!A972,"000\,")&amp;TEXT(Regen!B972,"?00000000")&amp;TEXT(Regen!C972,""",""?0")&amp;SUBSTITUTE(TEXT(Regen!D972,""",""????0;"",""???-0;"",""????0;"", ////"""),"'","""")&amp;SUBSTITUTE(TEXT(Regen!E972,""",""?00;"",""?-00;"",""?00;"", //"""),"'","""")</f>
        <v>082, 19400826, 1,    0, 00</v>
      </c>
    </row>
    <row r="973" spans="1:1" x14ac:dyDescent="0.25">
      <c r="A973" s="25" t="str">
        <f ca="1">TEXT(Regen!A973,"000\,")&amp;TEXT(Regen!B973,"?00000000")&amp;TEXT(Regen!C973,""",""?0")&amp;SUBSTITUTE(TEXT(Regen!D973,""",""????0;"",""???-0;"",""????0;"", ////"""),"'","""")&amp;SUBSTITUTE(TEXT(Regen!E973,""",""?00;"",""?-00;"",""?00;"", //"""),"'","""")</f>
        <v>082, 19400827, 1,    0, 00</v>
      </c>
    </row>
    <row r="974" spans="1:1" x14ac:dyDescent="0.25">
      <c r="A974" s="25" t="str">
        <f ca="1">TEXT(Regen!A974,"000\,")&amp;TEXT(Regen!B974,"?00000000")&amp;TEXT(Regen!C974,""",""?0")&amp;SUBSTITUTE(TEXT(Regen!D974,""",""????0;"",""???-0;"",""????0;"", ////"""),"'","""")&amp;SUBSTITUTE(TEXT(Regen!E974,""",""?00;"",""?-00;"",""?00;"", //"""),"'","""")</f>
        <v>082, 19400828, 1,    0, 00</v>
      </c>
    </row>
    <row r="975" spans="1:1" x14ac:dyDescent="0.25">
      <c r="A975" s="25" t="str">
        <f ca="1">TEXT(Regen!A975,"000\,")&amp;TEXT(Regen!B975,"?00000000")&amp;TEXT(Regen!C975,""",""?0")&amp;SUBSTITUTE(TEXT(Regen!D975,""",""????0;"",""???-0;"",""????0;"", ////"""),"'","""")&amp;SUBSTITUTE(TEXT(Regen!E975,""",""?00;"",""?-00;"",""?00;"", //"""),"'","""")</f>
        <v>082, 19400829, 1,    0, 00</v>
      </c>
    </row>
    <row r="976" spans="1:1" x14ac:dyDescent="0.25">
      <c r="A976" s="25" t="str">
        <f ca="1">TEXT(Regen!A976,"000\,")&amp;TEXT(Regen!B976,"?00000000")&amp;TEXT(Regen!C976,""",""?0")&amp;SUBSTITUTE(TEXT(Regen!D976,""",""????0;"",""???-0;"",""????0;"", ////"""),"'","""")&amp;SUBSTITUTE(TEXT(Regen!E976,""",""?00;"",""?-00;"",""?00;"", //"""),"'","""")</f>
        <v>082, 19400830, 1,    0, 00</v>
      </c>
    </row>
    <row r="977" spans="1:1" x14ac:dyDescent="0.25">
      <c r="A977" s="25" t="str">
        <f ca="1">TEXT(Regen!A977,"000\,")&amp;TEXT(Regen!B977,"?00000000")&amp;TEXT(Regen!C977,""",""?0")&amp;SUBSTITUTE(TEXT(Regen!D977,""",""????0;"",""???-0;"",""????0;"", ////"""),"'","""")&amp;SUBSTITUTE(TEXT(Regen!E977,""",""?00;"",""?-00;"",""?00;"", //"""),"'","""")</f>
        <v>082, 19400831, 1,  280, 00</v>
      </c>
    </row>
    <row r="978" spans="1:1" x14ac:dyDescent="0.25">
      <c r="A978" s="25" t="str">
        <f ca="1">TEXT(Regen!A978,"000\,")&amp;TEXT(Regen!B978,"?00000000")&amp;TEXT(Regen!C978,""",""?0")&amp;SUBSTITUTE(TEXT(Regen!D978,""",""????0;"",""???-0;"",""????0;"", ////"""),"'","""")&amp;SUBSTITUTE(TEXT(Regen!E978,""",""?00;"",""?-00;"",""?00;"", //"""),"'","""")</f>
        <v>082, 19400901, 1,   75, 00</v>
      </c>
    </row>
    <row r="979" spans="1:1" x14ac:dyDescent="0.25">
      <c r="A979" s="25" t="str">
        <f ca="1">TEXT(Regen!A979,"000\,")&amp;TEXT(Regen!B979,"?00000000")&amp;TEXT(Regen!C979,""",""?0")&amp;SUBSTITUTE(TEXT(Regen!D979,""",""????0;"",""???-0;"",""????0;"", ////"""),"'","""")&amp;SUBSTITUTE(TEXT(Regen!E979,""",""?00;"",""?-00;"",""?00;"", //"""),"'","""")</f>
        <v>082, 19400902, 1,    0, 00</v>
      </c>
    </row>
    <row r="980" spans="1:1" x14ac:dyDescent="0.25">
      <c r="A980" s="25" t="str">
        <f ca="1">TEXT(Regen!A980,"000\,")&amp;TEXT(Regen!B980,"?00000000")&amp;TEXT(Regen!C980,""",""?0")&amp;SUBSTITUTE(TEXT(Regen!D980,""",""????0;"",""???-0;"",""????0;"", ////"""),"'","""")&amp;SUBSTITUTE(TEXT(Regen!E980,""",""?00;"",""?-00;"",""?00;"", //"""),"'","""")</f>
        <v>082, 19400903, 1,    0, 00</v>
      </c>
    </row>
    <row r="981" spans="1:1" x14ac:dyDescent="0.25">
      <c r="A981" s="25" t="str">
        <f ca="1">TEXT(Regen!A981,"000\,")&amp;TEXT(Regen!B981,"?00000000")&amp;TEXT(Regen!C981,""",""?0")&amp;SUBSTITUTE(TEXT(Regen!D981,""",""????0;"",""???-0;"",""????0;"", ////"""),"'","""")&amp;SUBSTITUTE(TEXT(Regen!E981,""",""?00;"",""?-00;"",""?00;"", //"""),"'","""")</f>
        <v>082, 19400904, 1,   80, 00</v>
      </c>
    </row>
    <row r="982" spans="1:1" x14ac:dyDescent="0.25">
      <c r="A982" s="25" t="str">
        <f ca="1">TEXT(Regen!A982,"000\,")&amp;TEXT(Regen!B982,"?00000000")&amp;TEXT(Regen!C982,""",""?0")&amp;SUBSTITUTE(TEXT(Regen!D982,""",""????0;"",""???-0;"",""????0;"", ////"""),"'","""")&amp;SUBSTITUTE(TEXT(Regen!E982,""",""?00;"",""?-00;"",""?00;"", //"""),"'","""")</f>
        <v>082, 19400905, 1,   75, 00</v>
      </c>
    </row>
    <row r="983" spans="1:1" x14ac:dyDescent="0.25">
      <c r="A983" s="25" t="str">
        <f ca="1">TEXT(Regen!A983,"000\,")&amp;TEXT(Regen!B983,"?00000000")&amp;TEXT(Regen!C983,""",""?0")&amp;SUBSTITUTE(TEXT(Regen!D983,""",""????0;"",""???-0;"",""????0;"", ////"""),"'","""")&amp;SUBSTITUTE(TEXT(Regen!E983,""",""?00;"",""?-00;"",""?00;"", //"""),"'","""")</f>
        <v>082, 19400906, 1,  120, 00</v>
      </c>
    </row>
    <row r="984" spans="1:1" x14ac:dyDescent="0.25">
      <c r="A984" s="25" t="str">
        <f ca="1">TEXT(Regen!A984,"000\,")&amp;TEXT(Regen!B984,"?00000000")&amp;TEXT(Regen!C984,""",""?0")&amp;SUBSTITUTE(TEXT(Regen!D984,""",""????0;"",""???-0;"",""????0;"", ////"""),"'","""")&amp;SUBSTITUTE(TEXT(Regen!E984,""",""?00;"",""?-00;"",""?00;"", //"""),"'","""")</f>
        <v>082, 19400907, 1,    0, 00</v>
      </c>
    </row>
    <row r="985" spans="1:1" x14ac:dyDescent="0.25">
      <c r="A985" s="25" t="str">
        <f ca="1">TEXT(Regen!A985,"000\,")&amp;TEXT(Regen!B985,"?00000000")&amp;TEXT(Regen!C985,""",""?0")&amp;SUBSTITUTE(TEXT(Regen!D985,""",""????0;"",""???-0;"",""????0;"", ////"""),"'","""")&amp;SUBSTITUTE(TEXT(Regen!E985,""",""?00;"",""?-00;"",""?00;"", //"""),"'","""")</f>
        <v>082, 19400908, 1,    0, 00</v>
      </c>
    </row>
    <row r="986" spans="1:1" x14ac:dyDescent="0.25">
      <c r="A986" s="25" t="str">
        <f ca="1">TEXT(Regen!A986,"000\,")&amp;TEXT(Regen!B986,"?00000000")&amp;TEXT(Regen!C986,""",""?0")&amp;SUBSTITUTE(TEXT(Regen!D986,""",""????0;"",""???-0;"",""????0;"", ////"""),"'","""")&amp;SUBSTITUTE(TEXT(Regen!E986,""",""?00;"",""?-00;"",""?00;"", //"""),"'","""")</f>
        <v>082, 19400909, 1,    0, 00</v>
      </c>
    </row>
    <row r="987" spans="1:1" x14ac:dyDescent="0.25">
      <c r="A987" s="25" t="str">
        <f ca="1">TEXT(Regen!A987,"000\,")&amp;TEXT(Regen!B987,"?00000000")&amp;TEXT(Regen!C987,""",""?0")&amp;SUBSTITUTE(TEXT(Regen!D987,""",""????0;"",""???-0;"",""????0;"", ////"""),"'","""")&amp;SUBSTITUTE(TEXT(Regen!E987,""",""?00;"",""?-00;"",""?00;"", //"""),"'","""")</f>
        <v>082, 19400910, 1,    0, 00</v>
      </c>
    </row>
    <row r="988" spans="1:1" x14ac:dyDescent="0.25">
      <c r="A988" s="25" t="str">
        <f ca="1">TEXT(Regen!A988,"000\,")&amp;TEXT(Regen!B988,"?00000000")&amp;TEXT(Regen!C988,""",""?0")&amp;SUBSTITUTE(TEXT(Regen!D988,""",""????0;"",""???-0;"",""????0;"", ////"""),"'","""")&amp;SUBSTITUTE(TEXT(Regen!E988,""",""?00;"",""?-00;"",""?00;"", //"""),"'","""")</f>
        <v>082, 19400911, 1,    0, 00</v>
      </c>
    </row>
    <row r="989" spans="1:1" x14ac:dyDescent="0.25">
      <c r="A989" s="25" t="str">
        <f ca="1">TEXT(Regen!A989,"000\,")&amp;TEXT(Regen!B989,"?00000000")&amp;TEXT(Regen!C989,""",""?0")&amp;SUBSTITUTE(TEXT(Regen!D989,""",""????0;"",""???-0;"",""????0;"", ////"""),"'","""")&amp;SUBSTITUTE(TEXT(Regen!E989,""",""?00;"",""?-00;"",""?00;"", //"""),"'","""")</f>
        <v>082, 19400912, 1,    0, 00</v>
      </c>
    </row>
    <row r="990" spans="1:1" x14ac:dyDescent="0.25">
      <c r="A990" s="25" t="str">
        <f ca="1">TEXT(Regen!A990,"000\,")&amp;TEXT(Regen!B990,"?00000000")&amp;TEXT(Regen!C990,""",""?0")&amp;SUBSTITUTE(TEXT(Regen!D990,""",""????0;"",""???-0;"",""????0;"", ////"""),"'","""")&amp;SUBSTITUTE(TEXT(Regen!E990,""",""?00;"",""?-00;"",""?00;"", //"""),"'","""")</f>
        <v>082, 19400913, 1,    0, 00</v>
      </c>
    </row>
    <row r="991" spans="1:1" x14ac:dyDescent="0.25">
      <c r="A991" s="25" t="str">
        <f ca="1">TEXT(Regen!A991,"000\,")&amp;TEXT(Regen!B991,"?00000000")&amp;TEXT(Regen!C991,""",""?0")&amp;SUBSTITUTE(TEXT(Regen!D991,""",""????0;"",""???-0;"",""????0;"", ////"""),"'","""")&amp;SUBSTITUTE(TEXT(Regen!E991,""",""?00;"",""?-00;"",""?00;"", //"""),"'","""")</f>
        <v>082, 19400914, 1,    0, 00</v>
      </c>
    </row>
    <row r="992" spans="1:1" x14ac:dyDescent="0.25">
      <c r="A992" s="25" t="str">
        <f ca="1">TEXT(Regen!A992,"000\,")&amp;TEXT(Regen!B992,"?00000000")&amp;TEXT(Regen!C992,""",""?0")&amp;SUBSTITUTE(TEXT(Regen!D992,""",""????0;"",""???-0;"",""????0;"", ////"""),"'","""")&amp;SUBSTITUTE(TEXT(Regen!E992,""",""?00;"",""?-00;"",""?00;"", //"""),"'","""")</f>
        <v>082, 19400915, 1,    0, 00</v>
      </c>
    </row>
    <row r="993" spans="1:1" x14ac:dyDescent="0.25">
      <c r="A993" s="25" t="str">
        <f ca="1">TEXT(Regen!A993,"000\,")&amp;TEXT(Regen!B993,"?00000000")&amp;TEXT(Regen!C993,""",""?0")&amp;SUBSTITUTE(TEXT(Regen!D993,""",""????0;"",""???-0;"",""????0;"", ////"""),"'","""")&amp;SUBSTITUTE(TEXT(Regen!E993,""",""?00;"",""?-00;"",""?00;"", //"""),"'","""")</f>
        <v>082, 19400916, 1,    0, 00</v>
      </c>
    </row>
    <row r="994" spans="1:1" x14ac:dyDescent="0.25">
      <c r="A994" s="25" t="str">
        <f ca="1">TEXT(Regen!A994,"000\,")&amp;TEXT(Regen!B994,"?00000000")&amp;TEXT(Regen!C994,""",""?0")&amp;SUBSTITUTE(TEXT(Regen!D994,""",""????0;"",""???-0;"",""????0;"", ////"""),"'","""")&amp;SUBSTITUTE(TEXT(Regen!E994,""",""?00;"",""?-00;"",""?00;"", //"""),"'","""")</f>
        <v>082, 19400917, 1,  360, 00</v>
      </c>
    </row>
    <row r="995" spans="1:1" x14ac:dyDescent="0.25">
      <c r="A995" s="25" t="str">
        <f ca="1">TEXT(Regen!A995,"000\,")&amp;TEXT(Regen!B995,"?00000000")&amp;TEXT(Regen!C995,""",""?0")&amp;SUBSTITUTE(TEXT(Regen!D995,""",""????0;"",""???-0;"",""????0;"", ////"""),"'","""")&amp;SUBSTITUTE(TEXT(Regen!E995,""",""?00;"",""?-00;"",""?00;"", //"""),"'","""")</f>
        <v>082, 19400918, 1,  280, 00</v>
      </c>
    </row>
    <row r="996" spans="1:1" x14ac:dyDescent="0.25">
      <c r="A996" s="25" t="str">
        <f ca="1">TEXT(Regen!A996,"000\,")&amp;TEXT(Regen!B996,"?00000000")&amp;TEXT(Regen!C996,""",""?0")&amp;SUBSTITUTE(TEXT(Regen!D996,""",""????0;"",""???-0;"",""????0;"", ////"""),"'","""")&amp;SUBSTITUTE(TEXT(Regen!E996,""",""?00;"",""?-00;"",""?00;"", //"""),"'","""")</f>
        <v>082, 19400919, 1,    0, 00</v>
      </c>
    </row>
    <row r="997" spans="1:1" x14ac:dyDescent="0.25">
      <c r="A997" s="25" t="str">
        <f ca="1">TEXT(Regen!A997,"000\,")&amp;TEXT(Regen!B997,"?00000000")&amp;TEXT(Regen!C997,""",""?0")&amp;SUBSTITUTE(TEXT(Regen!D997,""",""????0;"",""???-0;"",""????0;"", ////"""),"'","""")&amp;SUBSTITUTE(TEXT(Regen!E997,""",""?00;"",""?-00;"",""?00;"", //"""),"'","""")</f>
        <v>082, 19400920, 1,    0, 00</v>
      </c>
    </row>
    <row r="998" spans="1:1" x14ac:dyDescent="0.25">
      <c r="A998" s="25" t="str">
        <f ca="1">TEXT(Regen!A998,"000\,")&amp;TEXT(Regen!B998,"?00000000")&amp;TEXT(Regen!C998,""",""?0")&amp;SUBSTITUTE(TEXT(Regen!D998,""",""????0;"",""???-0;"",""????0;"", ////"""),"'","""")&amp;SUBSTITUTE(TEXT(Regen!E998,""",""?00;"",""?-00;"",""?00;"", //"""),"'","""")</f>
        <v>082, 19400921, 1,  135, 00</v>
      </c>
    </row>
    <row r="999" spans="1:1" x14ac:dyDescent="0.25">
      <c r="A999" s="25" t="str">
        <f ca="1">TEXT(Regen!A999,"000\,")&amp;TEXT(Regen!B999,"?00000000")&amp;TEXT(Regen!C999,""",""?0")&amp;SUBSTITUTE(TEXT(Regen!D999,""",""????0;"",""???-0;"",""????0;"", ////"""),"'","""")&amp;SUBSTITUTE(TEXT(Regen!E999,""",""?00;"",""?-00;"",""?00;"", //"""),"'","""")</f>
        <v>082, 19400922, 1,    0, 00</v>
      </c>
    </row>
    <row r="1000" spans="1:1" x14ac:dyDescent="0.25">
      <c r="A1000" s="25" t="str">
        <f ca="1">TEXT(Regen!A1000,"000\,")&amp;TEXT(Regen!B1000,"?00000000")&amp;TEXT(Regen!C1000,""",""?0")&amp;SUBSTITUTE(TEXT(Regen!D1000,""",""????0;"",""???-0;"",""????0;"", ////"""),"'","""")&amp;SUBSTITUTE(TEXT(Regen!E1000,""",""?00;"",""?-00;"",""?00;"", //"""),"'","""")</f>
        <v>082, 19400923, 1,    0, 00</v>
      </c>
    </row>
    <row r="1001" spans="1:1" x14ac:dyDescent="0.25">
      <c r="A1001" s="25" t="str">
        <f ca="1">TEXT(Regen!A1001,"000\,")&amp;TEXT(Regen!B1001,"?00000000")&amp;TEXT(Regen!C1001,""",""?0")&amp;SUBSTITUTE(TEXT(Regen!D1001,""",""????0;"",""???-0;"",""????0;"", ////"""),"'","""")&amp;SUBSTITUTE(TEXT(Regen!E1001,""",""?00;"",""?-00;"",""?00;"", //"""),"'","""")</f>
        <v>082, 19400924, 1,    0, 00</v>
      </c>
    </row>
    <row r="1002" spans="1:1" x14ac:dyDescent="0.25">
      <c r="A1002" s="25" t="str">
        <f ca="1">TEXT(Regen!A1002,"000\,")&amp;TEXT(Regen!B1002,"?00000000")&amp;TEXT(Regen!C1002,""",""?0")&amp;SUBSTITUTE(TEXT(Regen!D1002,""",""????0;"",""???-0;"",""????0;"", ////"""),"'","""")&amp;SUBSTITUTE(TEXT(Regen!E1002,""",""?00;"",""?-00;"",""?00;"", //"""),"'","""")</f>
        <v>082, 19400925, 1,   45, 00</v>
      </c>
    </row>
    <row r="1003" spans="1:1" x14ac:dyDescent="0.25">
      <c r="A1003" s="25" t="str">
        <f ca="1">TEXT(Regen!A1003,"000\,")&amp;TEXT(Regen!B1003,"?00000000")&amp;TEXT(Regen!C1003,""",""?0")&amp;SUBSTITUTE(TEXT(Regen!D1003,""",""????0;"",""???-0;"",""????0;"", ////"""),"'","""")&amp;SUBSTITUTE(TEXT(Regen!E1003,""",""?00;"",""?-00;"",""?00;"", //"""),"'","""")</f>
        <v>082, 19400926, 1,    0, 00</v>
      </c>
    </row>
    <row r="1004" spans="1:1" x14ac:dyDescent="0.25">
      <c r="A1004" s="25" t="str">
        <f ca="1">TEXT(Regen!A1004,"000\,")&amp;TEXT(Regen!B1004,"?00000000")&amp;TEXT(Regen!C1004,""",""?0")&amp;SUBSTITUTE(TEXT(Regen!D1004,""",""????0;"",""???-0;"",""????0;"", ////"""),"'","""")&amp;SUBSTITUTE(TEXT(Regen!E1004,""",""?00;"",""?-00;"",""?00;"", //"""),"'","""")</f>
        <v>082, 19400927, 1,    0, 00</v>
      </c>
    </row>
    <row r="1005" spans="1:1" x14ac:dyDescent="0.25">
      <c r="A1005" s="25" t="str">
        <f ca="1">TEXT(Regen!A1005,"000\,")&amp;TEXT(Regen!B1005,"?00000000")&amp;TEXT(Regen!C1005,""",""?0")&amp;SUBSTITUTE(TEXT(Regen!D1005,""",""????0;"",""???-0;"",""????0;"", ////"""),"'","""")&amp;SUBSTITUTE(TEXT(Regen!E1005,""",""?00;"",""?-00;"",""?00;"", //"""),"'","""")</f>
        <v>082, 19400928, 1,    0, 00</v>
      </c>
    </row>
    <row r="1006" spans="1:1" x14ac:dyDescent="0.25">
      <c r="A1006" s="25" t="str">
        <f ca="1">TEXT(Regen!A1006,"000\,")&amp;TEXT(Regen!B1006,"?00000000")&amp;TEXT(Regen!C1006,""",""?0")&amp;SUBSTITUTE(TEXT(Regen!D1006,""",""????0;"",""???-0;"",""????0;"", ////"""),"'","""")&amp;SUBSTITUTE(TEXT(Regen!E1006,""",""?00;"",""?-00;"",""?00;"", //"""),"'","""")</f>
        <v>082, 19400929, 1,  370, 00</v>
      </c>
    </row>
    <row r="1007" spans="1:1" x14ac:dyDescent="0.25">
      <c r="A1007" s="25" t="str">
        <f ca="1">TEXT(Regen!A1007,"000\,")&amp;TEXT(Regen!B1007,"?00000000")&amp;TEXT(Regen!C1007,""",""?0")&amp;SUBSTITUTE(TEXT(Regen!D1007,""",""????0;"",""???-0;"",""????0;"", ////"""),"'","""")&amp;SUBSTITUTE(TEXT(Regen!E1007,""",""?00;"",""?-00;"",""?00;"", //"""),"'","""")</f>
        <v>082, 19400930, 1,    0, 00</v>
      </c>
    </row>
    <row r="1008" spans="1:1" x14ac:dyDescent="0.25">
      <c r="A1008" s="25" t="str">
        <f ca="1">TEXT(Regen!A1008,"000\,")&amp;TEXT(Regen!B1008,"?00000000")&amp;TEXT(Regen!C1008,""",""?0")&amp;SUBSTITUTE(TEXT(Regen!D1008,""",""????0;"",""???-0;"",""????0;"", ////"""),"'","""")&amp;SUBSTITUTE(TEXT(Regen!E1008,""",""?00;"",""?-00;"",""?00;"", //"""),"'","""")</f>
        <v>082, 19401001, 1,    0, 00</v>
      </c>
    </row>
    <row r="1009" spans="1:1" x14ac:dyDescent="0.25">
      <c r="A1009" s="25" t="str">
        <f ca="1">TEXT(Regen!A1009,"000\,")&amp;TEXT(Regen!B1009,"?00000000")&amp;TEXT(Regen!C1009,""",""?0")&amp;SUBSTITUTE(TEXT(Regen!D1009,""",""????0;"",""???-0;"",""????0;"", ////"""),"'","""")&amp;SUBSTITUTE(TEXT(Regen!E1009,""",""?00;"",""?-00;"",""?00;"", //"""),"'","""")</f>
        <v>082, 19401002, 1,   40, 00</v>
      </c>
    </row>
    <row r="1010" spans="1:1" x14ac:dyDescent="0.25">
      <c r="A1010" s="25" t="str">
        <f ca="1">TEXT(Regen!A1010,"000\,")&amp;TEXT(Regen!B1010,"?00000000")&amp;TEXT(Regen!C1010,""",""?0")&amp;SUBSTITUTE(TEXT(Regen!D1010,""",""????0;"",""???-0;"",""????0;"", ////"""),"'","""")&amp;SUBSTITUTE(TEXT(Regen!E1010,""",""?00;"",""?-00;"",""?00;"", //"""),"'","""")</f>
        <v>082, 19401003, 1,    0, 00</v>
      </c>
    </row>
    <row r="1011" spans="1:1" x14ac:dyDescent="0.25">
      <c r="A1011" s="25" t="str">
        <f ca="1">TEXT(Regen!A1011,"000\,")&amp;TEXT(Regen!B1011,"?00000000")&amp;TEXT(Regen!C1011,""",""?0")&amp;SUBSTITUTE(TEXT(Regen!D1011,""",""????0;"",""???-0;"",""????0;"", ////"""),"'","""")&amp;SUBSTITUTE(TEXT(Regen!E1011,""",""?00;"",""?-00;"",""?00;"", //"""),"'","""")</f>
        <v>082, 19401004, 1,    0, 00</v>
      </c>
    </row>
    <row r="1012" spans="1:1" x14ac:dyDescent="0.25">
      <c r="A1012" s="25" t="str">
        <f ca="1">TEXT(Regen!A1012,"000\,")&amp;TEXT(Regen!B1012,"?00000000")&amp;TEXT(Regen!C1012,""",""?0")&amp;SUBSTITUTE(TEXT(Regen!D1012,""",""????0;"",""???-0;"",""????0;"", ////"""),"'","""")&amp;SUBSTITUTE(TEXT(Regen!E1012,""",""?00;"",""?-00;"",""?00;"", //"""),"'","""")</f>
        <v>082, 19401005, 1,    0, 00</v>
      </c>
    </row>
    <row r="1013" spans="1:1" x14ac:dyDescent="0.25">
      <c r="A1013" s="25" t="str">
        <f ca="1">TEXT(Regen!A1013,"000\,")&amp;TEXT(Regen!B1013,"?00000000")&amp;TEXT(Regen!C1013,""",""?0")&amp;SUBSTITUTE(TEXT(Regen!D1013,""",""????0;"",""???-0;"",""????0;"", ////"""),"'","""")&amp;SUBSTITUTE(TEXT(Regen!E1013,""",""?00;"",""?-00;"",""?00;"", //"""),"'","""")</f>
        <v>082, 19401006, 1,    0, 00</v>
      </c>
    </row>
    <row r="1014" spans="1:1" x14ac:dyDescent="0.25">
      <c r="A1014" s="25" t="str">
        <f ca="1">TEXT(Regen!A1014,"000\,")&amp;TEXT(Regen!B1014,"?00000000")&amp;TEXT(Regen!C1014,""",""?0")&amp;SUBSTITUTE(TEXT(Regen!D1014,""",""????0;"",""???-0;"",""????0;"", ////"""),"'","""")&amp;SUBSTITUTE(TEXT(Regen!E1014,""",""?00;"",""?-00;"",""?00;"", //"""),"'","""")</f>
        <v>082, 19401007, 1,    0, 00</v>
      </c>
    </row>
    <row r="1015" spans="1:1" x14ac:dyDescent="0.25">
      <c r="A1015" s="25" t="str">
        <f ca="1">TEXT(Regen!A1015,"000\,")&amp;TEXT(Regen!B1015,"?00000000")&amp;TEXT(Regen!C1015,""",""?0")&amp;SUBSTITUTE(TEXT(Regen!D1015,""",""????0;"",""???-0;"",""????0;"", ////"""),"'","""")&amp;SUBSTITUTE(TEXT(Regen!E1015,""",""?00;"",""?-00;"",""?00;"", //"""),"'","""")</f>
        <v>082, 19401008, 1,    0, 00</v>
      </c>
    </row>
    <row r="1016" spans="1:1" x14ac:dyDescent="0.25">
      <c r="A1016" s="25" t="str">
        <f ca="1">TEXT(Regen!A1016,"000\,")&amp;TEXT(Regen!B1016,"?00000000")&amp;TEXT(Regen!C1016,""",""?0")&amp;SUBSTITUTE(TEXT(Regen!D1016,""",""????0;"",""???-0;"",""????0;"", ////"""),"'","""")&amp;SUBSTITUTE(TEXT(Regen!E1016,""",""?00;"",""?-00;"",""?00;"", //"""),"'","""")</f>
        <v>082, 19401009, 1,    0, 00</v>
      </c>
    </row>
    <row r="1017" spans="1:1" x14ac:dyDescent="0.25">
      <c r="A1017" s="25" t="str">
        <f ca="1">TEXT(Regen!A1017,"000\,")&amp;TEXT(Regen!B1017,"?00000000")&amp;TEXT(Regen!C1017,""",""?0")&amp;SUBSTITUTE(TEXT(Regen!D1017,""",""????0;"",""???-0;"",""????0;"", ////"""),"'","""")&amp;SUBSTITUTE(TEXT(Regen!E1017,""",""?00;"",""?-00;"",""?00;"", //"""),"'","""")</f>
        <v>082, 19401010, 1,    0, 00</v>
      </c>
    </row>
    <row r="1018" spans="1:1" x14ac:dyDescent="0.25">
      <c r="A1018" s="25" t="str">
        <f ca="1">TEXT(Regen!A1018,"000\,")&amp;TEXT(Regen!B1018,"?00000000")&amp;TEXT(Regen!C1018,""",""?0")&amp;SUBSTITUTE(TEXT(Regen!D1018,""",""????0;"",""???-0;"",""????0;"", ////"""),"'","""")&amp;SUBSTITUTE(TEXT(Regen!E1018,""",""?00;"",""?-00;"",""?00;"", //"""),"'","""")</f>
        <v>082, 19401011, 1,    0, 00</v>
      </c>
    </row>
    <row r="1019" spans="1:1" x14ac:dyDescent="0.25">
      <c r="A1019" s="25" t="str">
        <f ca="1">TEXT(Regen!A1019,"000\,")&amp;TEXT(Regen!B1019,"?00000000")&amp;TEXT(Regen!C1019,""",""?0")&amp;SUBSTITUTE(TEXT(Regen!D1019,""",""????0;"",""???-0;"",""????0;"", ////"""),"'","""")&amp;SUBSTITUTE(TEXT(Regen!E1019,""",""?00;"",""?-00;"",""?00;"", //"""),"'","""")</f>
        <v>082, 19401012, 1,   20, 00</v>
      </c>
    </row>
    <row r="1020" spans="1:1" x14ac:dyDescent="0.25">
      <c r="A1020" s="25" t="str">
        <f ca="1">TEXT(Regen!A1020,"000\,")&amp;TEXT(Regen!B1020,"?00000000")&amp;TEXT(Regen!C1020,""",""?0")&amp;SUBSTITUTE(TEXT(Regen!D1020,""",""????0;"",""???-0;"",""????0;"", ////"""),"'","""")&amp;SUBSTITUTE(TEXT(Regen!E1020,""",""?00;"",""?-00;"",""?00;"", //"""),"'","""")</f>
        <v>082, 19401013, 1,  475, 00</v>
      </c>
    </row>
    <row r="1021" spans="1:1" x14ac:dyDescent="0.25">
      <c r="A1021" s="25" t="str">
        <f ca="1">TEXT(Regen!A1021,"000\,")&amp;TEXT(Regen!B1021,"?00000000")&amp;TEXT(Regen!C1021,""",""?0")&amp;SUBSTITUTE(TEXT(Regen!D1021,""",""????0;"",""???-0;"",""????0;"", ////"""),"'","""")&amp;SUBSTITUTE(TEXT(Regen!E1021,""",""?00;"",""?-00;"",""?00;"", //"""),"'","""")</f>
        <v>082, 19401014, 1,  110, 00</v>
      </c>
    </row>
    <row r="1022" spans="1:1" x14ac:dyDescent="0.25">
      <c r="A1022" s="25" t="str">
        <f ca="1">TEXT(Regen!A1022,"000\,")&amp;TEXT(Regen!B1022,"?00000000")&amp;TEXT(Regen!C1022,""",""?0")&amp;SUBSTITUTE(TEXT(Regen!D1022,""",""????0;"",""???-0;"",""????0;"", ////"""),"'","""")&amp;SUBSTITUTE(TEXT(Regen!E1022,""",""?00;"",""?-00;"",""?00;"", //"""),"'","""")</f>
        <v>082, 19401015, 1,  185, 00</v>
      </c>
    </row>
    <row r="1023" spans="1:1" x14ac:dyDescent="0.25">
      <c r="A1023" s="25" t="str">
        <f ca="1">TEXT(Regen!A1023,"000\,")&amp;TEXT(Regen!B1023,"?00000000")&amp;TEXT(Regen!C1023,""",""?0")&amp;SUBSTITUTE(TEXT(Regen!D1023,""",""????0;"",""???-0;"",""????0;"", ////"""),"'","""")&amp;SUBSTITUTE(TEXT(Regen!E1023,""",""?00;"",""?-00;"",""?00;"", //"""),"'","""")</f>
        <v>082, 19401016, 1,    0, 00</v>
      </c>
    </row>
    <row r="1024" spans="1:1" x14ac:dyDescent="0.25">
      <c r="A1024" s="25" t="str">
        <f ca="1">TEXT(Regen!A1024,"000\,")&amp;TEXT(Regen!B1024,"?00000000")&amp;TEXT(Regen!C1024,""",""?0")&amp;SUBSTITUTE(TEXT(Regen!D1024,""",""????0;"",""???-0;"",""????0;"", ////"""),"'","""")&amp;SUBSTITUTE(TEXT(Regen!E1024,""",""?00;"",""?-00;"",""?00;"", //"""),"'","""")</f>
        <v>082, 19401017, 1,  170, 00</v>
      </c>
    </row>
    <row r="1025" spans="1:1" x14ac:dyDescent="0.25">
      <c r="A1025" s="25" t="str">
        <f ca="1">TEXT(Regen!A1025,"000\,")&amp;TEXT(Regen!B1025,"?00000000")&amp;TEXT(Regen!C1025,""",""?0")&amp;SUBSTITUTE(TEXT(Regen!D1025,""",""????0;"",""???-0;"",""????0;"", ////"""),"'","""")&amp;SUBSTITUTE(TEXT(Regen!E1025,""",""?00;"",""?-00;"",""?00;"", //"""),"'","""")</f>
        <v>082, 19401018, 1,    0, 00</v>
      </c>
    </row>
    <row r="1026" spans="1:1" x14ac:dyDescent="0.25">
      <c r="A1026" s="25" t="str">
        <f ca="1">TEXT(Regen!A1026,"000\,")&amp;TEXT(Regen!B1026,"?00000000")&amp;TEXT(Regen!C1026,""",""?0")&amp;SUBSTITUTE(TEXT(Regen!D1026,""",""????0;"",""???-0;"",""????0;"", ////"""),"'","""")&amp;SUBSTITUTE(TEXT(Regen!E1026,""",""?00;"",""?-00;"",""?00;"", //"""),"'","""")</f>
        <v>082, 19401019, 1,   20, 00</v>
      </c>
    </row>
    <row r="1027" spans="1:1" x14ac:dyDescent="0.25">
      <c r="A1027" s="25" t="str">
        <f ca="1">TEXT(Regen!A1027,"000\,")&amp;TEXT(Regen!B1027,"?00000000")&amp;TEXT(Regen!C1027,""",""?0")&amp;SUBSTITUTE(TEXT(Regen!D1027,""",""????0;"",""???-0;"",""????0;"", ////"""),"'","""")&amp;SUBSTITUTE(TEXT(Regen!E1027,""",""?00;"",""?-00;"",""?00;"", //"""),"'","""")</f>
        <v>082, 19401020, 1,    0, 00</v>
      </c>
    </row>
    <row r="1028" spans="1:1" x14ac:dyDescent="0.25">
      <c r="A1028" s="25" t="str">
        <f ca="1">TEXT(Regen!A1028,"000\,")&amp;TEXT(Regen!B1028,"?00000000")&amp;TEXT(Regen!C1028,""",""?0")&amp;SUBSTITUTE(TEXT(Regen!D1028,""",""????0;"",""???-0;"",""????0;"", ////"""),"'","""")&amp;SUBSTITUTE(TEXT(Regen!E1028,""",""?00;"",""?-00;"",""?00;"", //"""),"'","""")</f>
        <v>082, 19401021, 1,   15, 00</v>
      </c>
    </row>
    <row r="1029" spans="1:1" x14ac:dyDescent="0.25">
      <c r="A1029" s="25" t="str">
        <f ca="1">TEXT(Regen!A1029,"000\,")&amp;TEXT(Regen!B1029,"?00000000")&amp;TEXT(Regen!C1029,""",""?0")&amp;SUBSTITUTE(TEXT(Regen!D1029,""",""????0;"",""???-0;"",""????0;"", ////"""),"'","""")&amp;SUBSTITUTE(TEXT(Regen!E1029,""",""?00;"",""?-00;"",""?00;"", //"""),"'","""")</f>
        <v>082, 19401022, 1,   90, 00</v>
      </c>
    </row>
    <row r="1030" spans="1:1" x14ac:dyDescent="0.25">
      <c r="A1030" s="25" t="str">
        <f ca="1">TEXT(Regen!A1030,"000\,")&amp;TEXT(Regen!B1030,"?00000000")&amp;TEXT(Regen!C1030,""",""?0")&amp;SUBSTITUTE(TEXT(Regen!D1030,""",""????0;"",""???-0;"",""????0;"", ////"""),"'","""")&amp;SUBSTITUTE(TEXT(Regen!E1030,""",""?00;"",""?-00;"",""?00;"", //"""),"'","""")</f>
        <v>082, 19401023, 1,    0, 00</v>
      </c>
    </row>
    <row r="1031" spans="1:1" x14ac:dyDescent="0.25">
      <c r="A1031" s="25" t="str">
        <f ca="1">TEXT(Regen!A1031,"000\,")&amp;TEXT(Regen!B1031,"?00000000")&amp;TEXT(Regen!C1031,""",""?0")&amp;SUBSTITUTE(TEXT(Regen!D1031,""",""????0;"",""???-0;"",""????0;"", ////"""),"'","""")&amp;SUBSTITUTE(TEXT(Regen!E1031,""",""?00;"",""?-00;"",""?00;"", //"""),"'","""")</f>
        <v>082, 19401024, 1,    0, 00</v>
      </c>
    </row>
    <row r="1032" spans="1:1" x14ac:dyDescent="0.25">
      <c r="A1032" s="25" t="str">
        <f ca="1">TEXT(Regen!A1032,"000\,")&amp;TEXT(Regen!B1032,"?00000000")&amp;TEXT(Regen!C1032,""",""?0")&amp;SUBSTITUTE(TEXT(Regen!D1032,""",""????0;"",""???-0;"",""????0;"", ////"""),"'","""")&amp;SUBSTITUTE(TEXT(Regen!E1032,""",""?00;"",""?-00;"",""?00;"", //"""),"'","""")</f>
        <v>082, 19401025, 1,  230, 00</v>
      </c>
    </row>
    <row r="1033" spans="1:1" x14ac:dyDescent="0.25">
      <c r="A1033" s="25" t="str">
        <f ca="1">TEXT(Regen!A1033,"000\,")&amp;TEXT(Regen!B1033,"?00000000")&amp;TEXT(Regen!C1033,""",""?0")&amp;SUBSTITUTE(TEXT(Regen!D1033,""",""????0;"",""???-0;"",""????0;"", ////"""),"'","""")&amp;SUBSTITUTE(TEXT(Regen!E1033,""",""?00;"",""?-00;"",""?00;"", //"""),"'","""")</f>
        <v>082, 19401026, 1,    0, 00</v>
      </c>
    </row>
    <row r="1034" spans="1:1" x14ac:dyDescent="0.25">
      <c r="A1034" s="25" t="str">
        <f ca="1">TEXT(Regen!A1034,"000\,")&amp;TEXT(Regen!B1034,"?00000000")&amp;TEXT(Regen!C1034,""",""?0")&amp;SUBSTITUTE(TEXT(Regen!D1034,""",""????0;"",""???-0;"",""????0;"", ////"""),"'","""")&amp;SUBSTITUTE(TEXT(Regen!E1034,""",""?00;"",""?-00;"",""?00;"", //"""),"'","""")</f>
        <v>082, 19401027, 1,    0, 00</v>
      </c>
    </row>
    <row r="1035" spans="1:1" x14ac:dyDescent="0.25">
      <c r="A1035" s="25" t="str">
        <f ca="1">TEXT(Regen!A1035,"000\,")&amp;TEXT(Regen!B1035,"?00000000")&amp;TEXT(Regen!C1035,""",""?0")&amp;SUBSTITUTE(TEXT(Regen!D1035,""",""????0;"",""???-0;"",""????0;"", ////"""),"'","""")&amp;SUBSTITUTE(TEXT(Regen!E1035,""",""?00;"",""?-00;"",""?00;"", //"""),"'","""")</f>
        <v>082, 19401028, 1,    0, 00</v>
      </c>
    </row>
    <row r="1036" spans="1:1" x14ac:dyDescent="0.25">
      <c r="A1036" s="25" t="str">
        <f ca="1">TEXT(Regen!A1036,"000\,")&amp;TEXT(Regen!B1036,"?00000000")&amp;TEXT(Regen!C1036,""",""?0")&amp;SUBSTITUTE(TEXT(Regen!D1036,""",""????0;"",""???-0;"",""????0;"", ////"""),"'","""")&amp;SUBSTITUTE(TEXT(Regen!E1036,""",""?00;"",""?-00;"",""?00;"", //"""),"'","""")</f>
        <v>082, 19401029, 1,    0, 00</v>
      </c>
    </row>
    <row r="1037" spans="1:1" x14ac:dyDescent="0.25">
      <c r="A1037" s="25" t="str">
        <f ca="1">TEXT(Regen!A1037,"000\,")&amp;TEXT(Regen!B1037,"?00000000")&amp;TEXT(Regen!C1037,""",""?0")&amp;SUBSTITUTE(TEXT(Regen!D1037,""",""????0;"",""???-0;"",""????0;"", ////"""),"'","""")&amp;SUBSTITUTE(TEXT(Regen!E1037,""",""?00;"",""?-00;"",""?00;"", //"""),"'","""")</f>
        <v>082, 19401030, 1,   30, 00</v>
      </c>
    </row>
    <row r="1038" spans="1:1" x14ac:dyDescent="0.25">
      <c r="A1038" s="25" t="str">
        <f ca="1">TEXT(Regen!A1038,"000\,")&amp;TEXT(Regen!B1038,"?00000000")&amp;TEXT(Regen!C1038,""",""?0")&amp;SUBSTITUTE(TEXT(Regen!D1038,""",""????0;"",""???-0;"",""????0;"", ////"""),"'","""")&amp;SUBSTITUTE(TEXT(Regen!E1038,""",""?00;"",""?-00;"",""?00;"", //"""),"'","""")</f>
        <v>082, 19401031, 1,   55, 00</v>
      </c>
    </row>
    <row r="1039" spans="1:1" x14ac:dyDescent="0.25">
      <c r="A1039" s="25" t="str">
        <f ca="1">TEXT(Regen!A1039,"000\,")&amp;TEXT(Regen!B1039,"?00000000")&amp;TEXT(Regen!C1039,""",""?0")&amp;SUBSTITUTE(TEXT(Regen!D1039,""",""????0;"",""???-0;"",""????0;"", ////"""),"'","""")&amp;SUBSTITUTE(TEXT(Regen!E1039,""",""?00;"",""?-00;"",""?00;"", //"""),"'","""")</f>
        <v>082, 19401101, 1,   65, 00</v>
      </c>
    </row>
    <row r="1040" spans="1:1" x14ac:dyDescent="0.25">
      <c r="A1040" s="25" t="str">
        <f ca="1">TEXT(Regen!A1040,"000\,")&amp;TEXT(Regen!B1040,"?00000000")&amp;TEXT(Regen!C1040,""",""?0")&amp;SUBSTITUTE(TEXT(Regen!D1040,""",""????0;"",""???-0;"",""????0;"", ////"""),"'","""")&amp;SUBSTITUTE(TEXT(Regen!E1040,""",""?00;"",""?-00;"",""?00;"", //"""),"'","""")</f>
        <v>082, 19401102, 1,    0, 00</v>
      </c>
    </row>
    <row r="1041" spans="1:1" x14ac:dyDescent="0.25">
      <c r="A1041" s="25" t="str">
        <f ca="1">TEXT(Regen!A1041,"000\,")&amp;TEXT(Regen!B1041,"?00000000")&amp;TEXT(Regen!C1041,""",""?0")&amp;SUBSTITUTE(TEXT(Regen!D1041,""",""????0;"",""???-0;"",""????0;"", ////"""),"'","""")&amp;SUBSTITUTE(TEXT(Regen!E1041,""",""?00;"",""?-00;"",""?00;"", //"""),"'","""")</f>
        <v>082, 19401103, 1,    0, 00</v>
      </c>
    </row>
    <row r="1042" spans="1:1" x14ac:dyDescent="0.25">
      <c r="A1042" s="25" t="str">
        <f ca="1">TEXT(Regen!A1042,"000\,")&amp;TEXT(Regen!B1042,"?00000000")&amp;TEXT(Regen!C1042,""",""?0")&amp;SUBSTITUTE(TEXT(Regen!D1042,""",""????0;"",""???-0;"",""????0;"", ////"""),"'","""")&amp;SUBSTITUTE(TEXT(Regen!E1042,""",""?00;"",""?-00;"",""?00;"", //"""),"'","""")</f>
        <v>082, 19401104, 1,   65, 00</v>
      </c>
    </row>
    <row r="1043" spans="1:1" x14ac:dyDescent="0.25">
      <c r="A1043" s="25" t="str">
        <f ca="1">TEXT(Regen!A1043,"000\,")&amp;TEXT(Regen!B1043,"?00000000")&amp;TEXT(Regen!C1043,""",""?0")&amp;SUBSTITUTE(TEXT(Regen!D1043,""",""????0;"",""???-0;"",""????0;"", ////"""),"'","""")&amp;SUBSTITUTE(TEXT(Regen!E1043,""",""?00;"",""?-00;"",""?00;"", //"""),"'","""")</f>
        <v>082, 19401105, 1,   50, 00</v>
      </c>
    </row>
    <row r="1044" spans="1:1" x14ac:dyDescent="0.25">
      <c r="A1044" s="25" t="str">
        <f ca="1">TEXT(Regen!A1044,"000\,")&amp;TEXT(Regen!B1044,"?00000000")&amp;TEXT(Regen!C1044,""",""?0")&amp;SUBSTITUTE(TEXT(Regen!D1044,""",""????0;"",""???-0;"",""????0;"", ////"""),"'","""")&amp;SUBSTITUTE(TEXT(Regen!E1044,""",""?00;"",""?-00;"",""?00;"", //"""),"'","""")</f>
        <v>082, 19401106, 1,    0, 00</v>
      </c>
    </row>
    <row r="1045" spans="1:1" x14ac:dyDescent="0.25">
      <c r="A1045" s="25" t="str">
        <f ca="1">TEXT(Regen!A1045,"000\,")&amp;TEXT(Regen!B1045,"?00000000")&amp;TEXT(Regen!C1045,""",""?0")&amp;SUBSTITUTE(TEXT(Regen!D1045,""",""????0;"",""???-0;"",""????0;"", ////"""),"'","""")&amp;SUBSTITUTE(TEXT(Regen!E1045,""",""?00;"",""?-00;"",""?00;"", //"""),"'","""")</f>
        <v>082, 19401107, 1,    0, 00</v>
      </c>
    </row>
    <row r="1046" spans="1:1" x14ac:dyDescent="0.25">
      <c r="A1046" s="25" t="str">
        <f ca="1">TEXT(Regen!A1046,"000\,")&amp;TEXT(Regen!B1046,"?00000000")&amp;TEXT(Regen!C1046,""",""?0")&amp;SUBSTITUTE(TEXT(Regen!D1046,""",""????0;"",""???-0;"",""????0;"", ////"""),"'","""")&amp;SUBSTITUTE(TEXT(Regen!E1046,""",""?00;"",""?-00;"",""?00;"", //"""),"'","""")</f>
        <v>082, 19401108, 1,    0, 00</v>
      </c>
    </row>
    <row r="1047" spans="1:1" x14ac:dyDescent="0.25">
      <c r="A1047" s="25" t="str">
        <f ca="1">TEXT(Regen!A1047,"000\,")&amp;TEXT(Regen!B1047,"?00000000")&amp;TEXT(Regen!C1047,""",""?0")&amp;SUBSTITUTE(TEXT(Regen!D1047,""",""????0;"",""???-0;"",""????0;"", ////"""),"'","""")&amp;SUBSTITUTE(TEXT(Regen!E1047,""",""?00;"",""?-00;"",""?00;"", //"""),"'","""")</f>
        <v>082, 19401109, 1,    0, 00</v>
      </c>
    </row>
    <row r="1048" spans="1:1" x14ac:dyDescent="0.25">
      <c r="A1048" s="25" t="str">
        <f ca="1">TEXT(Regen!A1048,"000\,")&amp;TEXT(Regen!B1048,"?00000000")&amp;TEXT(Regen!C1048,""",""?0")&amp;SUBSTITUTE(TEXT(Regen!D1048,""",""????0;"",""???-0;"",""????0;"", ////"""),"'","""")&amp;SUBSTITUTE(TEXT(Regen!E1048,""",""?00;"",""?-00;"",""?00;"", //"""),"'","""")</f>
        <v>082, 19401110, 1,    0, 00</v>
      </c>
    </row>
    <row r="1049" spans="1:1" x14ac:dyDescent="0.25">
      <c r="A1049" s="25" t="str">
        <f ca="1">TEXT(Regen!A1049,"000\,")&amp;TEXT(Regen!B1049,"?00000000")&amp;TEXT(Regen!C1049,""",""?0")&amp;SUBSTITUTE(TEXT(Regen!D1049,""",""????0;"",""???-0;"",""????0;"", ////"""),"'","""")&amp;SUBSTITUTE(TEXT(Regen!E1049,""",""?00;"",""?-00;"",""?00;"", //"""),"'","""")</f>
        <v>082, 19401111, 1,   65, 00</v>
      </c>
    </row>
    <row r="1050" spans="1:1" x14ac:dyDescent="0.25">
      <c r="A1050" s="25" t="str">
        <f ca="1">TEXT(Regen!A1050,"000\,")&amp;TEXT(Regen!B1050,"?00000000")&amp;TEXT(Regen!C1050,""",""?0")&amp;SUBSTITUTE(TEXT(Regen!D1050,""",""????0;"",""???-0;"",""????0;"", ////"""),"'","""")&amp;SUBSTITUTE(TEXT(Regen!E1050,""",""?00;"",""?-00;"",""?00;"", //"""),"'","""")</f>
        <v>082, 19401112, 1,   90, 00</v>
      </c>
    </row>
    <row r="1051" spans="1:1" x14ac:dyDescent="0.25">
      <c r="A1051" s="25" t="str">
        <f ca="1">TEXT(Regen!A1051,"000\,")&amp;TEXT(Regen!B1051,"?00000000")&amp;TEXT(Regen!C1051,""",""?0")&amp;SUBSTITUTE(TEXT(Regen!D1051,""",""????0;"",""???-0;"",""????0;"", ////"""),"'","""")&amp;SUBSTITUTE(TEXT(Regen!E1051,""",""?00;"",""?-00;"",""?00;"", //"""),"'","""")</f>
        <v>082, 19401113, 1,   80, 00</v>
      </c>
    </row>
    <row r="1052" spans="1:1" x14ac:dyDescent="0.25">
      <c r="A1052" s="25" t="str">
        <f ca="1">TEXT(Regen!A1052,"000\,")&amp;TEXT(Regen!B1052,"?00000000")&amp;TEXT(Regen!C1052,""",""?0")&amp;SUBSTITUTE(TEXT(Regen!D1052,""",""????0;"",""???-0;"",""????0;"", ////"""),"'","""")&amp;SUBSTITUTE(TEXT(Regen!E1052,""",""?00;"",""?-00;"",""?00;"", //"""),"'","""")</f>
        <v>082, 19401114, 1,   35, 00</v>
      </c>
    </row>
    <row r="1053" spans="1:1" x14ac:dyDescent="0.25">
      <c r="A1053" s="25" t="str">
        <f ca="1">TEXT(Regen!A1053,"000\,")&amp;TEXT(Regen!B1053,"?00000000")&amp;TEXT(Regen!C1053,""",""?0")&amp;SUBSTITUTE(TEXT(Regen!D1053,""",""????0;"",""???-0;"",""????0;"", ////"""),"'","""")&amp;SUBSTITUTE(TEXT(Regen!E1053,""",""?00;"",""?-00;"",""?00;"", //"""),"'","""")</f>
        <v>082, 19401115, 1,  115, 00</v>
      </c>
    </row>
    <row r="1054" spans="1:1" x14ac:dyDescent="0.25">
      <c r="A1054" s="25" t="str">
        <f ca="1">TEXT(Regen!A1054,"000\,")&amp;TEXT(Regen!B1054,"?00000000")&amp;TEXT(Regen!C1054,""",""?0")&amp;SUBSTITUTE(TEXT(Regen!D1054,""",""????0;"",""???-0;"",""????0;"", ////"""),"'","""")&amp;SUBSTITUTE(TEXT(Regen!E1054,""",""?00;"",""?-00;"",""?00;"", //"""),"'","""")</f>
        <v>082, 19401116, 1,   75, 00</v>
      </c>
    </row>
    <row r="1055" spans="1:1" x14ac:dyDescent="0.25">
      <c r="A1055" s="25" t="str">
        <f ca="1">TEXT(Regen!A1055,"000\,")&amp;TEXT(Regen!B1055,"?00000000")&amp;TEXT(Regen!C1055,""",""?0")&amp;SUBSTITUTE(TEXT(Regen!D1055,""",""????0;"",""???-0;"",""????0;"", ////"""),"'","""")&amp;SUBSTITUTE(TEXT(Regen!E1055,""",""?00;"",""?-00;"",""?00;"", //"""),"'","""")</f>
        <v>082, 19401117, 1,   25, 00</v>
      </c>
    </row>
    <row r="1056" spans="1:1" x14ac:dyDescent="0.25">
      <c r="A1056" s="25" t="str">
        <f ca="1">TEXT(Regen!A1056,"000\,")&amp;TEXT(Regen!B1056,"?00000000")&amp;TEXT(Regen!C1056,""",""?0")&amp;SUBSTITUTE(TEXT(Regen!D1056,""",""????0;"",""???-0;"",""????0;"", ////"""),"'","""")&amp;SUBSTITUTE(TEXT(Regen!E1056,""",""?00;"",""?-00;"",""?00;"", //"""),"'","""")</f>
        <v>082, 19401118, 1,    0, 00</v>
      </c>
    </row>
    <row r="1057" spans="1:1" x14ac:dyDescent="0.25">
      <c r="A1057" s="25" t="str">
        <f ca="1">TEXT(Regen!A1057,"000\,")&amp;TEXT(Regen!B1057,"?00000000")&amp;TEXT(Regen!C1057,""",""?0")&amp;SUBSTITUTE(TEXT(Regen!D1057,""",""????0;"",""???-0;"",""????0;"", ////"""),"'","""")&amp;SUBSTITUTE(TEXT(Regen!E1057,""",""?00;"",""?-00;"",""?00;"", //"""),"'","""")</f>
        <v>082, 19401119, 1,   60, 00</v>
      </c>
    </row>
    <row r="1058" spans="1:1" x14ac:dyDescent="0.25">
      <c r="A1058" s="25" t="str">
        <f ca="1">TEXT(Regen!A1058,"000\,")&amp;TEXT(Regen!B1058,"?00000000")&amp;TEXT(Regen!C1058,""",""?0")&amp;SUBSTITUTE(TEXT(Regen!D1058,""",""????0;"",""???-0;"",""????0;"", ////"""),"'","""")&amp;SUBSTITUTE(TEXT(Regen!E1058,""",""?00;"",""?-00;"",""?00;"", //"""),"'","""")</f>
        <v>082, 19401120, 1,   70, 00</v>
      </c>
    </row>
    <row r="1059" spans="1:1" x14ac:dyDescent="0.25">
      <c r="A1059" s="25" t="str">
        <f ca="1">TEXT(Regen!A1059,"000\,")&amp;TEXT(Regen!B1059,"?00000000")&amp;TEXT(Regen!C1059,""",""?0")&amp;SUBSTITUTE(TEXT(Regen!D1059,""",""????0;"",""???-0;"",""????0;"", ////"""),"'","""")&amp;SUBSTITUTE(TEXT(Regen!E1059,""",""?00;"",""?-00;"",""?00;"", //"""),"'","""")</f>
        <v>082, 19401121, 1,    0, 00</v>
      </c>
    </row>
    <row r="1060" spans="1:1" x14ac:dyDescent="0.25">
      <c r="A1060" s="25" t="str">
        <f ca="1">TEXT(Regen!A1060,"000\,")&amp;TEXT(Regen!B1060,"?00000000")&amp;TEXT(Regen!C1060,""",""?0")&amp;SUBSTITUTE(TEXT(Regen!D1060,""",""????0;"",""???-0;"",""????0;"", ////"""),"'","""")&amp;SUBSTITUTE(TEXT(Regen!E1060,""",""?00;"",""?-00;"",""?00;"", //"""),"'","""")</f>
        <v>082, 19401122, 1,    0, 00</v>
      </c>
    </row>
    <row r="1061" spans="1:1" x14ac:dyDescent="0.25">
      <c r="A1061" s="25" t="str">
        <f ca="1">TEXT(Regen!A1061,"000\,")&amp;TEXT(Regen!B1061,"?00000000")&amp;TEXT(Regen!C1061,""",""?0")&amp;SUBSTITUTE(TEXT(Regen!D1061,""",""????0;"",""???-0;"",""????0;"", ////"""),"'","""")&amp;SUBSTITUTE(TEXT(Regen!E1061,""",""?00;"",""?-00;"",""?00;"", //"""),"'","""")</f>
        <v>082, 19401123, 1,    0, 00</v>
      </c>
    </row>
    <row r="1062" spans="1:1" x14ac:dyDescent="0.25">
      <c r="A1062" s="25" t="str">
        <f ca="1">TEXT(Regen!A1062,"000\,")&amp;TEXT(Regen!B1062,"?00000000")&amp;TEXT(Regen!C1062,""",""?0")&amp;SUBSTITUTE(TEXT(Regen!D1062,""",""????0;"",""???-0;"",""????0;"", ////"""),"'","""")&amp;SUBSTITUTE(TEXT(Regen!E1062,""",""?00;"",""?-00;"",""?00;"", //"""),"'","""")</f>
        <v>082, 19401124, 1,  270, 00</v>
      </c>
    </row>
    <row r="1063" spans="1:1" x14ac:dyDescent="0.25">
      <c r="A1063" s="25" t="str">
        <f ca="1">TEXT(Regen!A1063,"000\,")&amp;TEXT(Regen!B1063,"?00000000")&amp;TEXT(Regen!C1063,""",""?0")&amp;SUBSTITUTE(TEXT(Regen!D1063,""",""????0;"",""???-0;"",""????0;"", ////"""),"'","""")&amp;SUBSTITUTE(TEXT(Regen!E1063,""",""?00;"",""?-00;"",""?00;"", //"""),"'","""")</f>
        <v>082, 19401125, 1,    0, 00</v>
      </c>
    </row>
    <row r="1064" spans="1:1" x14ac:dyDescent="0.25">
      <c r="A1064" s="25" t="str">
        <f ca="1">TEXT(Regen!A1064,"000\,")&amp;TEXT(Regen!B1064,"?00000000")&amp;TEXT(Regen!C1064,""",""?0")&amp;SUBSTITUTE(TEXT(Regen!D1064,""",""????0;"",""???-0;"",""????0;"", ////"""),"'","""")&amp;SUBSTITUTE(TEXT(Regen!E1064,""",""?00;"",""?-00;"",""?00;"", //"""),"'","""")</f>
        <v>082, 19401126, 1,   65, 00</v>
      </c>
    </row>
    <row r="1065" spans="1:1" x14ac:dyDescent="0.25">
      <c r="A1065" s="25" t="str">
        <f ca="1">TEXT(Regen!A1065,"000\,")&amp;TEXT(Regen!B1065,"?00000000")&amp;TEXT(Regen!C1065,""",""?0")&amp;SUBSTITUTE(TEXT(Regen!D1065,""",""????0;"",""???-0;"",""????0;"", ////"""),"'","""")&amp;SUBSTITUTE(TEXT(Regen!E1065,""",""?00;"",""?-00;"",""?00;"", //"""),"'","""")</f>
        <v>082, 19401127, 1,    0, 00</v>
      </c>
    </row>
    <row r="1066" spans="1:1" x14ac:dyDescent="0.25">
      <c r="A1066" s="25" t="str">
        <f ca="1">TEXT(Regen!A1066,"000\,")&amp;TEXT(Regen!B1066,"?00000000")&amp;TEXT(Regen!C1066,""",""?0")&amp;SUBSTITUTE(TEXT(Regen!D1066,""",""????0;"",""???-0;"",""????0;"", ////"""),"'","""")&amp;SUBSTITUTE(TEXT(Regen!E1066,""",""?00;"",""?-00;"",""?00;"", //"""),"'","""")</f>
        <v>082, 19401128, 1,   30, 00</v>
      </c>
    </row>
    <row r="1067" spans="1:1" x14ac:dyDescent="0.25">
      <c r="A1067" s="25" t="str">
        <f ca="1">TEXT(Regen!A1067,"000\,")&amp;TEXT(Regen!B1067,"?00000000")&amp;TEXT(Regen!C1067,""",""?0")&amp;SUBSTITUTE(TEXT(Regen!D1067,""",""????0;"",""???-0;"",""????0;"", ////"""),"'","""")&amp;SUBSTITUTE(TEXT(Regen!E1067,""",""?00;"",""?-00;"",""?00;"", //"""),"'","""")</f>
        <v>082, 19401129, 1,  100, 00</v>
      </c>
    </row>
    <row r="1068" spans="1:1" x14ac:dyDescent="0.25">
      <c r="A1068" s="25" t="str">
        <f ca="1">TEXT(Regen!A1068,"000\,")&amp;TEXT(Regen!B1068,"?00000000")&amp;TEXT(Regen!C1068,""",""?0")&amp;SUBSTITUTE(TEXT(Regen!D1068,""",""????0;"",""???-0;"",""????0;"", ////"""),"'","""")&amp;SUBSTITUTE(TEXT(Regen!E1068,""",""?00;"",""?-00;"",""?00;"", //"""),"'","""")</f>
        <v>082, 19401130, 1,  110, 00</v>
      </c>
    </row>
    <row r="1069" spans="1:1" x14ac:dyDescent="0.25">
      <c r="A1069" s="25" t="str">
        <f ca="1">TEXT(Regen!A1069,"000\,")&amp;TEXT(Regen!B1069,"?00000000")&amp;TEXT(Regen!C1069,""",""?0")&amp;SUBSTITUTE(TEXT(Regen!D1069,""",""????0;"",""???-0;"",""????0;"", ////"""),"'","""")&amp;SUBSTITUTE(TEXT(Regen!E1069,""",""?00;"",""?-00;"",""?00;"", //"""),"'","""")</f>
        <v>082, 19401201, 1,    0, 00</v>
      </c>
    </row>
    <row r="1070" spans="1:1" x14ac:dyDescent="0.25">
      <c r="A1070" s="25" t="str">
        <f ca="1">TEXT(Regen!A1070,"000\,")&amp;TEXT(Regen!B1070,"?00000000")&amp;TEXT(Regen!C1070,""",""?0")&amp;SUBSTITUTE(TEXT(Regen!D1070,""",""????0;"",""???-0;"",""????0;"", ////"""),"'","""")&amp;SUBSTITUTE(TEXT(Regen!E1070,""",""?00;"",""?-00;"",""?00;"", //"""),"'","""")</f>
        <v>082, 19401202, 1,    0, 00</v>
      </c>
    </row>
    <row r="1071" spans="1:1" x14ac:dyDescent="0.25">
      <c r="A1071" s="25" t="str">
        <f ca="1">TEXT(Regen!A1071,"000\,")&amp;TEXT(Regen!B1071,"?00000000")&amp;TEXT(Regen!C1071,""",""?0")&amp;SUBSTITUTE(TEXT(Regen!D1071,""",""????0;"",""???-0;"",""????0;"", ////"""),"'","""")&amp;SUBSTITUTE(TEXT(Regen!E1071,""",""?00;"",""?-00;"",""?00;"", //"""),"'","""")</f>
        <v>082, 19401203, 1,    0, 00</v>
      </c>
    </row>
    <row r="1072" spans="1:1" x14ac:dyDescent="0.25">
      <c r="A1072" s="25" t="str">
        <f ca="1">TEXT(Regen!A1072,"000\,")&amp;TEXT(Regen!B1072,"?00000000")&amp;TEXT(Regen!C1072,""",""?0")&amp;SUBSTITUTE(TEXT(Regen!D1072,""",""????0;"",""???-0;"",""????0;"", ////"""),"'","""")&amp;SUBSTITUTE(TEXT(Regen!E1072,""",""?00;"",""?-00;"",""?00;"", //"""),"'","""")</f>
        <v>082, 19401204, 1,    0, 00</v>
      </c>
    </row>
    <row r="1073" spans="1:1" x14ac:dyDescent="0.25">
      <c r="A1073" s="25" t="str">
        <f ca="1">TEXT(Regen!A1073,"000\,")&amp;TEXT(Regen!B1073,"?00000000")&amp;TEXT(Regen!C1073,""",""?0")&amp;SUBSTITUTE(TEXT(Regen!D1073,""",""????0;"",""???-0;"",""????0;"", ////"""),"'","""")&amp;SUBSTITUTE(TEXT(Regen!E1073,""",""?00;"",""?-00;"",""?00;"", //"""),"'","""")</f>
        <v>082, 19401205, 1,   70, 00</v>
      </c>
    </row>
    <row r="1074" spans="1:1" x14ac:dyDescent="0.25">
      <c r="A1074" s="25" t="str">
        <f ca="1">TEXT(Regen!A1074,"000\,")&amp;TEXT(Regen!B1074,"?00000000")&amp;TEXT(Regen!C1074,""",""?0")&amp;SUBSTITUTE(TEXT(Regen!D1074,""",""????0;"",""???-0;"",""????0;"", ////"""),"'","""")&amp;SUBSTITUTE(TEXT(Regen!E1074,""",""?00;"",""?-00;"",""?00;"", //"""),"'","""")</f>
        <v>082, 19401206, 1,   20, 00</v>
      </c>
    </row>
    <row r="1075" spans="1:1" x14ac:dyDescent="0.25">
      <c r="A1075" s="25" t="str">
        <f ca="1">TEXT(Regen!A1075,"000\,")&amp;TEXT(Regen!B1075,"?00000000")&amp;TEXT(Regen!C1075,""",""?0")&amp;SUBSTITUTE(TEXT(Regen!D1075,""",""????0;"",""???-0;"",""????0;"", ////"""),"'","""")&amp;SUBSTITUTE(TEXT(Regen!E1075,""",""?00;"",""?-00;"",""?00;"", //"""),"'","""")</f>
        <v>082, 19401207, 1,    0, 00</v>
      </c>
    </row>
    <row r="1076" spans="1:1" x14ac:dyDescent="0.25">
      <c r="A1076" s="25" t="str">
        <f ca="1">TEXT(Regen!A1076,"000\,")&amp;TEXT(Regen!B1076,"?00000000")&amp;TEXT(Regen!C1076,""",""?0")&amp;SUBSTITUTE(TEXT(Regen!D1076,""",""????0;"",""???-0;"",""????0;"", ////"""),"'","""")&amp;SUBSTITUTE(TEXT(Regen!E1076,""",""?00;"",""?-00;"",""?00;"", //"""),"'","""")</f>
        <v>082, 19401208, 1,    0, 00</v>
      </c>
    </row>
    <row r="1077" spans="1:1" x14ac:dyDescent="0.25">
      <c r="A1077" s="25" t="str">
        <f ca="1">TEXT(Regen!A1077,"000\,")&amp;TEXT(Regen!B1077,"?00000000")&amp;TEXT(Regen!C1077,""",""?0")&amp;SUBSTITUTE(TEXT(Regen!D1077,""",""????0;"",""???-0;"",""????0;"", ////"""),"'","""")&amp;SUBSTITUTE(TEXT(Regen!E1077,""",""?00;"",""?-00;"",""?00;"", //"""),"'","""")</f>
        <v>082, 19401209, 1,    0, 00</v>
      </c>
    </row>
    <row r="1078" spans="1:1" x14ac:dyDescent="0.25">
      <c r="A1078" s="25" t="str">
        <f ca="1">TEXT(Regen!A1078,"000\,")&amp;TEXT(Regen!B1078,"?00000000")&amp;TEXT(Regen!C1078,""",""?0")&amp;SUBSTITUTE(TEXT(Regen!D1078,""",""????0;"",""???-0;"",""????0;"", ////"""),"'","""")&amp;SUBSTITUTE(TEXT(Regen!E1078,""",""?00;"",""?-00;"",""?00;"", //"""),"'","""")</f>
        <v>082, 19401210, 1,    0, 00</v>
      </c>
    </row>
    <row r="1079" spans="1:1" x14ac:dyDescent="0.25">
      <c r="A1079" s="25" t="str">
        <f ca="1">TEXT(Regen!A1079,"000\,")&amp;TEXT(Regen!B1079,"?00000000")&amp;TEXT(Regen!C1079,""",""?0")&amp;SUBSTITUTE(TEXT(Regen!D1079,""",""????0;"",""???-0;"",""????0;"", ////"""),"'","""")&amp;SUBSTITUTE(TEXT(Regen!E1079,""",""?00;"",""?-00;"",""?00;"", //"""),"'","""")</f>
        <v>082, 19401211, 1,   30, 00</v>
      </c>
    </row>
    <row r="1080" spans="1:1" x14ac:dyDescent="0.25">
      <c r="A1080" s="25" t="str">
        <f ca="1">TEXT(Regen!A1080,"000\,")&amp;TEXT(Regen!B1080,"?00000000")&amp;TEXT(Regen!C1080,""",""?0")&amp;SUBSTITUTE(TEXT(Regen!D1080,""",""????0;"",""???-0;"",""????0;"", ////"""),"'","""")&amp;SUBSTITUTE(TEXT(Regen!E1080,""",""?00;"",""?-00;"",""?00;"", //"""),"'","""")</f>
        <v>082, 19401212, 1,    0, 00</v>
      </c>
    </row>
    <row r="1081" spans="1:1" x14ac:dyDescent="0.25">
      <c r="A1081" s="25" t="str">
        <f ca="1">TEXT(Regen!A1081,"000\,")&amp;TEXT(Regen!B1081,"?00000000")&amp;TEXT(Regen!C1081,""",""?0")&amp;SUBSTITUTE(TEXT(Regen!D1081,""",""????0;"",""???-0;"",""????0;"", ////"""),"'","""")&amp;SUBSTITUTE(TEXT(Regen!E1081,""",""?00;"",""?-00;"",""?00;"", //"""),"'","""")</f>
        <v>082, 19401213, 1,    0, 00</v>
      </c>
    </row>
    <row r="1082" spans="1:1" x14ac:dyDescent="0.25">
      <c r="A1082" s="25" t="str">
        <f ca="1">TEXT(Regen!A1082,"000\,")&amp;TEXT(Regen!B1082,"?00000000")&amp;TEXT(Regen!C1082,""",""?0")&amp;SUBSTITUTE(TEXT(Regen!D1082,""",""????0;"",""???-0;"",""????0;"", ////"""),"'","""")&amp;SUBSTITUTE(TEXT(Regen!E1082,""",""?00;"",""?-00;"",""?00;"", //"""),"'","""")</f>
        <v>082, 19401214, 1,   80, 00</v>
      </c>
    </row>
    <row r="1083" spans="1:1" x14ac:dyDescent="0.25">
      <c r="A1083" s="25" t="str">
        <f ca="1">TEXT(Regen!A1083,"000\,")&amp;TEXT(Regen!B1083,"?00000000")&amp;TEXT(Regen!C1083,""",""?0")&amp;SUBSTITUTE(TEXT(Regen!D1083,""",""????0;"",""???-0;"",""????0;"", ////"""),"'","""")&amp;SUBSTITUTE(TEXT(Regen!E1083,""",""?00;"",""?-00;"",""?00;"", //"""),"'","""")</f>
        <v>082, 19401215, 1,   45, 00</v>
      </c>
    </row>
    <row r="1084" spans="1:1" x14ac:dyDescent="0.25">
      <c r="A1084" s="25" t="str">
        <f ca="1">TEXT(Regen!A1084,"000\,")&amp;TEXT(Regen!B1084,"?00000000")&amp;TEXT(Regen!C1084,""",""?0")&amp;SUBSTITUTE(TEXT(Regen!D1084,""",""????0;"",""???-0;"",""????0;"", ////"""),"'","""")&amp;SUBSTITUTE(TEXT(Regen!E1084,""",""?00;"",""?-00;"",""?00;"", //"""),"'","""")</f>
        <v>082, 19401216, 1,    0, 00</v>
      </c>
    </row>
    <row r="1085" spans="1:1" x14ac:dyDescent="0.25">
      <c r="A1085" s="25" t="str">
        <f ca="1">TEXT(Regen!A1085,"000\,")&amp;TEXT(Regen!B1085,"?00000000")&amp;TEXT(Regen!C1085,""",""?0")&amp;SUBSTITUTE(TEXT(Regen!D1085,""",""????0;"",""???-0;"",""????0;"", ////"""),"'","""")&amp;SUBSTITUTE(TEXT(Regen!E1085,""",""?00;"",""?-00;"",""?00;"", //"""),"'","""")</f>
        <v>082, 19401217, 1,    0, 00</v>
      </c>
    </row>
    <row r="1086" spans="1:1" x14ac:dyDescent="0.25">
      <c r="A1086" s="25" t="str">
        <f ca="1">TEXT(Regen!A1086,"000\,")&amp;TEXT(Regen!B1086,"?00000000")&amp;TEXT(Regen!C1086,""",""?0")&amp;SUBSTITUTE(TEXT(Regen!D1086,""",""????0;"",""???-0;"",""????0;"", ////"""),"'","""")&amp;SUBSTITUTE(TEXT(Regen!E1086,""",""?00;"",""?-00;"",""?00;"", //"""),"'","""")</f>
        <v>082, 19401218, 1,    0, 00</v>
      </c>
    </row>
    <row r="1087" spans="1:1" x14ac:dyDescent="0.25">
      <c r="A1087" s="25" t="str">
        <f ca="1">TEXT(Regen!A1087,"000\,")&amp;TEXT(Regen!B1087,"?00000000")&amp;TEXT(Regen!C1087,""",""?0")&amp;SUBSTITUTE(TEXT(Regen!D1087,""",""????0;"",""???-0;"",""????0;"", ////"""),"'","""")&amp;SUBSTITUTE(TEXT(Regen!E1087,""",""?00;"",""?-00;"",""?00;"", //"""),"'","""")</f>
        <v>082, 19401219, 1,   40, 00</v>
      </c>
    </row>
    <row r="1088" spans="1:1" x14ac:dyDescent="0.25">
      <c r="A1088" s="25" t="str">
        <f ca="1">TEXT(Regen!A1088,"000\,")&amp;TEXT(Regen!B1088,"?00000000")&amp;TEXT(Regen!C1088,""",""?0")&amp;SUBSTITUTE(TEXT(Regen!D1088,""",""????0;"",""???-0;"",""????0;"", ////"""),"'","""")&amp;SUBSTITUTE(TEXT(Regen!E1088,""",""?00;"",""?-00;"",""?00;"", //"""),"'","""")</f>
        <v>082, 19401220, 1,    0, 00</v>
      </c>
    </row>
    <row r="1089" spans="1:1" x14ac:dyDescent="0.25">
      <c r="A1089" s="25" t="str">
        <f ca="1">TEXT(Regen!A1089,"000\,")&amp;TEXT(Regen!B1089,"?00000000")&amp;TEXT(Regen!C1089,""",""?0")&amp;SUBSTITUTE(TEXT(Regen!D1089,""",""????0;"",""???-0;"",""????0;"", ////"""),"'","""")&amp;SUBSTITUTE(TEXT(Regen!E1089,""",""?00;"",""?-00;"",""?00;"", //"""),"'","""")</f>
        <v>082, 19401221, 1,   50, 00</v>
      </c>
    </row>
    <row r="1090" spans="1:1" x14ac:dyDescent="0.25">
      <c r="A1090" s="25" t="str">
        <f ca="1">TEXT(Regen!A1090,"000\,")&amp;TEXT(Regen!B1090,"?00000000")&amp;TEXT(Regen!C1090,""",""?0")&amp;SUBSTITUTE(TEXT(Regen!D1090,""",""????0;"",""???-0;"",""????0;"", ////"""),"'","""")&amp;SUBSTITUTE(TEXT(Regen!E1090,""",""?00;"",""?-00;"",""?00;"", //"""),"'","""")</f>
        <v>082, 19401222, 1,    0, 00</v>
      </c>
    </row>
    <row r="1091" spans="1:1" x14ac:dyDescent="0.25">
      <c r="A1091" s="25" t="str">
        <f ca="1">TEXT(Regen!A1091,"000\,")&amp;TEXT(Regen!B1091,"?00000000")&amp;TEXT(Regen!C1091,""",""?0")&amp;SUBSTITUTE(TEXT(Regen!D1091,""",""????0;"",""???-0;"",""????0;"", ////"""),"'","""")&amp;SUBSTITUTE(TEXT(Regen!E1091,""",""?00;"",""?-00;"",""?00;"", //"""),"'","""")</f>
        <v>082, 19401223, 1,    0, 00</v>
      </c>
    </row>
    <row r="1092" spans="1:1" x14ac:dyDescent="0.25">
      <c r="A1092" s="25" t="str">
        <f ca="1">TEXT(Regen!A1092,"000\,")&amp;TEXT(Regen!B1092,"?00000000")&amp;TEXT(Regen!C1092,""",""?0")&amp;SUBSTITUTE(TEXT(Regen!D1092,""",""????0;"",""???-0;"",""????0;"", ////"""),"'","""")&amp;SUBSTITUTE(TEXT(Regen!E1092,""",""?00;"",""?-00;"",""?00;"", //"""),"'","""")</f>
        <v>082, 19401224, 1,  280, 00</v>
      </c>
    </row>
    <row r="1093" spans="1:1" x14ac:dyDescent="0.25">
      <c r="A1093" s="25" t="str">
        <f ca="1">TEXT(Regen!A1093,"000\,")&amp;TEXT(Regen!B1093,"?00000000")&amp;TEXT(Regen!C1093,""",""?0")&amp;SUBSTITUTE(TEXT(Regen!D1093,""",""????0;"",""???-0;"",""????0;"", ////"""),"'","""")&amp;SUBSTITUTE(TEXT(Regen!E1093,""",""?00;"",""?-00;"",""?00;"", //"""),"'","""")</f>
        <v>082, 19401225, 1,    0, 00</v>
      </c>
    </row>
    <row r="1094" spans="1:1" x14ac:dyDescent="0.25">
      <c r="A1094" s="25" t="str">
        <f ca="1">TEXT(Regen!A1094,"000\,")&amp;TEXT(Regen!B1094,"?00000000")&amp;TEXT(Regen!C1094,""",""?0")&amp;SUBSTITUTE(TEXT(Regen!D1094,""",""????0;"",""???-0;"",""????0;"", ////"""),"'","""")&amp;SUBSTITUTE(TEXT(Regen!E1094,""",""?00;"",""?-00;"",""?00;"", //"""),"'","""")</f>
        <v>082, 19401226, 1,    0, 00</v>
      </c>
    </row>
    <row r="1095" spans="1:1" x14ac:dyDescent="0.25">
      <c r="A1095" s="25" t="str">
        <f ca="1">TEXT(Regen!A1095,"000\,")&amp;TEXT(Regen!B1095,"?00000000")&amp;TEXT(Regen!C1095,""",""?0")&amp;SUBSTITUTE(TEXT(Regen!D1095,""",""????0;"",""???-0;"",""????0;"", ////"""),"'","""")&amp;SUBSTITUTE(TEXT(Regen!E1095,""",""?00;"",""?-00;"",""?00;"", //"""),"'","""")</f>
        <v>082, 19401227, 1,    0, 00</v>
      </c>
    </row>
    <row r="1096" spans="1:1" x14ac:dyDescent="0.25">
      <c r="A1096" s="25" t="str">
        <f ca="1">TEXT(Regen!A1096,"000\,")&amp;TEXT(Regen!B1096,"?00000000")&amp;TEXT(Regen!C1096,""",""?0")&amp;SUBSTITUTE(TEXT(Regen!D1096,""",""????0;"",""???-0;"",""????0;"", ////"""),"'","""")&amp;SUBSTITUTE(TEXT(Regen!E1096,""",""?00;"",""?-00;"",""?00;"", //"""),"'","""")</f>
        <v>082, 19401228, 1,    0, 00</v>
      </c>
    </row>
    <row r="1097" spans="1:1" x14ac:dyDescent="0.25">
      <c r="A1097" s="25" t="str">
        <f ca="1">TEXT(Regen!A1097,"000\,")&amp;TEXT(Regen!B1097,"?00000000")&amp;TEXT(Regen!C1097,""",""?0")&amp;SUBSTITUTE(TEXT(Regen!D1097,""",""????0;"",""???-0;"",""????0;"", ////"""),"'","""")&amp;SUBSTITUTE(TEXT(Regen!E1097,""",""?00;"",""?-00;"",""?00;"", //"""),"'","""")</f>
        <v>082, 19401229, 1,   20, 00</v>
      </c>
    </row>
    <row r="1098" spans="1:1" x14ac:dyDescent="0.25">
      <c r="A1098" s="25" t="str">
        <f ca="1">TEXT(Regen!A1098,"000\,")&amp;TEXT(Regen!B1098,"?00000000")&amp;TEXT(Regen!C1098,""",""?0")&amp;SUBSTITUTE(TEXT(Regen!D1098,""",""????0;"",""???-0;"",""????0;"", ////"""),"'","""")&amp;SUBSTITUTE(TEXT(Regen!E1098,""",""?00;"",""?-00;"",""?00;"", //"""),"'","""")</f>
        <v>082, 19401230, 1,    0, 00</v>
      </c>
    </row>
    <row r="1099" spans="1:1" x14ac:dyDescent="0.25">
      <c r="A1099" s="25" t="str">
        <f ca="1">TEXT(Regen!A1099,"000\,")&amp;TEXT(Regen!B1099,"?00000000")&amp;TEXT(Regen!C1099,""",""?0")&amp;SUBSTITUTE(TEXT(Regen!D1099,""",""????0;"",""???-0;"",""????0;"", ////"""),"'","""")&amp;SUBSTITUTE(TEXT(Regen!E1099,""",""?00;"",""?-00;"",""?00;"", //"""),"'","""")</f>
        <v>082, 19401231, 1,    0, 00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1099"/>
  <sheetViews>
    <sheetView workbookViewId="0"/>
  </sheetViews>
  <sheetFormatPr defaultRowHeight="15" x14ac:dyDescent="0.25"/>
  <cols>
    <col min="1" max="1" width="52.7109375" bestFit="1" customWidth="1"/>
  </cols>
  <sheetData>
    <row r="1" spans="1:1" x14ac:dyDescent="0.25">
      <c r="A1" s="25" t="str">
        <f>""""&amp;Overig!A1&amp;""", """&amp;Overig!B1&amp;""", """&amp;Overig!C1&amp;""", """&amp;Overig!D1&amp;""", """&amp;Overig!E1&amp;""", """&amp;Overig!F1&amp;""", """&amp;Overig!G1&amp;""""</f>
        <v>"Stn", "Datum", "Tijd", "P", "qP", "T", "qT"</v>
      </c>
    </row>
    <row r="2" spans="1:1" x14ac:dyDescent="0.25">
      <c r="A2" s="25" t="str">
        <f ca="1">TEXT(Overig!A2,"000\,")&amp;TEXT(Overig!B2,"?00000000")&amp;TEXT(Overig!C2,""", ""@")&amp;SUBSTITUTE(TEXT(IF(ISTEXT(Overig!D2),Overig!D2,10*Overig!D2),""",""????0;"",""???-0;"",""????0;"", ////"""),"'","""")&amp;SUBSTITUTE(TEXT(Overig!E2,""",""?00;"",""?-00;"",""?00;"", //"""),"'","""")&amp;SUBSTITUTE(TEXT(IF(ISTEXT(Overig!F2),Overig!F2,10*Overig!F2),""",""????0;"",""???-0;"",""????0;"", ////"""),"'","""")&amp;SUBSTITUTE(TEXT(Overig!G2,""",""?00;"",""?-00;"",""?00;"", //"""),"'","""")</f>
        <v>081, 19400101, 07.45, 7490, 00,  260, 00</v>
      </c>
    </row>
    <row r="3" spans="1:1" x14ac:dyDescent="0.25">
      <c r="A3" s="25" t="str">
        <f ca="1">TEXT(Overig!A3,"000\,")&amp;TEXT(Overig!B3,"?00000000")&amp;TEXT(Overig!C3,""", ""@")&amp;SUBSTITUTE(TEXT(IF(ISTEXT(Overig!D3),Overig!D3,10*Overig!D3),""",""????0;"",""???-0;"",""????0;"", ////"""),"'","""")&amp;SUBSTITUTE(TEXT(Overig!E3,""",""?00;"",""?-00;"",""?00;"", //"""),"'","""")&amp;SUBSTITUTE(TEXT(IF(ISTEXT(Overig!F3),Overig!F3,10*Overig!F3),""",""????0;"",""???-0;"",""????0;"", ////"""),"'","""")&amp;SUBSTITUTE(TEXT(Overig!G3,""",""?00;"",""?-00;"",""?00;"", //"""),"'","""")</f>
        <v>081, 19400101, 13.45, 7480, 00,  280, 00</v>
      </c>
    </row>
    <row r="4" spans="1:1" x14ac:dyDescent="0.25">
      <c r="A4" s="25" t="str">
        <f ca="1">TEXT(Overig!A4,"000\,")&amp;TEXT(Overig!B4,"?00000000")&amp;TEXT(Overig!C4,""", ""@")&amp;SUBSTITUTE(TEXT(IF(ISTEXT(Overig!D4),Overig!D4,10*Overig!D4),""",""????0;"",""???-0;"",""????0;"", ////"""),"'","""")&amp;SUBSTITUTE(TEXT(Overig!E4,""",""?00;"",""?-00;"",""?00;"", //"""),"'","""")&amp;SUBSTITUTE(TEXT(IF(ISTEXT(Overig!F4),Overig!F4,10*Overig!F4),""",""????0;"",""???-0;"",""????0;"", ////"""),"'","""")&amp;SUBSTITUTE(TEXT(Overig!G4,""",""?00;"",""?-00;"",""?00;"", //"""),"'","""")</f>
        <v>081, 19400101, 19.45, 7490, 00,  270, 00</v>
      </c>
    </row>
    <row r="5" spans="1:1" x14ac:dyDescent="0.25">
      <c r="A5" s="25" t="str">
        <f ca="1">TEXT(Overig!A5,"000\,")&amp;TEXT(Overig!B5,"?00000000")&amp;TEXT(Overig!C5,""", ""@")&amp;SUBSTITUTE(TEXT(IF(ISTEXT(Overig!D5),Overig!D5,10*Overig!D5),""",""????0;"",""???-0;"",""????0;"", ////"""),"'","""")&amp;SUBSTITUTE(TEXT(Overig!E5,""",""?00;"",""?-00;"",""?00;"", //"""),"'","""")&amp;SUBSTITUTE(TEXT(IF(ISTEXT(Overig!F5),Overig!F5,10*Overig!F5),""",""????0;"",""???-0;"",""????0;"", ////"""),"'","""")&amp;SUBSTITUTE(TEXT(Overig!G5,""",""?00;"",""?-00;"",""?00;"", //"""),"'","""")</f>
        <v>081, 19400102, 07.45, 7500, 00,  260, 00</v>
      </c>
    </row>
    <row r="6" spans="1:1" x14ac:dyDescent="0.25">
      <c r="A6" s="25" t="str">
        <f ca="1">TEXT(Overig!A6,"000\,")&amp;TEXT(Overig!B6,"?00000000")&amp;TEXT(Overig!C6,""", ""@")&amp;SUBSTITUTE(TEXT(IF(ISTEXT(Overig!D6),Overig!D6,10*Overig!D6),""",""????0;"",""???-0;"",""????0;"", ////"""),"'","""")&amp;SUBSTITUTE(TEXT(Overig!E6,""",""?00;"",""?-00;"",""?00;"", //"""),"'","""")&amp;SUBSTITUTE(TEXT(IF(ISTEXT(Overig!F6),Overig!F6,10*Overig!F6),""",""????0;"",""???-0;"",""????0;"", ////"""),"'","""")&amp;SUBSTITUTE(TEXT(Overig!G6,""",""?00;"",""?-00;"",""?00;"", //"""),"'","""")</f>
        <v>081, 19400102, 13.45, 7490, 00,  270, 00</v>
      </c>
    </row>
    <row r="7" spans="1:1" x14ac:dyDescent="0.25">
      <c r="A7" s="25" t="str">
        <f ca="1">TEXT(Overig!A7,"000\,")&amp;TEXT(Overig!B7,"?00000000")&amp;TEXT(Overig!C7,""", ""@")&amp;SUBSTITUTE(TEXT(IF(ISTEXT(Overig!D7),Overig!D7,10*Overig!D7),""",""????0;"",""???-0;"",""????0;"", ////"""),"'","""")&amp;SUBSTITUTE(TEXT(Overig!E7,""",""?00;"",""?-00;"",""?00;"", //"""),"'","""")&amp;SUBSTITUTE(TEXT(IF(ISTEXT(Overig!F7),Overig!F7,10*Overig!F7),""",""????0;"",""???-0;"",""????0;"", ////"""),"'","""")&amp;SUBSTITUTE(TEXT(Overig!G7,""",""?00;"",""?-00;"",""?00;"", //"""),"'","""")</f>
        <v>081, 19400102, 19.45, 7500, 00,  270, 00</v>
      </c>
    </row>
    <row r="8" spans="1:1" x14ac:dyDescent="0.25">
      <c r="A8" s="25" t="str">
        <f ca="1">TEXT(Overig!A8,"000\,")&amp;TEXT(Overig!B8,"?00000000")&amp;TEXT(Overig!C8,""", ""@")&amp;SUBSTITUTE(TEXT(IF(ISTEXT(Overig!D8),Overig!D8,10*Overig!D8),""",""????0;"",""???-0;"",""????0;"", ////"""),"'","""")&amp;SUBSTITUTE(TEXT(Overig!E8,""",""?00;"",""?-00;"",""?00;"", //"""),"'","""")&amp;SUBSTITUTE(TEXT(IF(ISTEXT(Overig!F8),Overig!F8,10*Overig!F8),""",""????0;"",""???-0;"",""????0;"", ////"""),"'","""")&amp;SUBSTITUTE(TEXT(Overig!G8,""",""?00;"",""?-00;"",""?00;"", //"""),"'","""")</f>
        <v>081, 19400103, 07.45, 7500, 00,  260, 00</v>
      </c>
    </row>
    <row r="9" spans="1:1" x14ac:dyDescent="0.25">
      <c r="A9" s="25" t="str">
        <f ca="1">TEXT(Overig!A9,"000\,")&amp;TEXT(Overig!B9,"?00000000")&amp;TEXT(Overig!C9,""", ""@")&amp;SUBSTITUTE(TEXT(IF(ISTEXT(Overig!D9),Overig!D9,10*Overig!D9),""",""????0;"",""???-0;"",""????0;"", ////"""),"'","""")&amp;SUBSTITUTE(TEXT(Overig!E9,""",""?00;"",""?-00;"",""?00;"", //"""),"'","""")&amp;SUBSTITUTE(TEXT(IF(ISTEXT(Overig!F9),Overig!F9,10*Overig!F9),""",""????0;"",""???-0;"",""????0;"", ////"""),"'","""")&amp;SUBSTITUTE(TEXT(Overig!G9,""",""?00;"",""?-00;"",""?00;"", //"""),"'","""")</f>
        <v>081, 19400103, 13.45, 7500, 00,  280, 00</v>
      </c>
    </row>
    <row r="10" spans="1:1" x14ac:dyDescent="0.25">
      <c r="A10" s="25" t="str">
        <f ca="1">TEXT(Overig!A10,"000\,")&amp;TEXT(Overig!B10,"?00000000")&amp;TEXT(Overig!C10,""", ""@")&amp;SUBSTITUTE(TEXT(IF(ISTEXT(Overig!D10),Overig!D10,10*Overig!D10),""",""????0;"",""???-0;"",""????0;"", ////"""),"'","""")&amp;SUBSTITUTE(TEXT(Overig!E10,""",""?00;"",""?-00;"",""?00;"", //"""),"'","""")&amp;SUBSTITUTE(TEXT(IF(ISTEXT(Overig!F10),Overig!F10,10*Overig!F10),""",""????0;"",""???-0;"",""????0;"", ////"""),"'","""")&amp;SUBSTITUTE(TEXT(Overig!G10,""",""?00;"",""?-00;"",""?00;"", //"""),"'","""")</f>
        <v>081, 19400103, 19.45, 7500, 00,  270, 00</v>
      </c>
    </row>
    <row r="11" spans="1:1" x14ac:dyDescent="0.25">
      <c r="A11" s="25" t="str">
        <f ca="1">TEXT(Overig!A11,"000\,")&amp;TEXT(Overig!B11,"?00000000")&amp;TEXT(Overig!C11,""", ""@")&amp;SUBSTITUTE(TEXT(IF(ISTEXT(Overig!D11),Overig!D11,10*Overig!D11),""",""????0;"",""???-0;"",""????0;"", ////"""),"'","""")&amp;SUBSTITUTE(TEXT(Overig!E11,""",""?00;"",""?-00;"",""?00;"", //"""),"'","""")&amp;SUBSTITUTE(TEXT(IF(ISTEXT(Overig!F11),Overig!F11,10*Overig!F11),""",""????0;"",""???-0;"",""????0;"", ////"""),"'","""")&amp;SUBSTITUTE(TEXT(Overig!G11,""",""?00;"",""?-00;"",""?00;"", //"""),"'","""")</f>
        <v>081, 19400104, 07.45, 7500, 00,  260, 00</v>
      </c>
    </row>
    <row r="12" spans="1:1" x14ac:dyDescent="0.25">
      <c r="A12" s="25" t="str">
        <f ca="1">TEXT(Overig!A12,"000\,")&amp;TEXT(Overig!B12,"?00000000")&amp;TEXT(Overig!C12,""", ""@")&amp;SUBSTITUTE(TEXT(IF(ISTEXT(Overig!D12),Overig!D12,10*Overig!D12),""",""????0;"",""???-0;"",""????0;"", ////"""),"'","""")&amp;SUBSTITUTE(TEXT(Overig!E12,""",""?00;"",""?-00;"",""?00;"", //"""),"'","""")&amp;SUBSTITUTE(TEXT(IF(ISTEXT(Overig!F12),Overig!F12,10*Overig!F12),""",""????0;"",""???-0;"",""????0;"", ////"""),"'","""")&amp;SUBSTITUTE(TEXT(Overig!G12,""",""?00;"",""?-00;"",""?00;"", //"""),"'","""")</f>
        <v>081, 19400104, 13.45, 7500, 00,  280, 00</v>
      </c>
    </row>
    <row r="13" spans="1:1" x14ac:dyDescent="0.25">
      <c r="A13" s="25" t="str">
        <f ca="1">TEXT(Overig!A13,"000\,")&amp;TEXT(Overig!B13,"?00000000")&amp;TEXT(Overig!C13,""", ""@")&amp;SUBSTITUTE(TEXT(IF(ISTEXT(Overig!D13),Overig!D13,10*Overig!D13),""",""????0;"",""???-0;"",""????0;"", ////"""),"'","""")&amp;SUBSTITUTE(TEXT(Overig!E13,""",""?00;"",""?-00;"",""?00;"", //"""),"'","""")&amp;SUBSTITUTE(TEXT(IF(ISTEXT(Overig!F13),Overig!F13,10*Overig!F13),""",""????0;"",""???-0;"",""????0;"", ////"""),"'","""")&amp;SUBSTITUTE(TEXT(Overig!G13,""",""?00;"",""?-00;"",""?00;"", //"""),"'","""")</f>
        <v>081, 19400104, 19.45, 7500, 00,  270, 00</v>
      </c>
    </row>
    <row r="14" spans="1:1" x14ac:dyDescent="0.25">
      <c r="A14" s="25" t="str">
        <f ca="1">TEXT(Overig!A14,"000\,")&amp;TEXT(Overig!B14,"?00000000")&amp;TEXT(Overig!C14,""", ""@")&amp;SUBSTITUTE(TEXT(IF(ISTEXT(Overig!D14),Overig!D14,10*Overig!D14),""",""????0;"",""???-0;"",""????0;"", ////"""),"'","""")&amp;SUBSTITUTE(TEXT(Overig!E14,""",""?00;"",""?-00;"",""?00;"", //"""),"'","""")&amp;SUBSTITUTE(TEXT(IF(ISTEXT(Overig!F14),Overig!F14,10*Overig!F14),""",""????0;"",""???-0;"",""????0;"", ////"""),"'","""")&amp;SUBSTITUTE(TEXT(Overig!G14,""",""?00;"",""?-00;"",""?00;"", //"""),"'","""")</f>
        <v>081, 19400105, 07.45, 7500, 00,  260, 00</v>
      </c>
    </row>
    <row r="15" spans="1:1" x14ac:dyDescent="0.25">
      <c r="A15" s="25" t="str">
        <f ca="1">TEXT(Overig!A15,"000\,")&amp;TEXT(Overig!B15,"?00000000")&amp;TEXT(Overig!C15,""", ""@")&amp;SUBSTITUTE(TEXT(IF(ISTEXT(Overig!D15),Overig!D15,10*Overig!D15),""",""????0;"",""???-0;"",""????0;"", ////"""),"'","""")&amp;SUBSTITUTE(TEXT(Overig!E15,""",""?00;"",""?-00;"",""?00;"", //"""),"'","""")&amp;SUBSTITUTE(TEXT(IF(ISTEXT(Overig!F15),Overig!F15,10*Overig!F15),""",""????0;"",""???-0;"",""????0;"", ////"""),"'","""")&amp;SUBSTITUTE(TEXT(Overig!G15,""",""?00;"",""?-00;"",""?00;"", //"""),"'","""")</f>
        <v>081, 19400105, 13.45, 7500, 00,  280, 00</v>
      </c>
    </row>
    <row r="16" spans="1:1" x14ac:dyDescent="0.25">
      <c r="A16" s="25" t="str">
        <f ca="1">TEXT(Overig!A16,"000\,")&amp;TEXT(Overig!B16,"?00000000")&amp;TEXT(Overig!C16,""", ""@")&amp;SUBSTITUTE(TEXT(IF(ISTEXT(Overig!D16),Overig!D16,10*Overig!D16),""",""????0;"",""???-0;"",""????0;"", ////"""),"'","""")&amp;SUBSTITUTE(TEXT(Overig!E16,""",""?00;"",""?-00;"",""?00;"", //"""),"'","""")&amp;SUBSTITUTE(TEXT(IF(ISTEXT(Overig!F16),Overig!F16,10*Overig!F16),""",""????0;"",""???-0;"",""????0;"", ////"""),"'","""")&amp;SUBSTITUTE(TEXT(Overig!G16,""",""?00;"",""?-00;"",""?00;"", //"""),"'","""")</f>
        <v>081, 19400105, 19.45, 7500, 00,  270, 00</v>
      </c>
    </row>
    <row r="17" spans="1:1" x14ac:dyDescent="0.25">
      <c r="A17" s="25" t="str">
        <f ca="1">TEXT(Overig!A17,"000\,")&amp;TEXT(Overig!B17,"?00000000")&amp;TEXT(Overig!C17,""", ""@")&amp;SUBSTITUTE(TEXT(IF(ISTEXT(Overig!D17),Overig!D17,10*Overig!D17),""",""????0;"",""???-0;"",""????0;"", ////"""),"'","""")&amp;SUBSTITUTE(TEXT(Overig!E17,""",""?00;"",""?-00;"",""?00;"", //"""),"'","""")&amp;SUBSTITUTE(TEXT(IF(ISTEXT(Overig!F17),Overig!F17,10*Overig!F17),""",""????0;"",""???-0;"",""????0;"", ////"""),"'","""")&amp;SUBSTITUTE(TEXT(Overig!G17,""",""?00;"",""?-00;"",""?00;"", //"""),"'","""")</f>
        <v>081, 19400106, 07.45, 7500, 00,  260, 00</v>
      </c>
    </row>
    <row r="18" spans="1:1" x14ac:dyDescent="0.25">
      <c r="A18" s="25" t="str">
        <f ca="1">TEXT(Overig!A18,"000\,")&amp;TEXT(Overig!B18,"?00000000")&amp;TEXT(Overig!C18,""", ""@")&amp;SUBSTITUTE(TEXT(IF(ISTEXT(Overig!D18),Overig!D18,10*Overig!D18),""",""????0;"",""???-0;"",""????0;"", ////"""),"'","""")&amp;SUBSTITUTE(TEXT(Overig!E18,""",""?00;"",""?-00;"",""?00;"", //"""),"'","""")&amp;SUBSTITUTE(TEXT(IF(ISTEXT(Overig!F18),Overig!F18,10*Overig!F18),""",""????0;"",""???-0;"",""????0;"", ////"""),"'","""")&amp;SUBSTITUTE(TEXT(Overig!G18,""",""?00;"",""?-00;"",""?00;"", //"""),"'","""")</f>
        <v>081, 19400106, 13.45, 7500, 00,  280, 00</v>
      </c>
    </row>
    <row r="19" spans="1:1" x14ac:dyDescent="0.25">
      <c r="A19" s="25" t="str">
        <f ca="1">TEXT(Overig!A19,"000\,")&amp;TEXT(Overig!B19,"?00000000")&amp;TEXT(Overig!C19,""", ""@")&amp;SUBSTITUTE(TEXT(IF(ISTEXT(Overig!D19),Overig!D19,10*Overig!D19),""",""????0;"",""???-0;"",""????0;"", ////"""),"'","""")&amp;SUBSTITUTE(TEXT(Overig!E19,""",""?00;"",""?-00;"",""?00;"", //"""),"'","""")&amp;SUBSTITUTE(TEXT(IF(ISTEXT(Overig!F19),Overig!F19,10*Overig!F19),""",""????0;"",""???-0;"",""????0;"", ////"""),"'","""")&amp;SUBSTITUTE(TEXT(Overig!G19,""",""?00;"",""?-00;"",""?00;"", //"""),"'","""")</f>
        <v>081, 19400106, 19.45, 7500, 00,  270, 00</v>
      </c>
    </row>
    <row r="20" spans="1:1" x14ac:dyDescent="0.25">
      <c r="A20" s="25" t="str">
        <f ca="1">TEXT(Overig!A20,"000\,")&amp;TEXT(Overig!B20,"?00000000")&amp;TEXT(Overig!C20,""", ""@")&amp;SUBSTITUTE(TEXT(IF(ISTEXT(Overig!D20),Overig!D20,10*Overig!D20),""",""????0;"",""???-0;"",""????0;"", ////"""),"'","""")&amp;SUBSTITUTE(TEXT(Overig!E20,""",""?00;"",""?-00;"",""?00;"", //"""),"'","""")&amp;SUBSTITUTE(TEXT(IF(ISTEXT(Overig!F20),Overig!F20,10*Overig!F20),""",""????0;"",""???-0;"",""????0;"", ////"""),"'","""")&amp;SUBSTITUTE(TEXT(Overig!G20,""",""?00;"",""?-00;"",""?00;"", //"""),"'","""")</f>
        <v>081, 19400107, 07.45, 7500, 00,  260, 00</v>
      </c>
    </row>
    <row r="21" spans="1:1" x14ac:dyDescent="0.25">
      <c r="A21" s="25" t="str">
        <f ca="1">TEXT(Overig!A21,"000\,")&amp;TEXT(Overig!B21,"?00000000")&amp;TEXT(Overig!C21,""", ""@")&amp;SUBSTITUTE(TEXT(IF(ISTEXT(Overig!D21),Overig!D21,10*Overig!D21),""",""????0;"",""???-0;"",""????0;"", ////"""),"'","""")&amp;SUBSTITUTE(TEXT(Overig!E21,""",""?00;"",""?-00;"",""?00;"", //"""),"'","""")&amp;SUBSTITUTE(TEXT(IF(ISTEXT(Overig!F21),Overig!F21,10*Overig!F21),""",""????0;"",""???-0;"",""????0;"", ////"""),"'","""")&amp;SUBSTITUTE(TEXT(Overig!G21,""",""?00;"",""?-00;"",""?00;"", //"""),"'","""")</f>
        <v>081, 19400107, 13.45, 7500, 00,  280, 00</v>
      </c>
    </row>
    <row r="22" spans="1:1" x14ac:dyDescent="0.25">
      <c r="A22" s="25" t="str">
        <f ca="1">TEXT(Overig!A22,"000\,")&amp;TEXT(Overig!B22,"?00000000")&amp;TEXT(Overig!C22,""", ""@")&amp;SUBSTITUTE(TEXT(IF(ISTEXT(Overig!D22),Overig!D22,10*Overig!D22),""",""????0;"",""???-0;"",""????0;"", ////"""),"'","""")&amp;SUBSTITUTE(TEXT(Overig!E22,""",""?00;"",""?-00;"",""?00;"", //"""),"'","""")&amp;SUBSTITUTE(TEXT(IF(ISTEXT(Overig!F22),Overig!F22,10*Overig!F22),""",""????0;"",""???-0;"",""????0;"", ////"""),"'","""")&amp;SUBSTITUTE(TEXT(Overig!G22,""",""?00;"",""?-00;"",""?00;"", //"""),"'","""")</f>
        <v>081, 19400107, 19.45, 7500, 00,  270, 00</v>
      </c>
    </row>
    <row r="23" spans="1:1" x14ac:dyDescent="0.25">
      <c r="A23" s="25" t="str">
        <f ca="1">TEXT(Overig!A23,"000\,")&amp;TEXT(Overig!B23,"?00000000")&amp;TEXT(Overig!C23,""", ""@")&amp;SUBSTITUTE(TEXT(IF(ISTEXT(Overig!D23),Overig!D23,10*Overig!D23),""",""????0;"",""???-0;"",""????0;"", ////"""),"'","""")&amp;SUBSTITUTE(TEXT(Overig!E23,""",""?00;"",""?-00;"",""?00;"", //"""),"'","""")&amp;SUBSTITUTE(TEXT(IF(ISTEXT(Overig!F23),Overig!F23,10*Overig!F23),""",""????0;"",""???-0;"",""????0;"", ////"""),"'","""")&amp;SUBSTITUTE(TEXT(Overig!G23,""",""?00;"",""?-00;"",""?00;"", //"""),"'","""")</f>
        <v>081, 19400108, 07.45, 7510, 00,  260, 00</v>
      </c>
    </row>
    <row r="24" spans="1:1" x14ac:dyDescent="0.25">
      <c r="A24" s="25" t="str">
        <f ca="1">TEXT(Overig!A24,"000\,")&amp;TEXT(Overig!B24,"?00000000")&amp;TEXT(Overig!C24,""", ""@")&amp;SUBSTITUTE(TEXT(IF(ISTEXT(Overig!D24),Overig!D24,10*Overig!D24),""",""????0;"",""???-0;"",""????0;"", ////"""),"'","""")&amp;SUBSTITUTE(TEXT(Overig!E24,""",""?00;"",""?-00;"",""?00;"", //"""),"'","""")&amp;SUBSTITUTE(TEXT(IF(ISTEXT(Overig!F24),Overig!F24,10*Overig!F24),""",""????0;"",""???-0;"",""????0;"", ////"""),"'","""")&amp;SUBSTITUTE(TEXT(Overig!G24,""",""?00;"",""?-00;"",""?00;"", //"""),"'","""")</f>
        <v>081, 19400108, 13.45, 7510, 00,  270, 00</v>
      </c>
    </row>
    <row r="25" spans="1:1" x14ac:dyDescent="0.25">
      <c r="A25" s="25" t="str">
        <f ca="1">TEXT(Overig!A25,"000\,")&amp;TEXT(Overig!B25,"?00000000")&amp;TEXT(Overig!C25,""", ""@")&amp;SUBSTITUTE(TEXT(IF(ISTEXT(Overig!D25),Overig!D25,10*Overig!D25),""",""????0;"",""???-0;"",""????0;"", ////"""),"'","""")&amp;SUBSTITUTE(TEXT(Overig!E25,""",""?00;"",""?-00;"",""?00;"", //"""),"'","""")&amp;SUBSTITUTE(TEXT(IF(ISTEXT(Overig!F25),Overig!F25,10*Overig!F25),""",""????0;"",""???-0;"",""????0;"", ////"""),"'","""")&amp;SUBSTITUTE(TEXT(Overig!G25,""",""?00;"",""?-00;"",""?00;"", //"""),"'","""")</f>
        <v>081, 19400108, 19.45, 7510, 00,  260, 00</v>
      </c>
    </row>
    <row r="26" spans="1:1" x14ac:dyDescent="0.25">
      <c r="A26" s="25" t="str">
        <f ca="1">TEXT(Overig!A26,"000\,")&amp;TEXT(Overig!B26,"?00000000")&amp;TEXT(Overig!C26,""", ""@")&amp;SUBSTITUTE(TEXT(IF(ISTEXT(Overig!D26),Overig!D26,10*Overig!D26),""",""????0;"",""???-0;"",""????0;"", ////"""),"'","""")&amp;SUBSTITUTE(TEXT(Overig!E26,""",""?00;"",""?-00;"",""?00;"", //"""),"'","""")&amp;SUBSTITUTE(TEXT(IF(ISTEXT(Overig!F26),Overig!F26,10*Overig!F26),""",""????0;"",""???-0;"",""????0;"", ////"""),"'","""")&amp;SUBSTITUTE(TEXT(Overig!G26,""",""?00;"",""?-00;"",""?00;"", //"""),"'","""")</f>
        <v>081, 19400109, 07.45, 7510, 00,  260, 00</v>
      </c>
    </row>
    <row r="27" spans="1:1" x14ac:dyDescent="0.25">
      <c r="A27" s="25" t="str">
        <f ca="1">TEXT(Overig!A27,"000\,")&amp;TEXT(Overig!B27,"?00000000")&amp;TEXT(Overig!C27,""", ""@")&amp;SUBSTITUTE(TEXT(IF(ISTEXT(Overig!D27),Overig!D27,10*Overig!D27),""",""????0;"",""???-0;"",""????0;"", ////"""),"'","""")&amp;SUBSTITUTE(TEXT(Overig!E27,""",""?00;"",""?-00;"",""?00;"", //"""),"'","""")&amp;SUBSTITUTE(TEXT(IF(ISTEXT(Overig!F27),Overig!F27,10*Overig!F27),""",""????0;"",""???-0;"",""????0;"", ////"""),"'","""")&amp;SUBSTITUTE(TEXT(Overig!G27,""",""?00;"",""?-00;"",""?00;"", //"""),"'","""")</f>
        <v>081, 19400109, 13.45, 7510, 00,  270, 00</v>
      </c>
    </row>
    <row r="28" spans="1:1" x14ac:dyDescent="0.25">
      <c r="A28" s="25" t="str">
        <f ca="1">TEXT(Overig!A28,"000\,")&amp;TEXT(Overig!B28,"?00000000")&amp;TEXT(Overig!C28,""", ""@")&amp;SUBSTITUTE(TEXT(IF(ISTEXT(Overig!D28),Overig!D28,10*Overig!D28),""",""????0;"",""???-0;"",""????0;"", ////"""),"'","""")&amp;SUBSTITUTE(TEXT(Overig!E28,""",""?00;"",""?-00;"",""?00;"", //"""),"'","""")&amp;SUBSTITUTE(TEXT(IF(ISTEXT(Overig!F28),Overig!F28,10*Overig!F28),""",""????0;"",""???-0;"",""????0;"", ////"""),"'","""")&amp;SUBSTITUTE(TEXT(Overig!G28,""",""?00;"",""?-00;"",""?00;"", //"""),"'","""")</f>
        <v>081, 19400109, 19.45, 7510, 00,  270, 00</v>
      </c>
    </row>
    <row r="29" spans="1:1" x14ac:dyDescent="0.25">
      <c r="A29" s="25" t="str">
        <f ca="1">TEXT(Overig!A29,"000\,")&amp;TEXT(Overig!B29,"?00000000")&amp;TEXT(Overig!C29,""", ""@")&amp;SUBSTITUTE(TEXT(IF(ISTEXT(Overig!D29),Overig!D29,10*Overig!D29),""",""????0;"",""???-0;"",""????0;"", ////"""),"'","""")&amp;SUBSTITUTE(TEXT(Overig!E29,""",""?00;"",""?-00;"",""?00;"", //"""),"'","""")&amp;SUBSTITUTE(TEXT(IF(ISTEXT(Overig!F29),Overig!F29,10*Overig!F29),""",""????0;"",""???-0;"",""????0;"", ////"""),"'","""")&amp;SUBSTITUTE(TEXT(Overig!G29,""",""?00;"",""?-00;"",""?00;"", //"""),"'","""")</f>
        <v>081, 19400110, 07.45, 7510, 00,  260, 00</v>
      </c>
    </row>
    <row r="30" spans="1:1" x14ac:dyDescent="0.25">
      <c r="A30" s="25" t="str">
        <f ca="1">TEXT(Overig!A30,"000\,")&amp;TEXT(Overig!B30,"?00000000")&amp;TEXT(Overig!C30,""", ""@")&amp;SUBSTITUTE(TEXT(IF(ISTEXT(Overig!D30),Overig!D30,10*Overig!D30),""",""????0;"",""???-0;"",""????0;"", ////"""),"'","""")&amp;SUBSTITUTE(TEXT(Overig!E30,""",""?00;"",""?-00;"",""?00;"", //"""),"'","""")&amp;SUBSTITUTE(TEXT(IF(ISTEXT(Overig!F30),Overig!F30,10*Overig!F30),""",""????0;"",""???-0;"",""????0;"", ////"""),"'","""")&amp;SUBSTITUTE(TEXT(Overig!G30,""",""?00;"",""?-00;"",""?00;"", //"""),"'","""")</f>
        <v>081, 19400110, 13.45, 7500, 00,  280, 00</v>
      </c>
    </row>
    <row r="31" spans="1:1" x14ac:dyDescent="0.25">
      <c r="A31" s="25" t="str">
        <f ca="1">TEXT(Overig!A31,"000\,")&amp;TEXT(Overig!B31,"?00000000")&amp;TEXT(Overig!C31,""", ""@")&amp;SUBSTITUTE(TEXT(IF(ISTEXT(Overig!D31),Overig!D31,10*Overig!D31),""",""????0;"",""???-0;"",""????0;"", ////"""),"'","""")&amp;SUBSTITUTE(TEXT(Overig!E31,""",""?00;"",""?-00;"",""?00;"", //"""),"'","""")&amp;SUBSTITUTE(TEXT(IF(ISTEXT(Overig!F31),Overig!F31,10*Overig!F31),""",""????0;"",""???-0;"",""????0;"", ////"""),"'","""")&amp;SUBSTITUTE(TEXT(Overig!G31,""",""?00;"",""?-00;"",""?00;"", //"""),"'","""")</f>
        <v>081, 19400110, 19.45, 7510, 00,  270, 00</v>
      </c>
    </row>
    <row r="32" spans="1:1" x14ac:dyDescent="0.25">
      <c r="A32" s="25" t="str">
        <f ca="1">TEXT(Overig!A32,"000\,")&amp;TEXT(Overig!B32,"?00000000")&amp;TEXT(Overig!C32,""", ""@")&amp;SUBSTITUTE(TEXT(IF(ISTEXT(Overig!D32),Overig!D32,10*Overig!D32),""",""????0;"",""???-0;"",""????0;"", ////"""),"'","""")&amp;SUBSTITUTE(TEXT(Overig!E32,""",""?00;"",""?-00;"",""?00;"", //"""),"'","""")&amp;SUBSTITUTE(TEXT(IF(ISTEXT(Overig!F32),Overig!F32,10*Overig!F32),""",""????0;"",""???-0;"",""????0;"", ////"""),"'","""")&amp;SUBSTITUTE(TEXT(Overig!G32,""",""?00;"",""?-00;"",""?00;"", //"""),"'","""")</f>
        <v>081, 19400111, 07.45, 7500, 00,  250, 00</v>
      </c>
    </row>
    <row r="33" spans="1:1" x14ac:dyDescent="0.25">
      <c r="A33" s="25" t="str">
        <f ca="1">TEXT(Overig!A33,"000\,")&amp;TEXT(Overig!B33,"?00000000")&amp;TEXT(Overig!C33,""", ""@")&amp;SUBSTITUTE(TEXT(IF(ISTEXT(Overig!D33),Overig!D33,10*Overig!D33),""",""????0;"",""???-0;"",""????0;"", ////"""),"'","""")&amp;SUBSTITUTE(TEXT(Overig!E33,""",""?00;"",""?-00;"",""?00;"", //"""),"'","""")&amp;SUBSTITUTE(TEXT(IF(ISTEXT(Overig!F33),Overig!F33,10*Overig!F33),""",""????0;"",""???-0;"",""????0;"", ////"""),"'","""")&amp;SUBSTITUTE(TEXT(Overig!G33,""",""?00;"",""?-00;"",""?00;"", //"""),"'","""")</f>
        <v>081, 19400111, 13.45, 7490, 00,  270, 00</v>
      </c>
    </row>
    <row r="34" spans="1:1" x14ac:dyDescent="0.25">
      <c r="A34" s="25" t="str">
        <f ca="1">TEXT(Overig!A34,"000\,")&amp;TEXT(Overig!B34,"?00000000")&amp;TEXT(Overig!C34,""", ""@")&amp;SUBSTITUTE(TEXT(IF(ISTEXT(Overig!D34),Overig!D34,10*Overig!D34),""",""????0;"",""???-0;"",""????0;"", ////"""),"'","""")&amp;SUBSTITUTE(TEXT(Overig!E34,""",""?00;"",""?-00;"",""?00;"", //"""),"'","""")&amp;SUBSTITUTE(TEXT(IF(ISTEXT(Overig!F34),Overig!F34,10*Overig!F34),""",""????0;"",""???-0;"",""????0;"", ////"""),"'","""")&amp;SUBSTITUTE(TEXT(Overig!G34,""",""?00;"",""?-00;"",""?00;"", //"""),"'","""")</f>
        <v>081, 19400111, 19.45, 7490, 00,  260, 00</v>
      </c>
    </row>
    <row r="35" spans="1:1" x14ac:dyDescent="0.25">
      <c r="A35" s="25" t="str">
        <f ca="1">TEXT(Overig!A35,"000\,")&amp;TEXT(Overig!B35,"?00000000")&amp;TEXT(Overig!C35,""", ""@")&amp;SUBSTITUTE(TEXT(IF(ISTEXT(Overig!D35),Overig!D35,10*Overig!D35),""",""????0;"",""???-0;"",""????0;"", ////"""),"'","""")&amp;SUBSTITUTE(TEXT(Overig!E35,""",""?00;"",""?-00;"",""?00;"", //"""),"'","""")&amp;SUBSTITUTE(TEXT(IF(ISTEXT(Overig!F35),Overig!F35,10*Overig!F35),""",""????0;"",""???-0;"",""????0;"", ////"""),"'","""")&amp;SUBSTITUTE(TEXT(Overig!G35,""",""?00;"",""?-00;"",""?00;"", //"""),"'","""")</f>
        <v>081, 19400112, 07.45, 7490, 00,  250, 00</v>
      </c>
    </row>
    <row r="36" spans="1:1" x14ac:dyDescent="0.25">
      <c r="A36" s="25" t="str">
        <f ca="1">TEXT(Overig!A36,"000\,")&amp;TEXT(Overig!B36,"?00000000")&amp;TEXT(Overig!C36,""", ""@")&amp;SUBSTITUTE(TEXT(IF(ISTEXT(Overig!D36),Overig!D36,10*Overig!D36),""",""????0;"",""???-0;"",""????0;"", ////"""),"'","""")&amp;SUBSTITUTE(TEXT(Overig!E36,""",""?00;"",""?-00;"",""?00;"", //"""),"'","""")&amp;SUBSTITUTE(TEXT(IF(ISTEXT(Overig!F36),Overig!F36,10*Overig!F36),""",""????0;"",""???-0;"",""????0;"", ////"""),"'","""")&amp;SUBSTITUTE(TEXT(Overig!G36,""",""?00;"",""?-00;"",""?00;"", //"""),"'","""")</f>
        <v>081, 19400112, 13.45, 7480, 00,  270, 00</v>
      </c>
    </row>
    <row r="37" spans="1:1" x14ac:dyDescent="0.25">
      <c r="A37" s="25" t="str">
        <f ca="1">TEXT(Overig!A37,"000\,")&amp;TEXT(Overig!B37,"?00000000")&amp;TEXT(Overig!C37,""", ""@")&amp;SUBSTITUTE(TEXT(IF(ISTEXT(Overig!D37),Overig!D37,10*Overig!D37),""",""????0;"",""???-0;"",""????0;"", ////"""),"'","""")&amp;SUBSTITUTE(TEXT(Overig!E37,""",""?00;"",""?-00;"",""?00;"", //"""),"'","""")&amp;SUBSTITUTE(TEXT(IF(ISTEXT(Overig!F37),Overig!F37,10*Overig!F37),""",""????0;"",""???-0;"",""????0;"", ////"""),"'","""")&amp;SUBSTITUTE(TEXT(Overig!G37,""",""?00;"",""?-00;"",""?00;"", //"""),"'","""")</f>
        <v>081, 19400112, 19.45, 7480, 00,  260, 00</v>
      </c>
    </row>
    <row r="38" spans="1:1" x14ac:dyDescent="0.25">
      <c r="A38" s="25" t="str">
        <f ca="1">TEXT(Overig!A38,"000\,")&amp;TEXT(Overig!B38,"?00000000")&amp;TEXT(Overig!C38,""", ""@")&amp;SUBSTITUTE(TEXT(IF(ISTEXT(Overig!D38),Overig!D38,10*Overig!D38),""",""????0;"",""???-0;"",""????0;"", ////"""),"'","""")&amp;SUBSTITUTE(TEXT(Overig!E38,""",""?00;"",""?-00;"",""?00;"", //"""),"'","""")&amp;SUBSTITUTE(TEXT(IF(ISTEXT(Overig!F38),Overig!F38,10*Overig!F38),""",""????0;"",""???-0;"",""????0;"", ////"""),"'","""")&amp;SUBSTITUTE(TEXT(Overig!G38,""",""?00;"",""?-00;"",""?00;"", //"""),"'","""")</f>
        <v>081, 19400113, 07.45, 7480, 00,  250, 00</v>
      </c>
    </row>
    <row r="39" spans="1:1" x14ac:dyDescent="0.25">
      <c r="A39" s="25" t="str">
        <f ca="1">TEXT(Overig!A39,"000\,")&amp;TEXT(Overig!B39,"?00000000")&amp;TEXT(Overig!C39,""", ""@")&amp;SUBSTITUTE(TEXT(IF(ISTEXT(Overig!D39),Overig!D39,10*Overig!D39),""",""????0;"",""???-0;"",""????0;"", ////"""),"'","""")&amp;SUBSTITUTE(TEXT(Overig!E39,""",""?00;"",""?-00;"",""?00;"", //"""),"'","""")&amp;SUBSTITUTE(TEXT(IF(ISTEXT(Overig!F39),Overig!F39,10*Overig!F39),""",""????0;"",""???-0;"",""????0;"", ////"""),"'","""")&amp;SUBSTITUTE(TEXT(Overig!G39,""",""?00;"",""?-00;"",""?00;"", //"""),"'","""")</f>
        <v>081, 19400113, 13.45, 7480, 00,  260, 00</v>
      </c>
    </row>
    <row r="40" spans="1:1" x14ac:dyDescent="0.25">
      <c r="A40" s="25" t="str">
        <f ca="1">TEXT(Overig!A40,"000\,")&amp;TEXT(Overig!B40,"?00000000")&amp;TEXT(Overig!C40,""", ""@")&amp;SUBSTITUTE(TEXT(IF(ISTEXT(Overig!D40),Overig!D40,10*Overig!D40),""",""????0;"",""???-0;"",""????0;"", ////"""),"'","""")&amp;SUBSTITUTE(TEXT(Overig!E40,""",""?00;"",""?-00;"",""?00;"", //"""),"'","""")&amp;SUBSTITUTE(TEXT(IF(ISTEXT(Overig!F40),Overig!F40,10*Overig!F40),""",""????0;"",""???-0;"",""????0;"", ////"""),"'","""")&amp;SUBSTITUTE(TEXT(Overig!G40,""",""?00;"",""?-00;"",""?00;"", //"""),"'","""")</f>
        <v>081, 19400113, 19.45, 7480, 00,  250, 00</v>
      </c>
    </row>
    <row r="41" spans="1:1" x14ac:dyDescent="0.25">
      <c r="A41" s="25" t="str">
        <f ca="1">TEXT(Overig!A41,"000\,")&amp;TEXT(Overig!B41,"?00000000")&amp;TEXT(Overig!C41,""", ""@")&amp;SUBSTITUTE(TEXT(IF(ISTEXT(Overig!D41),Overig!D41,10*Overig!D41),""",""????0;"",""???-0;"",""????0;"", ////"""),"'","""")&amp;SUBSTITUTE(TEXT(Overig!E41,""",""?00;"",""?-00;"",""?00;"", //"""),"'","""")&amp;SUBSTITUTE(TEXT(IF(ISTEXT(Overig!F41),Overig!F41,10*Overig!F41),""",""????0;"",""???-0;"",""????0;"", ////"""),"'","""")&amp;SUBSTITUTE(TEXT(Overig!G41,""",""?00;"",""?-00;"",""?00;"", //"""),"'","""")</f>
        <v>081, 19400114, 07.45, 7480, 00,  240, 00</v>
      </c>
    </row>
    <row r="42" spans="1:1" x14ac:dyDescent="0.25">
      <c r="A42" s="25" t="str">
        <f ca="1">TEXT(Overig!A42,"000\,")&amp;TEXT(Overig!B42,"?00000000")&amp;TEXT(Overig!C42,""", ""@")&amp;SUBSTITUTE(TEXT(IF(ISTEXT(Overig!D42),Overig!D42,10*Overig!D42),""",""????0;"",""???-0;"",""????0;"", ////"""),"'","""")&amp;SUBSTITUTE(TEXT(Overig!E42,""",""?00;"",""?-00;"",""?00;"", //"""),"'","""")&amp;SUBSTITUTE(TEXT(IF(ISTEXT(Overig!F42),Overig!F42,10*Overig!F42),""",""????0;"",""???-0;"",""????0;"", ////"""),"'","""")&amp;SUBSTITUTE(TEXT(Overig!G42,""",""?00;"",""?-00;"",""?00;"", //"""),"'","""")</f>
        <v>081, 19400114, 13.45, 7470, 00,  260, 00</v>
      </c>
    </row>
    <row r="43" spans="1:1" x14ac:dyDescent="0.25">
      <c r="A43" s="25" t="str">
        <f ca="1">TEXT(Overig!A43,"000\,")&amp;TEXT(Overig!B43,"?00000000")&amp;TEXT(Overig!C43,""", ""@")&amp;SUBSTITUTE(TEXT(IF(ISTEXT(Overig!D43),Overig!D43,10*Overig!D43),""",""????0;"",""???-0;"",""????0;"", ////"""),"'","""")&amp;SUBSTITUTE(TEXT(Overig!E43,""",""?00;"",""?-00;"",""?00;"", //"""),"'","""")&amp;SUBSTITUTE(TEXT(IF(ISTEXT(Overig!F43),Overig!F43,10*Overig!F43),""",""????0;"",""???-0;"",""????0;"", ////"""),"'","""")&amp;SUBSTITUTE(TEXT(Overig!G43,""",""?00;"",""?-00;"",""?00;"", //"""),"'","""")</f>
        <v>081, 19400114, 19.45, 7480, 00,  260, 00</v>
      </c>
    </row>
    <row r="44" spans="1:1" x14ac:dyDescent="0.25">
      <c r="A44" s="25" t="str">
        <f ca="1">TEXT(Overig!A44,"000\,")&amp;TEXT(Overig!B44,"?00000000")&amp;TEXT(Overig!C44,""", ""@")&amp;SUBSTITUTE(TEXT(IF(ISTEXT(Overig!D44),Overig!D44,10*Overig!D44),""",""????0;"",""???-0;"",""????0;"", ////"""),"'","""")&amp;SUBSTITUTE(TEXT(Overig!E44,""",""?00;"",""?-00;"",""?00;"", //"""),"'","""")&amp;SUBSTITUTE(TEXT(IF(ISTEXT(Overig!F44),Overig!F44,10*Overig!F44),""",""????0;"",""???-0;"",""????0;"", ////"""),"'","""")&amp;SUBSTITUTE(TEXT(Overig!G44,""",""?00;"",""?-00;"",""?00;"", //"""),"'","""")</f>
        <v>081, 19400115, 07.45, 7480, 00,  250, 00</v>
      </c>
    </row>
    <row r="45" spans="1:1" x14ac:dyDescent="0.25">
      <c r="A45" s="25" t="str">
        <f ca="1">TEXT(Overig!A45,"000\,")&amp;TEXT(Overig!B45,"?00000000")&amp;TEXT(Overig!C45,""", ""@")&amp;SUBSTITUTE(TEXT(IF(ISTEXT(Overig!D45),Overig!D45,10*Overig!D45),""",""????0;"",""???-0;"",""????0;"", ////"""),"'","""")&amp;SUBSTITUTE(TEXT(Overig!E45,""",""?00;"",""?-00;"",""?00;"", //"""),"'","""")&amp;SUBSTITUTE(TEXT(IF(ISTEXT(Overig!F45),Overig!F45,10*Overig!F45),""",""????0;"",""???-0;"",""????0;"", ////"""),"'","""")&amp;SUBSTITUTE(TEXT(Overig!G45,""",""?00;"",""?-00;"",""?00;"", //"""),"'","""")</f>
        <v>081, 19400115, 13.45, 7480, 00,  270, 00</v>
      </c>
    </row>
    <row r="46" spans="1:1" x14ac:dyDescent="0.25">
      <c r="A46" s="25" t="str">
        <f ca="1">TEXT(Overig!A46,"000\,")&amp;TEXT(Overig!B46,"?00000000")&amp;TEXT(Overig!C46,""", ""@")&amp;SUBSTITUTE(TEXT(IF(ISTEXT(Overig!D46),Overig!D46,10*Overig!D46),""",""????0;"",""???-0;"",""????0;"", ////"""),"'","""")&amp;SUBSTITUTE(TEXT(Overig!E46,""",""?00;"",""?-00;"",""?00;"", //"""),"'","""")&amp;SUBSTITUTE(TEXT(IF(ISTEXT(Overig!F46),Overig!F46,10*Overig!F46),""",""????0;"",""???-0;"",""????0;"", ////"""),"'","""")&amp;SUBSTITUTE(TEXT(Overig!G46,""",""?00;"",""?-00;"",""?00;"", //"""),"'","""")</f>
        <v>081, 19400115, 19.45, 7480, 00,  260, 00</v>
      </c>
    </row>
    <row r="47" spans="1:1" x14ac:dyDescent="0.25">
      <c r="A47" s="25" t="str">
        <f ca="1">TEXT(Overig!A47,"000\,")&amp;TEXT(Overig!B47,"?00000000")&amp;TEXT(Overig!C47,""", ""@")&amp;SUBSTITUTE(TEXT(IF(ISTEXT(Overig!D47),Overig!D47,10*Overig!D47),""",""????0;"",""???-0;"",""????0;"", ////"""),"'","""")&amp;SUBSTITUTE(TEXT(Overig!E47,""",""?00;"",""?-00;"",""?00;"", //"""),"'","""")&amp;SUBSTITUTE(TEXT(IF(ISTEXT(Overig!F47),Overig!F47,10*Overig!F47),""",""????0;"",""???-0;"",""????0;"", ////"""),"'","""")&amp;SUBSTITUTE(TEXT(Overig!G47,""",""?00;"",""?-00;"",""?00;"", //"""),"'","""")</f>
        <v>081, 19400116, 07.45, 7480, 00,  250, 00</v>
      </c>
    </row>
    <row r="48" spans="1:1" x14ac:dyDescent="0.25">
      <c r="A48" s="25" t="str">
        <f ca="1">TEXT(Overig!A48,"000\,")&amp;TEXT(Overig!B48,"?00000000")&amp;TEXT(Overig!C48,""", ""@")&amp;SUBSTITUTE(TEXT(IF(ISTEXT(Overig!D48),Overig!D48,10*Overig!D48),""",""????0;"",""???-0;"",""????0;"", ////"""),"'","""")&amp;SUBSTITUTE(TEXT(Overig!E48,""",""?00;"",""?-00;"",""?00;"", //"""),"'","""")&amp;SUBSTITUTE(TEXT(IF(ISTEXT(Overig!F48),Overig!F48,10*Overig!F48),""",""????0;"",""???-0;"",""????0;"", ////"""),"'","""")&amp;SUBSTITUTE(TEXT(Overig!G48,""",""?00;"",""?-00;"",""?00;"", //"""),"'","""")</f>
        <v>081, 19400116, 13.45, 7470, 00,  270, 00</v>
      </c>
    </row>
    <row r="49" spans="1:1" x14ac:dyDescent="0.25">
      <c r="A49" s="25" t="str">
        <f ca="1">TEXT(Overig!A49,"000\,")&amp;TEXT(Overig!B49,"?00000000")&amp;TEXT(Overig!C49,""", ""@")&amp;SUBSTITUTE(TEXT(IF(ISTEXT(Overig!D49),Overig!D49,10*Overig!D49),""",""????0;"",""???-0;"",""????0;"", ////"""),"'","""")&amp;SUBSTITUTE(TEXT(Overig!E49,""",""?00;"",""?-00;"",""?00;"", //"""),"'","""")&amp;SUBSTITUTE(TEXT(IF(ISTEXT(Overig!F49),Overig!F49,10*Overig!F49),""",""????0;"",""???-0;"",""????0;"", ////"""),"'","""")&amp;SUBSTITUTE(TEXT(Overig!G49,""",""?00;"",""?-00;"",""?00;"", //"""),"'","""")</f>
        <v>081, 19400116, 19.45, 7480, 00,  270, 00</v>
      </c>
    </row>
    <row r="50" spans="1:1" x14ac:dyDescent="0.25">
      <c r="A50" s="25" t="str">
        <f ca="1">TEXT(Overig!A50,"000\,")&amp;TEXT(Overig!B50,"?00000000")&amp;TEXT(Overig!C50,""", ""@")&amp;SUBSTITUTE(TEXT(IF(ISTEXT(Overig!D50),Overig!D50,10*Overig!D50),""",""????0;"",""???-0;"",""????0;"", ////"""),"'","""")&amp;SUBSTITUTE(TEXT(Overig!E50,""",""?00;"",""?-00;"",""?00;"", //"""),"'","""")&amp;SUBSTITUTE(TEXT(IF(ISTEXT(Overig!F50),Overig!F50,10*Overig!F50),""",""????0;"",""???-0;"",""????0;"", ////"""),"'","""")&amp;SUBSTITUTE(TEXT(Overig!G50,""",""?00;"",""?-00;"",""?00;"", //"""),"'","""")</f>
        <v>081, 19400117, 07.45, 7470, 00,  260, 00</v>
      </c>
    </row>
    <row r="51" spans="1:1" x14ac:dyDescent="0.25">
      <c r="A51" s="25" t="str">
        <f ca="1">TEXT(Overig!A51,"000\,")&amp;TEXT(Overig!B51,"?00000000")&amp;TEXT(Overig!C51,""", ""@")&amp;SUBSTITUTE(TEXT(IF(ISTEXT(Overig!D51),Overig!D51,10*Overig!D51),""",""????0;"",""???-0;"",""????0;"", ////"""),"'","""")&amp;SUBSTITUTE(TEXT(Overig!E51,""",""?00;"",""?-00;"",""?00;"", //"""),"'","""")&amp;SUBSTITUTE(TEXT(IF(ISTEXT(Overig!F51),Overig!F51,10*Overig!F51),""",""????0;"",""???-0;"",""????0;"", ////"""),"'","""")&amp;SUBSTITUTE(TEXT(Overig!G51,""",""?00;"",""?-00;"",""?00;"", //"""),"'","""")</f>
        <v>081, 19400117, 13.45, 7470, 00,  270, 00</v>
      </c>
    </row>
    <row r="52" spans="1:1" x14ac:dyDescent="0.25">
      <c r="A52" s="25" t="str">
        <f ca="1">TEXT(Overig!A52,"000\,")&amp;TEXT(Overig!B52,"?00000000")&amp;TEXT(Overig!C52,""", ""@")&amp;SUBSTITUTE(TEXT(IF(ISTEXT(Overig!D52),Overig!D52,10*Overig!D52),""",""????0;"",""???-0;"",""????0;"", ////"""),"'","""")&amp;SUBSTITUTE(TEXT(Overig!E52,""",""?00;"",""?-00;"",""?00;"", //"""),"'","""")&amp;SUBSTITUTE(TEXT(IF(ISTEXT(Overig!F52),Overig!F52,10*Overig!F52),""",""????0;"",""???-0;"",""????0;"", ////"""),"'","""")&amp;SUBSTITUTE(TEXT(Overig!G52,""",""?00;"",""?-00;"",""?00;"", //"""),"'","""")</f>
        <v>081, 19400117, 19.45, 7480, 00,  260, 00</v>
      </c>
    </row>
    <row r="53" spans="1:1" x14ac:dyDescent="0.25">
      <c r="A53" s="25" t="str">
        <f ca="1">TEXT(Overig!A53,"000\,")&amp;TEXT(Overig!B53,"?00000000")&amp;TEXT(Overig!C53,""", ""@")&amp;SUBSTITUTE(TEXT(IF(ISTEXT(Overig!D53),Overig!D53,10*Overig!D53),""",""????0;"",""???-0;"",""????0;"", ////"""),"'","""")&amp;SUBSTITUTE(TEXT(Overig!E53,""",""?00;"",""?-00;"",""?00;"", //"""),"'","""")&amp;SUBSTITUTE(TEXT(IF(ISTEXT(Overig!F53),Overig!F53,10*Overig!F53),""",""????0;"",""???-0;"",""????0;"", ////"""),"'","""")&amp;SUBSTITUTE(TEXT(Overig!G53,""",""?00;"",""?-00;"",""?00;"", //"""),"'","""")</f>
        <v>081, 19400118, 07.45, 7490, 00,  250, 00</v>
      </c>
    </row>
    <row r="54" spans="1:1" x14ac:dyDescent="0.25">
      <c r="A54" s="25" t="str">
        <f ca="1">TEXT(Overig!A54,"000\,")&amp;TEXT(Overig!B54,"?00000000")&amp;TEXT(Overig!C54,""", ""@")&amp;SUBSTITUTE(TEXT(IF(ISTEXT(Overig!D54),Overig!D54,10*Overig!D54),""",""????0;"",""???-0;"",""????0;"", ////"""),"'","""")&amp;SUBSTITUTE(TEXT(Overig!E54,""",""?00;"",""?-00;"",""?00;"", //"""),"'","""")&amp;SUBSTITUTE(TEXT(IF(ISTEXT(Overig!F54),Overig!F54,10*Overig!F54),""",""????0;"",""???-0;"",""????0;"", ////"""),"'","""")&amp;SUBSTITUTE(TEXT(Overig!G54,""",""?00;"",""?-00;"",""?00;"", //"""),"'","""")</f>
        <v>081, 19400118, 13.45, 7480, 00,  270, 00</v>
      </c>
    </row>
    <row r="55" spans="1:1" x14ac:dyDescent="0.25">
      <c r="A55" s="25" t="str">
        <f ca="1">TEXT(Overig!A55,"000\,")&amp;TEXT(Overig!B55,"?00000000")&amp;TEXT(Overig!C55,""", ""@")&amp;SUBSTITUTE(TEXT(IF(ISTEXT(Overig!D55),Overig!D55,10*Overig!D55),""",""????0;"",""???-0;"",""????0;"", ////"""),"'","""")&amp;SUBSTITUTE(TEXT(Overig!E55,""",""?00;"",""?-00;"",""?00;"", //"""),"'","""")&amp;SUBSTITUTE(TEXT(IF(ISTEXT(Overig!F55),Overig!F55,10*Overig!F55),""",""????0;"",""???-0;"",""????0;"", ////"""),"'","""")&amp;SUBSTITUTE(TEXT(Overig!G55,""",""?00;"",""?-00;"",""?00;"", //"""),"'","""")</f>
        <v>081, 19400118, 19.45, 7490, 00,  260, 00</v>
      </c>
    </row>
    <row r="56" spans="1:1" x14ac:dyDescent="0.25">
      <c r="A56" s="25" t="str">
        <f ca="1">TEXT(Overig!A56,"000\,")&amp;TEXT(Overig!B56,"?00000000")&amp;TEXT(Overig!C56,""", ""@")&amp;SUBSTITUTE(TEXT(IF(ISTEXT(Overig!D56),Overig!D56,10*Overig!D56),""",""????0;"",""???-0;"",""????0;"", ////"""),"'","""")&amp;SUBSTITUTE(TEXT(Overig!E56,""",""?00;"",""?-00;"",""?00;"", //"""),"'","""")&amp;SUBSTITUTE(TEXT(IF(ISTEXT(Overig!F56),Overig!F56,10*Overig!F56),""",""????0;"",""???-0;"",""????0;"", ////"""),"'","""")&amp;SUBSTITUTE(TEXT(Overig!G56,""",""?00;"",""?-00;"",""?00;"", //"""),"'","""")</f>
        <v>081, 19400119, 07.45, 7490, 00,  250, 00</v>
      </c>
    </row>
    <row r="57" spans="1:1" x14ac:dyDescent="0.25">
      <c r="A57" s="25" t="str">
        <f ca="1">TEXT(Overig!A57,"000\,")&amp;TEXT(Overig!B57,"?00000000")&amp;TEXT(Overig!C57,""", ""@")&amp;SUBSTITUTE(TEXT(IF(ISTEXT(Overig!D57),Overig!D57,10*Overig!D57),""",""????0;"",""???-0;"",""????0;"", ////"""),"'","""")&amp;SUBSTITUTE(TEXT(Overig!E57,""",""?00;"",""?-00;"",""?00;"", //"""),"'","""")&amp;SUBSTITUTE(TEXT(IF(ISTEXT(Overig!F57),Overig!F57,10*Overig!F57),""",""????0;"",""???-0;"",""????0;"", ////"""),"'","""")&amp;SUBSTITUTE(TEXT(Overig!G57,""",""?00;"",""?-00;"",""?00;"", //"""),"'","""")</f>
        <v>081, 19400119, 13.45, 7490, 00,  280, 00</v>
      </c>
    </row>
    <row r="58" spans="1:1" x14ac:dyDescent="0.25">
      <c r="A58" s="25" t="str">
        <f ca="1">TEXT(Overig!A58,"000\,")&amp;TEXT(Overig!B58,"?00000000")&amp;TEXT(Overig!C58,""", ""@")&amp;SUBSTITUTE(TEXT(IF(ISTEXT(Overig!D58),Overig!D58,10*Overig!D58),""",""????0;"",""???-0;"",""????0;"", ////"""),"'","""")&amp;SUBSTITUTE(TEXT(Overig!E58,""",""?00;"",""?-00;"",""?00;"", //"""),"'","""")&amp;SUBSTITUTE(TEXT(IF(ISTEXT(Overig!F58),Overig!F58,10*Overig!F58),""",""????0;"",""???-0;"",""????0;"", ////"""),"'","""")&amp;SUBSTITUTE(TEXT(Overig!G58,""",""?00;"",""?-00;"",""?00;"", //"""),"'","""")</f>
        <v>081, 19400119, 19.45, 7490, 00,  270, 00</v>
      </c>
    </row>
    <row r="59" spans="1:1" x14ac:dyDescent="0.25">
      <c r="A59" s="25" t="str">
        <f ca="1">TEXT(Overig!A59,"000\,")&amp;TEXT(Overig!B59,"?00000000")&amp;TEXT(Overig!C59,""", ""@")&amp;SUBSTITUTE(TEXT(IF(ISTEXT(Overig!D59),Overig!D59,10*Overig!D59),""",""????0;"",""???-0;"",""????0;"", ////"""),"'","""")&amp;SUBSTITUTE(TEXT(Overig!E59,""",""?00;"",""?-00;"",""?00;"", //"""),"'","""")&amp;SUBSTITUTE(TEXT(IF(ISTEXT(Overig!F59),Overig!F59,10*Overig!F59),""",""????0;"",""???-0;"",""????0;"", ////"""),"'","""")&amp;SUBSTITUTE(TEXT(Overig!G59,""",""?00;"",""?-00;"",""?00;"", //"""),"'","""")</f>
        <v>081, 19400120, 07.45, 7490, 00,  250, 00</v>
      </c>
    </row>
    <row r="60" spans="1:1" x14ac:dyDescent="0.25">
      <c r="A60" s="25" t="str">
        <f ca="1">TEXT(Overig!A60,"000\,")&amp;TEXT(Overig!B60,"?00000000")&amp;TEXT(Overig!C60,""", ""@")&amp;SUBSTITUTE(TEXT(IF(ISTEXT(Overig!D60),Overig!D60,10*Overig!D60),""",""????0;"",""???-0;"",""????0;"", ////"""),"'","""")&amp;SUBSTITUTE(TEXT(Overig!E60,""",""?00;"",""?-00;"",""?00;"", //"""),"'","""")&amp;SUBSTITUTE(TEXT(IF(ISTEXT(Overig!F60),Overig!F60,10*Overig!F60),""",""????0;"",""???-0;"",""????0;"", ////"""),"'","""")&amp;SUBSTITUTE(TEXT(Overig!G60,""",""?00;"",""?-00;"",""?00;"", //"""),"'","""")</f>
        <v>081, 19400120, 13.45, 7490, 00,  270, 00</v>
      </c>
    </row>
    <row r="61" spans="1:1" x14ac:dyDescent="0.25">
      <c r="A61" s="25" t="str">
        <f ca="1">TEXT(Overig!A61,"000\,")&amp;TEXT(Overig!B61,"?00000000")&amp;TEXT(Overig!C61,""", ""@")&amp;SUBSTITUTE(TEXT(IF(ISTEXT(Overig!D61),Overig!D61,10*Overig!D61),""",""????0;"",""???-0;"",""????0;"", ////"""),"'","""")&amp;SUBSTITUTE(TEXT(Overig!E61,""",""?00;"",""?-00;"",""?00;"", //"""),"'","""")&amp;SUBSTITUTE(TEXT(IF(ISTEXT(Overig!F61),Overig!F61,10*Overig!F61),""",""????0;"",""???-0;"",""????0;"", ////"""),"'","""")&amp;SUBSTITUTE(TEXT(Overig!G61,""",""?00;"",""?-00;"",""?00;"", //"""),"'","""")</f>
        <v>081, 19400120, 19.45, 7490, 00,  260, 00</v>
      </c>
    </row>
    <row r="62" spans="1:1" x14ac:dyDescent="0.25">
      <c r="A62" s="25" t="str">
        <f ca="1">TEXT(Overig!A62,"000\,")&amp;TEXT(Overig!B62,"?00000000")&amp;TEXT(Overig!C62,""", ""@")&amp;SUBSTITUTE(TEXT(IF(ISTEXT(Overig!D62),Overig!D62,10*Overig!D62),""",""????0;"",""???-0;"",""????0;"", ////"""),"'","""")&amp;SUBSTITUTE(TEXT(Overig!E62,""",""?00;"",""?-00;"",""?00;"", //"""),"'","""")&amp;SUBSTITUTE(TEXT(IF(ISTEXT(Overig!F62),Overig!F62,10*Overig!F62),""",""????0;"",""???-0;"",""????0;"", ////"""),"'","""")&amp;SUBSTITUTE(TEXT(Overig!G62,""",""?00;"",""?-00;"",""?00;"", //"""),"'","""")</f>
        <v>081, 19400121, 07.45, 7490, 00,  250, 00</v>
      </c>
    </row>
    <row r="63" spans="1:1" x14ac:dyDescent="0.25">
      <c r="A63" s="25" t="str">
        <f ca="1">TEXT(Overig!A63,"000\,")&amp;TEXT(Overig!B63,"?00000000")&amp;TEXT(Overig!C63,""", ""@")&amp;SUBSTITUTE(TEXT(IF(ISTEXT(Overig!D63),Overig!D63,10*Overig!D63),""",""????0;"",""???-0;"",""????0;"", ////"""),"'","""")&amp;SUBSTITUTE(TEXT(Overig!E63,""",""?00;"",""?-00;"",""?00;"", //"""),"'","""")&amp;SUBSTITUTE(TEXT(IF(ISTEXT(Overig!F63),Overig!F63,10*Overig!F63),""",""????0;"",""???-0;"",""????0;"", ////"""),"'","""")&amp;SUBSTITUTE(TEXT(Overig!G63,""",""?00;"",""?-00;"",""?00;"", //"""),"'","""")</f>
        <v>081, 19400121, 13.45, 7490, 00,  280, 00</v>
      </c>
    </row>
    <row r="64" spans="1:1" x14ac:dyDescent="0.25">
      <c r="A64" s="25" t="str">
        <f ca="1">TEXT(Overig!A64,"000\,")&amp;TEXT(Overig!B64,"?00000000")&amp;TEXT(Overig!C64,""", ""@")&amp;SUBSTITUTE(TEXT(IF(ISTEXT(Overig!D64),Overig!D64,10*Overig!D64),""",""????0;"",""???-0;"",""????0;"", ////"""),"'","""")&amp;SUBSTITUTE(TEXT(Overig!E64,""",""?00;"",""?-00;"",""?00;"", //"""),"'","""")&amp;SUBSTITUTE(TEXT(IF(ISTEXT(Overig!F64),Overig!F64,10*Overig!F64),""",""????0;"",""???-0;"",""????0;"", ////"""),"'","""")&amp;SUBSTITUTE(TEXT(Overig!G64,""",""?00;"",""?-00;"",""?00;"", //"""),"'","""")</f>
        <v>081, 19400121, 19.45, 7490, 00,  270, 00</v>
      </c>
    </row>
    <row r="65" spans="1:1" x14ac:dyDescent="0.25">
      <c r="A65" s="25" t="str">
        <f ca="1">TEXT(Overig!A65,"000\,")&amp;TEXT(Overig!B65,"?00000000")&amp;TEXT(Overig!C65,""", ""@")&amp;SUBSTITUTE(TEXT(IF(ISTEXT(Overig!D65),Overig!D65,10*Overig!D65),""",""????0;"",""???-0;"",""????0;"", ////"""),"'","""")&amp;SUBSTITUTE(TEXT(Overig!E65,""",""?00;"",""?-00;"",""?00;"", //"""),"'","""")&amp;SUBSTITUTE(TEXT(IF(ISTEXT(Overig!F65),Overig!F65,10*Overig!F65),""",""????0;"",""???-0;"",""????0;"", ////"""),"'","""")&amp;SUBSTITUTE(TEXT(Overig!G65,""",""?00;"",""?-00;"",""?00;"", //"""),"'","""")</f>
        <v>081, 19400122, 07.45, 7490, 00,  260, 00</v>
      </c>
    </row>
    <row r="66" spans="1:1" x14ac:dyDescent="0.25">
      <c r="A66" s="25" t="str">
        <f ca="1">TEXT(Overig!A66,"000\,")&amp;TEXT(Overig!B66,"?00000000")&amp;TEXT(Overig!C66,""", ""@")&amp;SUBSTITUTE(TEXT(IF(ISTEXT(Overig!D66),Overig!D66,10*Overig!D66),""",""????0;"",""???-0;"",""????0;"", ////"""),"'","""")&amp;SUBSTITUTE(TEXT(Overig!E66,""",""?00;"",""?-00;"",""?00;"", //"""),"'","""")&amp;SUBSTITUTE(TEXT(IF(ISTEXT(Overig!F66),Overig!F66,10*Overig!F66),""",""????0;"",""???-0;"",""????0;"", ////"""),"'","""")&amp;SUBSTITUTE(TEXT(Overig!G66,""",""?00;"",""?-00;"",""?00;"", //"""),"'","""")</f>
        <v>081, 19400122, 13.45, 7490, 00,  280, 00</v>
      </c>
    </row>
    <row r="67" spans="1:1" x14ac:dyDescent="0.25">
      <c r="A67" s="25" t="str">
        <f ca="1">TEXT(Overig!A67,"000\,")&amp;TEXT(Overig!B67,"?00000000")&amp;TEXT(Overig!C67,""", ""@")&amp;SUBSTITUTE(TEXT(IF(ISTEXT(Overig!D67),Overig!D67,10*Overig!D67),""",""????0;"",""???-0;"",""????0;"", ////"""),"'","""")&amp;SUBSTITUTE(TEXT(Overig!E67,""",""?00;"",""?-00;"",""?00;"", //"""),"'","""")&amp;SUBSTITUTE(TEXT(IF(ISTEXT(Overig!F67),Overig!F67,10*Overig!F67),""",""????0;"",""???-0;"",""????0;"", ////"""),"'","""")&amp;SUBSTITUTE(TEXT(Overig!G67,""",""?00;"",""?-00;"",""?00;"", //"""),"'","""")</f>
        <v>081, 19400122, 19.45, 7500, 00,  270, 00</v>
      </c>
    </row>
    <row r="68" spans="1:1" x14ac:dyDescent="0.25">
      <c r="A68" s="25" t="str">
        <f ca="1">TEXT(Overig!A68,"000\,")&amp;TEXT(Overig!B68,"?00000000")&amp;TEXT(Overig!C68,""", ""@")&amp;SUBSTITUTE(TEXT(IF(ISTEXT(Overig!D68),Overig!D68,10*Overig!D68),""",""????0;"",""???-0;"",""????0;"", ////"""),"'","""")&amp;SUBSTITUTE(TEXT(Overig!E68,""",""?00;"",""?-00;"",""?00;"", //"""),"'","""")&amp;SUBSTITUTE(TEXT(IF(ISTEXT(Overig!F68),Overig!F68,10*Overig!F68),""",""????0;"",""???-0;"",""????0;"", ////"""),"'","""")&amp;SUBSTITUTE(TEXT(Overig!G68,""",""?00;"",""?-00;"",""?00;"", //"""),"'","""")</f>
        <v>081, 19400123, 07.45, 7500, 00,  250, 00</v>
      </c>
    </row>
    <row r="69" spans="1:1" x14ac:dyDescent="0.25">
      <c r="A69" s="25" t="str">
        <f ca="1">TEXT(Overig!A69,"000\,")&amp;TEXT(Overig!B69,"?00000000")&amp;TEXT(Overig!C69,""", ""@")&amp;SUBSTITUTE(TEXT(IF(ISTEXT(Overig!D69),Overig!D69,10*Overig!D69),""",""????0;"",""???-0;"",""????0;"", ////"""),"'","""")&amp;SUBSTITUTE(TEXT(Overig!E69,""",""?00;"",""?-00;"",""?00;"", //"""),"'","""")&amp;SUBSTITUTE(TEXT(IF(ISTEXT(Overig!F69),Overig!F69,10*Overig!F69),""",""????0;"",""???-0;"",""????0;"", ////"""),"'","""")&amp;SUBSTITUTE(TEXT(Overig!G69,""",""?00;"",""?-00;"",""?00;"", //"""),"'","""")</f>
        <v>081, 19400123, 13.45, 7500, 00,  270, 00</v>
      </c>
    </row>
    <row r="70" spans="1:1" x14ac:dyDescent="0.25">
      <c r="A70" s="25" t="str">
        <f ca="1">TEXT(Overig!A70,"000\,")&amp;TEXT(Overig!B70,"?00000000")&amp;TEXT(Overig!C70,""", ""@")&amp;SUBSTITUTE(TEXT(IF(ISTEXT(Overig!D70),Overig!D70,10*Overig!D70),""",""????0;"",""???-0;"",""????0;"", ////"""),"'","""")&amp;SUBSTITUTE(TEXT(Overig!E70,""",""?00;"",""?-00;"",""?00;"", //"""),"'","""")&amp;SUBSTITUTE(TEXT(IF(ISTEXT(Overig!F70),Overig!F70,10*Overig!F70),""",""????0;"",""???-0;"",""????0;"", ////"""),"'","""")&amp;SUBSTITUTE(TEXT(Overig!G70,""",""?00;"",""?-00;"",""?00;"", //"""),"'","""")</f>
        <v>081, 19400123, 19.45, 7500, 00,  260, 00</v>
      </c>
    </row>
    <row r="71" spans="1:1" x14ac:dyDescent="0.25">
      <c r="A71" s="25" t="str">
        <f ca="1">TEXT(Overig!A71,"000\,")&amp;TEXT(Overig!B71,"?00000000")&amp;TEXT(Overig!C71,""", ""@")&amp;SUBSTITUTE(TEXT(IF(ISTEXT(Overig!D71),Overig!D71,10*Overig!D71),""",""????0;"",""???-0;"",""????0;"", ////"""),"'","""")&amp;SUBSTITUTE(TEXT(Overig!E71,""",""?00;"",""?-00;"",""?00;"", //"""),"'","""")&amp;SUBSTITUTE(TEXT(IF(ISTEXT(Overig!F71),Overig!F71,10*Overig!F71),""",""????0;"",""???-0;"",""????0;"", ////"""),"'","""")&amp;SUBSTITUTE(TEXT(Overig!G71,""",""?00;"",""?-00;"",""?00;"", //"""),"'","""")</f>
        <v>081, 19400124, 07.45, 7500, 00,  250, 00</v>
      </c>
    </row>
    <row r="72" spans="1:1" x14ac:dyDescent="0.25">
      <c r="A72" s="25" t="str">
        <f ca="1">TEXT(Overig!A72,"000\,")&amp;TEXT(Overig!B72,"?00000000")&amp;TEXT(Overig!C72,""", ""@")&amp;SUBSTITUTE(TEXT(IF(ISTEXT(Overig!D72),Overig!D72,10*Overig!D72),""",""????0;"",""???-0;"",""????0;"", ////"""),"'","""")&amp;SUBSTITUTE(TEXT(Overig!E72,""",""?00;"",""?-00;"",""?00;"", //"""),"'","""")&amp;SUBSTITUTE(TEXT(IF(ISTEXT(Overig!F72),Overig!F72,10*Overig!F72),""",""????0;"",""???-0;"",""????0;"", ////"""),"'","""")&amp;SUBSTITUTE(TEXT(Overig!G72,""",""?00;"",""?-00;"",""?00;"", //"""),"'","""")</f>
        <v>081, 19400124, 13.45, 7500, 00,  260, 00</v>
      </c>
    </row>
    <row r="73" spans="1:1" x14ac:dyDescent="0.25">
      <c r="A73" s="25" t="str">
        <f ca="1">TEXT(Overig!A73,"000\,")&amp;TEXT(Overig!B73,"?00000000")&amp;TEXT(Overig!C73,""", ""@")&amp;SUBSTITUTE(TEXT(IF(ISTEXT(Overig!D73),Overig!D73,10*Overig!D73),""",""????0;"",""???-0;"",""????0;"", ////"""),"'","""")&amp;SUBSTITUTE(TEXT(Overig!E73,""",""?00;"",""?-00;"",""?00;"", //"""),"'","""")&amp;SUBSTITUTE(TEXT(IF(ISTEXT(Overig!F73),Overig!F73,10*Overig!F73),""",""????0;"",""???-0;"",""????0;"", ////"""),"'","""")&amp;SUBSTITUTE(TEXT(Overig!G73,""",""?00;"",""?-00;"",""?00;"", //"""),"'","""")</f>
        <v>081, 19400124, 19.45, 7500, 00,  260, 00</v>
      </c>
    </row>
    <row r="74" spans="1:1" x14ac:dyDescent="0.25">
      <c r="A74" s="25" t="str">
        <f ca="1">TEXT(Overig!A74,"000\,")&amp;TEXT(Overig!B74,"?00000000")&amp;TEXT(Overig!C74,""", ""@")&amp;SUBSTITUTE(TEXT(IF(ISTEXT(Overig!D74),Overig!D74,10*Overig!D74),""",""????0;"",""???-0;"",""????0;"", ////"""),"'","""")&amp;SUBSTITUTE(TEXT(Overig!E74,""",""?00;"",""?-00;"",""?00;"", //"""),"'","""")&amp;SUBSTITUTE(TEXT(IF(ISTEXT(Overig!F74),Overig!F74,10*Overig!F74),""",""????0;"",""???-0;"",""????0;"", ////"""),"'","""")&amp;SUBSTITUTE(TEXT(Overig!G74,""",""?00;"",""?-00;"",""?00;"", //"""),"'","""")</f>
        <v>081, 19400125, 07.45, 7490, 00,  250, 00</v>
      </c>
    </row>
    <row r="75" spans="1:1" x14ac:dyDescent="0.25">
      <c r="A75" s="25" t="str">
        <f ca="1">TEXT(Overig!A75,"000\,")&amp;TEXT(Overig!B75,"?00000000")&amp;TEXT(Overig!C75,""", ""@")&amp;SUBSTITUTE(TEXT(IF(ISTEXT(Overig!D75),Overig!D75,10*Overig!D75),""",""????0;"",""???-0;"",""????0;"", ////"""),"'","""")&amp;SUBSTITUTE(TEXT(Overig!E75,""",""?00;"",""?-00;"",""?00;"", //"""),"'","""")&amp;SUBSTITUTE(TEXT(IF(ISTEXT(Overig!F75),Overig!F75,10*Overig!F75),""",""????0;"",""???-0;"",""????0;"", ////"""),"'","""")&amp;SUBSTITUTE(TEXT(Overig!G75,""",""?00;"",""?-00;"",""?00;"", //"""),"'","""")</f>
        <v>081, 19400125, 13.45, 7490, 00,  250, 00</v>
      </c>
    </row>
    <row r="76" spans="1:1" x14ac:dyDescent="0.25">
      <c r="A76" s="25" t="str">
        <f ca="1">TEXT(Overig!A76,"000\,")&amp;TEXT(Overig!B76,"?00000000")&amp;TEXT(Overig!C76,""", ""@")&amp;SUBSTITUTE(TEXT(IF(ISTEXT(Overig!D76),Overig!D76,10*Overig!D76),""",""????0;"",""???-0;"",""????0;"", ////"""),"'","""")&amp;SUBSTITUTE(TEXT(Overig!E76,""",""?00;"",""?-00;"",""?00;"", //"""),"'","""")&amp;SUBSTITUTE(TEXT(IF(ISTEXT(Overig!F76),Overig!F76,10*Overig!F76),""",""????0;"",""???-0;"",""????0;"", ////"""),"'","""")&amp;SUBSTITUTE(TEXT(Overig!G76,""",""?00;"",""?-00;"",""?00;"", //"""),"'","""")</f>
        <v>081, 19400125, 19.45, 7490, 00,  250, 00</v>
      </c>
    </row>
    <row r="77" spans="1:1" x14ac:dyDescent="0.25">
      <c r="A77" s="25" t="str">
        <f ca="1">TEXT(Overig!A77,"000\,")&amp;TEXT(Overig!B77,"?00000000")&amp;TEXT(Overig!C77,""", ""@")&amp;SUBSTITUTE(TEXT(IF(ISTEXT(Overig!D77),Overig!D77,10*Overig!D77),""",""????0;"",""???-0;"",""????0;"", ////"""),"'","""")&amp;SUBSTITUTE(TEXT(Overig!E77,""",""?00;"",""?-00;"",""?00;"", //"""),"'","""")&amp;SUBSTITUTE(TEXT(IF(ISTEXT(Overig!F77),Overig!F77,10*Overig!F77),""",""????0;"",""???-0;"",""????0;"", ////"""),"'","""")&amp;SUBSTITUTE(TEXT(Overig!G77,""",""?00;"",""?-00;"",""?00;"", //"""),"'","""")</f>
        <v>081, 19400126, 07.45, 7490, 00,  250, 00</v>
      </c>
    </row>
    <row r="78" spans="1:1" x14ac:dyDescent="0.25">
      <c r="A78" s="25" t="str">
        <f ca="1">TEXT(Overig!A78,"000\,")&amp;TEXT(Overig!B78,"?00000000")&amp;TEXT(Overig!C78,""", ""@")&amp;SUBSTITUTE(TEXT(IF(ISTEXT(Overig!D78),Overig!D78,10*Overig!D78),""",""????0;"",""???-0;"",""????0;"", ////"""),"'","""")&amp;SUBSTITUTE(TEXT(Overig!E78,""",""?00;"",""?-00;"",""?00;"", //"""),"'","""")&amp;SUBSTITUTE(TEXT(IF(ISTEXT(Overig!F78),Overig!F78,10*Overig!F78),""",""????0;"",""???-0;"",""????0;"", ////"""),"'","""")&amp;SUBSTITUTE(TEXT(Overig!G78,""",""?00;"",""?-00;"",""?00;"", //"""),"'","""")</f>
        <v>081, 19400126, 13.45, 7490, 00,  270, 00</v>
      </c>
    </row>
    <row r="79" spans="1:1" x14ac:dyDescent="0.25">
      <c r="A79" s="25" t="str">
        <f ca="1">TEXT(Overig!A79,"000\,")&amp;TEXT(Overig!B79,"?00000000")&amp;TEXT(Overig!C79,""", ""@")&amp;SUBSTITUTE(TEXT(IF(ISTEXT(Overig!D79),Overig!D79,10*Overig!D79),""",""????0;"",""???-0;"",""????0;"", ////"""),"'","""")&amp;SUBSTITUTE(TEXT(Overig!E79,""",""?00;"",""?-00;"",""?00;"", //"""),"'","""")&amp;SUBSTITUTE(TEXT(IF(ISTEXT(Overig!F79),Overig!F79,10*Overig!F79),""",""????0;"",""???-0;"",""????0;"", ////"""),"'","""")&amp;SUBSTITUTE(TEXT(Overig!G79,""",""?00;"",""?-00;"",""?00;"", //"""),"'","""")</f>
        <v>081, 19400126, 19.45, 7480, 00,  260, 00</v>
      </c>
    </row>
    <row r="80" spans="1:1" x14ac:dyDescent="0.25">
      <c r="A80" s="25" t="str">
        <f ca="1">TEXT(Overig!A80,"000\,")&amp;TEXT(Overig!B80,"?00000000")&amp;TEXT(Overig!C80,""", ""@")&amp;SUBSTITUTE(TEXT(IF(ISTEXT(Overig!D80),Overig!D80,10*Overig!D80),""",""????0;"",""???-0;"",""????0;"", ////"""),"'","""")&amp;SUBSTITUTE(TEXT(Overig!E80,""",""?00;"",""?-00;"",""?00;"", //"""),"'","""")&amp;SUBSTITUTE(TEXT(IF(ISTEXT(Overig!F80),Overig!F80,10*Overig!F80),""",""????0;"",""???-0;"",""????0;"", ////"""),"'","""")&amp;SUBSTITUTE(TEXT(Overig!G80,""",""?00;"",""?-00;"",""?00;"", //"""),"'","""")</f>
        <v>081, 19400127, 07.45, 7490, 00,  250, 00</v>
      </c>
    </row>
    <row r="81" spans="1:1" x14ac:dyDescent="0.25">
      <c r="A81" s="25" t="str">
        <f ca="1">TEXT(Overig!A81,"000\,")&amp;TEXT(Overig!B81,"?00000000")&amp;TEXT(Overig!C81,""", ""@")&amp;SUBSTITUTE(TEXT(IF(ISTEXT(Overig!D81),Overig!D81,10*Overig!D81),""",""????0;"",""???-0;"",""????0;"", ////"""),"'","""")&amp;SUBSTITUTE(TEXT(Overig!E81,""",""?00;"",""?-00;"",""?00;"", //"""),"'","""")&amp;SUBSTITUTE(TEXT(IF(ISTEXT(Overig!F81),Overig!F81,10*Overig!F81),""",""????0;"",""???-0;"",""????0;"", ////"""),"'","""")&amp;SUBSTITUTE(TEXT(Overig!G81,""",""?00;"",""?-00;"",""?00;"", //"""),"'","""")</f>
        <v>081, 19400127, 13.45, 7490, 00,  270, 00</v>
      </c>
    </row>
    <row r="82" spans="1:1" x14ac:dyDescent="0.25">
      <c r="A82" s="25" t="str">
        <f ca="1">TEXT(Overig!A82,"000\,")&amp;TEXT(Overig!B82,"?00000000")&amp;TEXT(Overig!C82,""", ""@")&amp;SUBSTITUTE(TEXT(IF(ISTEXT(Overig!D82),Overig!D82,10*Overig!D82),""",""????0;"",""???-0;"",""????0;"", ////"""),"'","""")&amp;SUBSTITUTE(TEXT(Overig!E82,""",""?00;"",""?-00;"",""?00;"", //"""),"'","""")&amp;SUBSTITUTE(TEXT(IF(ISTEXT(Overig!F82),Overig!F82,10*Overig!F82),""",""????0;"",""???-0;"",""????0;"", ////"""),"'","""")&amp;SUBSTITUTE(TEXT(Overig!G82,""",""?00;"",""?-00;"",""?00;"", //"""),"'","""")</f>
        <v>081, 19400127, 19.45, 7490, 00,  260, 00</v>
      </c>
    </row>
    <row r="83" spans="1:1" x14ac:dyDescent="0.25">
      <c r="A83" s="25" t="str">
        <f ca="1">TEXT(Overig!A83,"000\,")&amp;TEXT(Overig!B83,"?00000000")&amp;TEXT(Overig!C83,""", ""@")&amp;SUBSTITUTE(TEXT(IF(ISTEXT(Overig!D83),Overig!D83,10*Overig!D83),""",""????0;"",""???-0;"",""????0;"", ////"""),"'","""")&amp;SUBSTITUTE(TEXT(Overig!E83,""",""?00;"",""?-00;"",""?00;"", //"""),"'","""")&amp;SUBSTITUTE(TEXT(IF(ISTEXT(Overig!F83),Overig!F83,10*Overig!F83),""",""????0;"",""???-0;"",""????0;"", ////"""),"'","""")&amp;SUBSTITUTE(TEXT(Overig!G83,""",""?00;"",""?-00;"",""?00;"", //"""),"'","""")</f>
        <v>081, 19400128, 07.45, 7500, 00,  250, 00</v>
      </c>
    </row>
    <row r="84" spans="1:1" x14ac:dyDescent="0.25">
      <c r="A84" s="25" t="str">
        <f ca="1">TEXT(Overig!A84,"000\,")&amp;TEXT(Overig!B84,"?00000000")&amp;TEXT(Overig!C84,""", ""@")&amp;SUBSTITUTE(TEXT(IF(ISTEXT(Overig!D84),Overig!D84,10*Overig!D84),""",""????0;"",""???-0;"",""????0;"", ////"""),"'","""")&amp;SUBSTITUTE(TEXT(Overig!E84,""",""?00;"",""?-00;"",""?00;"", //"""),"'","""")&amp;SUBSTITUTE(TEXT(IF(ISTEXT(Overig!F84),Overig!F84,10*Overig!F84),""",""????0;"",""???-0;"",""????0;"", ////"""),"'","""")&amp;SUBSTITUTE(TEXT(Overig!G84,""",""?00;"",""?-00;"",""?00;"", //"""),"'","""")</f>
        <v>081, 19400128, 13.45, 7500, 00,  270, 00</v>
      </c>
    </row>
    <row r="85" spans="1:1" x14ac:dyDescent="0.25">
      <c r="A85" s="25" t="str">
        <f ca="1">TEXT(Overig!A85,"000\,")&amp;TEXT(Overig!B85,"?00000000")&amp;TEXT(Overig!C85,""", ""@")&amp;SUBSTITUTE(TEXT(IF(ISTEXT(Overig!D85),Overig!D85,10*Overig!D85),""",""????0;"",""???-0;"",""????0;"", ////"""),"'","""")&amp;SUBSTITUTE(TEXT(Overig!E85,""",""?00;"",""?-00;"",""?00;"", //"""),"'","""")&amp;SUBSTITUTE(TEXT(IF(ISTEXT(Overig!F85),Overig!F85,10*Overig!F85),""",""????0;"",""???-0;"",""????0;"", ////"""),"'","""")&amp;SUBSTITUTE(TEXT(Overig!G85,""",""?00;"",""?-00;"",""?00;"", //"""),"'","""")</f>
        <v>081, 19400128, 19.45, 7500, 00,  260, 00</v>
      </c>
    </row>
    <row r="86" spans="1:1" x14ac:dyDescent="0.25">
      <c r="A86" s="25" t="str">
        <f ca="1">TEXT(Overig!A86,"000\,")&amp;TEXT(Overig!B86,"?00000000")&amp;TEXT(Overig!C86,""", ""@")&amp;SUBSTITUTE(TEXT(IF(ISTEXT(Overig!D86),Overig!D86,10*Overig!D86),""",""????0;"",""???-0;"",""????0;"", ////"""),"'","""")&amp;SUBSTITUTE(TEXT(Overig!E86,""",""?00;"",""?-00;"",""?00;"", //"""),"'","""")&amp;SUBSTITUTE(TEXT(IF(ISTEXT(Overig!F86),Overig!F86,10*Overig!F86),""",""????0;"",""???-0;"",""????0;"", ////"""),"'","""")&amp;SUBSTITUTE(TEXT(Overig!G86,""",""?00;"",""?-00;"",""?00;"", //"""),"'","""")</f>
        <v>081, 19400129, 07.45, 7500, 00,  260, 00</v>
      </c>
    </row>
    <row r="87" spans="1:1" x14ac:dyDescent="0.25">
      <c r="A87" s="25" t="str">
        <f ca="1">TEXT(Overig!A87,"000\,")&amp;TEXT(Overig!B87,"?00000000")&amp;TEXT(Overig!C87,""", ""@")&amp;SUBSTITUTE(TEXT(IF(ISTEXT(Overig!D87),Overig!D87,10*Overig!D87),""",""????0;"",""???-0;"",""????0;"", ////"""),"'","""")&amp;SUBSTITUTE(TEXT(Overig!E87,""",""?00;"",""?-00;"",""?00;"", //"""),"'","""")&amp;SUBSTITUTE(TEXT(IF(ISTEXT(Overig!F87),Overig!F87,10*Overig!F87),""",""????0;"",""???-0;"",""????0;"", ////"""),"'","""")&amp;SUBSTITUTE(TEXT(Overig!G87,""",""?00;"",""?-00;"",""?00;"", //"""),"'","""")</f>
        <v>081, 19400129, 13.45, 7500, 00,  270, 00</v>
      </c>
    </row>
    <row r="88" spans="1:1" x14ac:dyDescent="0.25">
      <c r="A88" s="25" t="str">
        <f ca="1">TEXT(Overig!A88,"000\,")&amp;TEXT(Overig!B88,"?00000000")&amp;TEXT(Overig!C88,""", ""@")&amp;SUBSTITUTE(TEXT(IF(ISTEXT(Overig!D88),Overig!D88,10*Overig!D88),""",""????0;"",""???-0;"",""????0;"", ////"""),"'","""")&amp;SUBSTITUTE(TEXT(Overig!E88,""",""?00;"",""?-00;"",""?00;"", //"""),"'","""")&amp;SUBSTITUTE(TEXT(IF(ISTEXT(Overig!F88),Overig!F88,10*Overig!F88),""",""????0;"",""???-0;"",""????0;"", ////"""),"'","""")&amp;SUBSTITUTE(TEXT(Overig!G88,""",""?00;"",""?-00;"",""?00;"", //"""),"'","""")</f>
        <v>081, 19400129, 19.45, 7500, 00,  270, 00</v>
      </c>
    </row>
    <row r="89" spans="1:1" x14ac:dyDescent="0.25">
      <c r="A89" s="25" t="str">
        <f ca="1">TEXT(Overig!A89,"000\,")&amp;TEXT(Overig!B89,"?00000000")&amp;TEXT(Overig!C89,""", ""@")&amp;SUBSTITUTE(TEXT(IF(ISTEXT(Overig!D89),Overig!D89,10*Overig!D89),""",""????0;"",""???-0;"",""????0;"", ////"""),"'","""")&amp;SUBSTITUTE(TEXT(Overig!E89,""",""?00;"",""?-00;"",""?00;"", //"""),"'","""")&amp;SUBSTITUTE(TEXT(IF(ISTEXT(Overig!F89),Overig!F89,10*Overig!F89),""",""????0;"",""???-0;"",""????0;"", ////"""),"'","""")&amp;SUBSTITUTE(TEXT(Overig!G89,""",""?00;"",""?-00;"",""?00;"", //"""),"'","""")</f>
        <v>081, 19400130, 07.45, 7500, 00,  260, 00</v>
      </c>
    </row>
    <row r="90" spans="1:1" x14ac:dyDescent="0.25">
      <c r="A90" s="25" t="str">
        <f ca="1">TEXT(Overig!A90,"000\,")&amp;TEXT(Overig!B90,"?00000000")&amp;TEXT(Overig!C90,""", ""@")&amp;SUBSTITUTE(TEXT(IF(ISTEXT(Overig!D90),Overig!D90,10*Overig!D90),""",""????0;"",""???-0;"",""????0;"", ////"""),"'","""")&amp;SUBSTITUTE(TEXT(Overig!E90,""",""?00;"",""?-00;"",""?00;"", //"""),"'","""")&amp;SUBSTITUTE(TEXT(IF(ISTEXT(Overig!F90),Overig!F90,10*Overig!F90),""",""????0;"",""???-0;"",""????0;"", ////"""),"'","""")&amp;SUBSTITUTE(TEXT(Overig!G90,""",""?00;"",""?-00;"",""?00;"", //"""),"'","""")</f>
        <v>081, 19400130, 13.45, 7490, 00,  280, 00</v>
      </c>
    </row>
    <row r="91" spans="1:1" x14ac:dyDescent="0.25">
      <c r="A91" s="25" t="str">
        <f ca="1">TEXT(Overig!A91,"000\,")&amp;TEXT(Overig!B91,"?00000000")&amp;TEXT(Overig!C91,""", ""@")&amp;SUBSTITUTE(TEXT(IF(ISTEXT(Overig!D91),Overig!D91,10*Overig!D91),""",""????0;"",""???-0;"",""????0;"", ////"""),"'","""")&amp;SUBSTITUTE(TEXT(Overig!E91,""",""?00;"",""?-00;"",""?00;"", //"""),"'","""")&amp;SUBSTITUTE(TEXT(IF(ISTEXT(Overig!F91),Overig!F91,10*Overig!F91),""",""????0;"",""???-0;"",""????0;"", ////"""),"'","""")&amp;SUBSTITUTE(TEXT(Overig!G91,""",""?00;"",""?-00;"",""?00;"", //"""),"'","""")</f>
        <v>081, 19400130, 19.45, 7490, 00,  270, 00</v>
      </c>
    </row>
    <row r="92" spans="1:1" x14ac:dyDescent="0.25">
      <c r="A92" s="25" t="str">
        <f ca="1">TEXT(Overig!A92,"000\,")&amp;TEXT(Overig!B92,"?00000000")&amp;TEXT(Overig!C92,""", ""@")&amp;SUBSTITUTE(TEXT(IF(ISTEXT(Overig!D92),Overig!D92,10*Overig!D92),""",""????0;"",""???-0;"",""????0;"", ////"""),"'","""")&amp;SUBSTITUTE(TEXT(Overig!E92,""",""?00;"",""?-00;"",""?00;"", //"""),"'","""")&amp;SUBSTITUTE(TEXT(IF(ISTEXT(Overig!F92),Overig!F92,10*Overig!F92),""",""????0;"",""???-0;"",""????0;"", ////"""),"'","""")&amp;SUBSTITUTE(TEXT(Overig!G92,""",""?00;"",""?-00;"",""?00;"", //"""),"'","""")</f>
        <v>081, 19400131, 07.45, 7490, 00,  260, 00</v>
      </c>
    </row>
    <row r="93" spans="1:1" x14ac:dyDescent="0.25">
      <c r="A93" s="25" t="str">
        <f ca="1">TEXT(Overig!A93,"000\,")&amp;TEXT(Overig!B93,"?00000000")&amp;TEXT(Overig!C93,""", ""@")&amp;SUBSTITUTE(TEXT(IF(ISTEXT(Overig!D93),Overig!D93,10*Overig!D93),""",""????0;"",""???-0;"",""????0;"", ////"""),"'","""")&amp;SUBSTITUTE(TEXT(Overig!E93,""",""?00;"",""?-00;"",""?00;"", //"""),"'","""")&amp;SUBSTITUTE(TEXT(IF(ISTEXT(Overig!F93),Overig!F93,10*Overig!F93),""",""????0;"",""???-0;"",""????0;"", ////"""),"'","""")&amp;SUBSTITUTE(TEXT(Overig!G93,""",""?00;"",""?-00;"",""?00;"", //"""),"'","""")</f>
        <v>081, 19400131, 13.45, 7490, 00,  280, 00</v>
      </c>
    </row>
    <row r="94" spans="1:1" x14ac:dyDescent="0.25">
      <c r="A94" s="25" t="str">
        <f ca="1">TEXT(Overig!A94,"000\,")&amp;TEXT(Overig!B94,"?00000000")&amp;TEXT(Overig!C94,""", ""@")&amp;SUBSTITUTE(TEXT(IF(ISTEXT(Overig!D94),Overig!D94,10*Overig!D94),""",""????0;"",""???-0;"",""????0;"", ////"""),"'","""")&amp;SUBSTITUTE(TEXT(Overig!E94,""",""?00;"",""?-00;"",""?00;"", //"""),"'","""")&amp;SUBSTITUTE(TEXT(IF(ISTEXT(Overig!F94),Overig!F94,10*Overig!F94),""",""????0;"",""???-0;"",""????0;"", ////"""),"'","""")&amp;SUBSTITUTE(TEXT(Overig!G94,""",""?00;"",""?-00;"",""?00;"", //"""),"'","""")</f>
        <v>081, 19400131, 19.45, 7490, 00,  270, 00</v>
      </c>
    </row>
    <row r="95" spans="1:1" x14ac:dyDescent="0.25">
      <c r="A95" s="25" t="str">
        <f ca="1">TEXT(Overig!A95,"000\,")&amp;TEXT(Overig!B95,"?00000000")&amp;TEXT(Overig!C95,""", ""@")&amp;SUBSTITUTE(TEXT(IF(ISTEXT(Overig!D95),Overig!D95,10*Overig!D95),""",""????0;"",""???-0;"",""????0;"", ////"""),"'","""")&amp;SUBSTITUTE(TEXT(Overig!E95,""",""?00;"",""?-00;"",""?00;"", //"""),"'","""")&amp;SUBSTITUTE(TEXT(IF(ISTEXT(Overig!F95),Overig!F95,10*Overig!F95),""",""????0;"",""???-0;"",""????0;"", ////"""),"'","""")&amp;SUBSTITUTE(TEXT(Overig!G95,""",""?00;"",""?-00;"",""?00;"", //"""),"'","""")</f>
        <v>081, 19400201, 07.45, 7490, 00,  250, 00</v>
      </c>
    </row>
    <row r="96" spans="1:1" x14ac:dyDescent="0.25">
      <c r="A96" s="25" t="str">
        <f ca="1">TEXT(Overig!A96,"000\,")&amp;TEXT(Overig!B96,"?00000000")&amp;TEXT(Overig!C96,""", ""@")&amp;SUBSTITUTE(TEXT(IF(ISTEXT(Overig!D96),Overig!D96,10*Overig!D96),""",""????0;"",""???-0;"",""????0;"", ////"""),"'","""")&amp;SUBSTITUTE(TEXT(Overig!E96,""",""?00;"",""?-00;"",""?00;"", //"""),"'","""")&amp;SUBSTITUTE(TEXT(IF(ISTEXT(Overig!F96),Overig!F96,10*Overig!F96),""",""????0;"",""???-0;"",""????0;"", ////"""),"'","""")&amp;SUBSTITUTE(TEXT(Overig!G96,""",""?00;"",""?-00;"",""?00;"", //"""),"'","""")</f>
        <v>081, 19400201, 13.45, 7480, 00,  270, 00</v>
      </c>
    </row>
    <row r="97" spans="1:1" x14ac:dyDescent="0.25">
      <c r="A97" s="25" t="str">
        <f ca="1">TEXT(Overig!A97,"000\,")&amp;TEXT(Overig!B97,"?00000000")&amp;TEXT(Overig!C97,""", ""@")&amp;SUBSTITUTE(TEXT(IF(ISTEXT(Overig!D97),Overig!D97,10*Overig!D97),""",""????0;"",""???-0;"",""????0;"", ////"""),"'","""")&amp;SUBSTITUTE(TEXT(Overig!E97,""",""?00;"",""?-00;"",""?00;"", //"""),"'","""")&amp;SUBSTITUTE(TEXT(IF(ISTEXT(Overig!F97),Overig!F97,10*Overig!F97),""",""????0;"",""???-0;"",""????0;"", ////"""),"'","""")&amp;SUBSTITUTE(TEXT(Overig!G97,""",""?00;"",""?-00;"",""?00;"", //"""),"'","""")</f>
        <v>081, 19400201, 19.45, 7490, 00,  260, 00</v>
      </c>
    </row>
    <row r="98" spans="1:1" x14ac:dyDescent="0.25">
      <c r="A98" s="25" t="str">
        <f ca="1">TEXT(Overig!A98,"000\,")&amp;TEXT(Overig!B98,"?00000000")&amp;TEXT(Overig!C98,""", ""@")&amp;SUBSTITUTE(TEXT(IF(ISTEXT(Overig!D98),Overig!D98,10*Overig!D98),""",""????0;"",""???-0;"",""????0;"", ////"""),"'","""")&amp;SUBSTITUTE(TEXT(Overig!E98,""",""?00;"",""?-00;"",""?00;"", //"""),"'","""")&amp;SUBSTITUTE(TEXT(IF(ISTEXT(Overig!F98),Overig!F98,10*Overig!F98),""",""????0;"",""???-0;"",""????0;"", ////"""),"'","""")&amp;SUBSTITUTE(TEXT(Overig!G98,""",""?00;"",""?-00;"",""?00;"", //"""),"'","""")</f>
        <v>081, 19400202, 07.45, 7480, 00,  250, 00</v>
      </c>
    </row>
    <row r="99" spans="1:1" x14ac:dyDescent="0.25">
      <c r="A99" s="25" t="str">
        <f ca="1">TEXT(Overig!A99,"000\,")&amp;TEXT(Overig!B99,"?00000000")&amp;TEXT(Overig!C99,""", ""@")&amp;SUBSTITUTE(TEXT(IF(ISTEXT(Overig!D99),Overig!D99,10*Overig!D99),""",""????0;"",""???-0;"",""????0;"", ////"""),"'","""")&amp;SUBSTITUTE(TEXT(Overig!E99,""",""?00;"",""?-00;"",""?00;"", //"""),"'","""")&amp;SUBSTITUTE(TEXT(IF(ISTEXT(Overig!F99),Overig!F99,10*Overig!F99),""",""????0;"",""???-0;"",""????0;"", ////"""),"'","""")&amp;SUBSTITUTE(TEXT(Overig!G99,""",""?00;"",""?-00;"",""?00;"", //"""),"'","""")</f>
        <v>081, 19400202, 13.45, 7480, 00,  260, 00</v>
      </c>
    </row>
    <row r="100" spans="1:1" x14ac:dyDescent="0.25">
      <c r="A100" s="25" t="str">
        <f ca="1">TEXT(Overig!A100,"000\,")&amp;TEXT(Overig!B100,"?00000000")&amp;TEXT(Overig!C100,""", ""@")&amp;SUBSTITUTE(TEXT(IF(ISTEXT(Overig!D100),Overig!D100,10*Overig!D100),""",""????0;"",""???-0;"",""????0;"", ////"""),"'","""")&amp;SUBSTITUTE(TEXT(Overig!E100,""",""?00;"",""?-00;"",""?00;"", //"""),"'","""")&amp;SUBSTITUTE(TEXT(IF(ISTEXT(Overig!F100),Overig!F100,10*Overig!F100),""",""????0;"",""???-0;"",""????0;"", ////"""),"'","""")&amp;SUBSTITUTE(TEXT(Overig!G100,""",""?00;"",""?-00;"",""?00;"", //"""),"'","""")</f>
        <v>081, 19400202, 19.45, 7480, 00,  250, 00</v>
      </c>
    </row>
    <row r="101" spans="1:1" x14ac:dyDescent="0.25">
      <c r="A101" s="25" t="str">
        <f ca="1">TEXT(Overig!A101,"000\,")&amp;TEXT(Overig!B101,"?00000000")&amp;TEXT(Overig!C101,""", ""@")&amp;SUBSTITUTE(TEXT(IF(ISTEXT(Overig!D101),Overig!D101,10*Overig!D101),""",""????0;"",""???-0;"",""????0;"", ////"""),"'","""")&amp;SUBSTITUTE(TEXT(Overig!E101,""",""?00;"",""?-00;"",""?00;"", //"""),"'","""")&amp;SUBSTITUTE(TEXT(IF(ISTEXT(Overig!F101),Overig!F101,10*Overig!F101),""",""????0;"",""???-0;"",""????0;"", ////"""),"'","""")&amp;SUBSTITUTE(TEXT(Overig!G101,""",""?00;"",""?-00;"",""?00;"", //"""),"'","""")</f>
        <v>081, 19400203, 07.45, 7480, 00,  240, 00</v>
      </c>
    </row>
    <row r="102" spans="1:1" x14ac:dyDescent="0.25">
      <c r="A102" s="25" t="str">
        <f ca="1">TEXT(Overig!A102,"000\,")&amp;TEXT(Overig!B102,"?00000000")&amp;TEXT(Overig!C102,""", ""@")&amp;SUBSTITUTE(TEXT(IF(ISTEXT(Overig!D102),Overig!D102,10*Overig!D102),""",""????0;"",""???-0;"",""????0;"", ////"""),"'","""")&amp;SUBSTITUTE(TEXT(Overig!E102,""",""?00;"",""?-00;"",""?00;"", //"""),"'","""")&amp;SUBSTITUTE(TEXT(IF(ISTEXT(Overig!F102),Overig!F102,10*Overig!F102),""",""????0;"",""???-0;"",""????0;"", ////"""),"'","""")&amp;SUBSTITUTE(TEXT(Overig!G102,""",""?00;"",""?-00;"",""?00;"", //"""),"'","""")</f>
        <v>081, 19400203, 13.45, 7480, 00,  260, 00</v>
      </c>
    </row>
    <row r="103" spans="1:1" x14ac:dyDescent="0.25">
      <c r="A103" s="25" t="str">
        <f ca="1">TEXT(Overig!A103,"000\,")&amp;TEXT(Overig!B103,"?00000000")&amp;TEXT(Overig!C103,""", ""@")&amp;SUBSTITUTE(TEXT(IF(ISTEXT(Overig!D103),Overig!D103,10*Overig!D103),""",""????0;"",""???-0;"",""????0;"", ////"""),"'","""")&amp;SUBSTITUTE(TEXT(Overig!E103,""",""?00;"",""?-00;"",""?00;"", //"""),"'","""")&amp;SUBSTITUTE(TEXT(IF(ISTEXT(Overig!F103),Overig!F103,10*Overig!F103),""",""????0;"",""???-0;"",""????0;"", ////"""),"'","""")&amp;SUBSTITUTE(TEXT(Overig!G103,""",""?00;"",""?-00;"",""?00;"", //"""),"'","""")</f>
        <v>081, 19400203, 19.45, 7480, 00,  250, 00</v>
      </c>
    </row>
    <row r="104" spans="1:1" x14ac:dyDescent="0.25">
      <c r="A104" s="25" t="str">
        <f ca="1">TEXT(Overig!A104,"000\,")&amp;TEXT(Overig!B104,"?00000000")&amp;TEXT(Overig!C104,""", ""@")&amp;SUBSTITUTE(TEXT(IF(ISTEXT(Overig!D104),Overig!D104,10*Overig!D104),""",""????0;"",""???-0;"",""????0;"", ////"""),"'","""")&amp;SUBSTITUTE(TEXT(Overig!E104,""",""?00;"",""?-00;"",""?00;"", //"""),"'","""")&amp;SUBSTITUTE(TEXT(IF(ISTEXT(Overig!F104),Overig!F104,10*Overig!F104),""",""????0;"",""???-0;"",""????0;"", ////"""),"'","""")&amp;SUBSTITUTE(TEXT(Overig!G104,""",""?00;"",""?-00;"",""?00;"", //"""),"'","""")</f>
        <v>081, 19400204, 07.45, 7490, 00,  240, 00</v>
      </c>
    </row>
    <row r="105" spans="1:1" x14ac:dyDescent="0.25">
      <c r="A105" s="25" t="str">
        <f ca="1">TEXT(Overig!A105,"000\,")&amp;TEXT(Overig!B105,"?00000000")&amp;TEXT(Overig!C105,""", ""@")&amp;SUBSTITUTE(TEXT(IF(ISTEXT(Overig!D105),Overig!D105,10*Overig!D105),""",""????0;"",""???-0;"",""????0;"", ////"""),"'","""")&amp;SUBSTITUTE(TEXT(Overig!E105,""",""?00;"",""?-00;"",""?00;"", //"""),"'","""")&amp;SUBSTITUTE(TEXT(IF(ISTEXT(Overig!F105),Overig!F105,10*Overig!F105),""",""????0;"",""???-0;"",""????0;"", ////"""),"'","""")&amp;SUBSTITUTE(TEXT(Overig!G105,""",""?00;"",""?-00;"",""?00;"", //"""),"'","""")</f>
        <v>081, 19400204, 13.45, 7490, 00,  250, 00</v>
      </c>
    </row>
    <row r="106" spans="1:1" x14ac:dyDescent="0.25">
      <c r="A106" s="25" t="str">
        <f ca="1">TEXT(Overig!A106,"000\,")&amp;TEXT(Overig!B106,"?00000000")&amp;TEXT(Overig!C106,""", ""@")&amp;SUBSTITUTE(TEXT(IF(ISTEXT(Overig!D106),Overig!D106,10*Overig!D106),""",""????0;"",""???-0;"",""????0;"", ////"""),"'","""")&amp;SUBSTITUTE(TEXT(Overig!E106,""",""?00;"",""?-00;"",""?00;"", //"""),"'","""")&amp;SUBSTITUTE(TEXT(IF(ISTEXT(Overig!F106),Overig!F106,10*Overig!F106),""",""????0;"",""???-0;"",""????0;"", ////"""),"'","""")&amp;SUBSTITUTE(TEXT(Overig!G106,""",""?00;"",""?-00;"",""?00;"", //"""),"'","""")</f>
        <v>081, 19400204, 19.45, 7490, 00,  240, 00</v>
      </c>
    </row>
    <row r="107" spans="1:1" x14ac:dyDescent="0.25">
      <c r="A107" s="25" t="str">
        <f ca="1">TEXT(Overig!A107,"000\,")&amp;TEXT(Overig!B107,"?00000000")&amp;TEXT(Overig!C107,""", ""@")&amp;SUBSTITUTE(TEXT(IF(ISTEXT(Overig!D107),Overig!D107,10*Overig!D107),""",""????0;"",""???-0;"",""????0;"", ////"""),"'","""")&amp;SUBSTITUTE(TEXT(Overig!E107,""",""?00;"",""?-00;"",""?00;"", //"""),"'","""")&amp;SUBSTITUTE(TEXT(IF(ISTEXT(Overig!F107),Overig!F107,10*Overig!F107),""",""????0;"",""???-0;"",""????0;"", ////"""),"'","""")&amp;SUBSTITUTE(TEXT(Overig!G107,""",""?00;"",""?-00;"",""?00;"", //"""),"'","""")</f>
        <v>081, 19400205, 07.45, 7490, 00,  230, 00</v>
      </c>
    </row>
    <row r="108" spans="1:1" x14ac:dyDescent="0.25">
      <c r="A108" s="25" t="str">
        <f ca="1">TEXT(Overig!A108,"000\,")&amp;TEXT(Overig!B108,"?00000000")&amp;TEXT(Overig!C108,""", ""@")&amp;SUBSTITUTE(TEXT(IF(ISTEXT(Overig!D108),Overig!D108,10*Overig!D108),""",""????0;"",""???-0;"",""????0;"", ////"""),"'","""")&amp;SUBSTITUTE(TEXT(Overig!E108,""",""?00;"",""?-00;"",""?00;"", //"""),"'","""")&amp;SUBSTITUTE(TEXT(IF(ISTEXT(Overig!F108),Overig!F108,10*Overig!F108),""",""????0;"",""???-0;"",""????0;"", ////"""),"'","""")&amp;SUBSTITUTE(TEXT(Overig!G108,""",""?00;"",""?-00;"",""?00;"", //"""),"'","""")</f>
        <v>081, 19400205, 13.45, 7490, 00,  250, 00</v>
      </c>
    </row>
    <row r="109" spans="1:1" x14ac:dyDescent="0.25">
      <c r="A109" s="25" t="str">
        <f ca="1">TEXT(Overig!A109,"000\,")&amp;TEXT(Overig!B109,"?00000000")&amp;TEXT(Overig!C109,""", ""@")&amp;SUBSTITUTE(TEXT(IF(ISTEXT(Overig!D109),Overig!D109,10*Overig!D109),""",""????0;"",""???-0;"",""????0;"", ////"""),"'","""")&amp;SUBSTITUTE(TEXT(Overig!E109,""",""?00;"",""?-00;"",""?00;"", //"""),"'","""")&amp;SUBSTITUTE(TEXT(IF(ISTEXT(Overig!F109),Overig!F109,10*Overig!F109),""",""????0;"",""???-0;"",""????0;"", ////"""),"'","""")&amp;SUBSTITUTE(TEXT(Overig!G109,""",""?00;"",""?-00;"",""?00;"", //"""),"'","""")</f>
        <v>081, 19400205, 19.45, 7500, 00,  240, 00</v>
      </c>
    </row>
    <row r="110" spans="1:1" x14ac:dyDescent="0.25">
      <c r="A110" s="25" t="str">
        <f ca="1">TEXT(Overig!A110,"000\,")&amp;TEXT(Overig!B110,"?00000000")&amp;TEXT(Overig!C110,""", ""@")&amp;SUBSTITUTE(TEXT(IF(ISTEXT(Overig!D110),Overig!D110,10*Overig!D110),""",""????0;"",""???-0;"",""????0;"", ////"""),"'","""")&amp;SUBSTITUTE(TEXT(Overig!E110,""",""?00;"",""?-00;"",""?00;"", //"""),"'","""")&amp;SUBSTITUTE(TEXT(IF(ISTEXT(Overig!F110),Overig!F110,10*Overig!F110),""",""????0;"",""???-0;"",""????0;"", ////"""),"'","""")&amp;SUBSTITUTE(TEXT(Overig!G110,""",""?00;"",""?-00;"",""?00;"", //"""),"'","""")</f>
        <v>081, 19400206, 07.45, 7500, 00,  240, 00</v>
      </c>
    </row>
    <row r="111" spans="1:1" x14ac:dyDescent="0.25">
      <c r="A111" s="25" t="str">
        <f ca="1">TEXT(Overig!A111,"000\,")&amp;TEXT(Overig!B111,"?00000000")&amp;TEXT(Overig!C111,""", ""@")&amp;SUBSTITUTE(TEXT(IF(ISTEXT(Overig!D111),Overig!D111,10*Overig!D111),""",""????0;"",""???-0;"",""????0;"", ////"""),"'","""")&amp;SUBSTITUTE(TEXT(Overig!E111,""",""?00;"",""?-00;"",""?00;"", //"""),"'","""")&amp;SUBSTITUTE(TEXT(IF(ISTEXT(Overig!F111),Overig!F111,10*Overig!F111),""",""????0;"",""???-0;"",""????0;"", ////"""),"'","""")&amp;SUBSTITUTE(TEXT(Overig!G111,""",""?00;"",""?-00;"",""?00;"", //"""),"'","""")</f>
        <v>081, 19400206, 13.45, 7500, 00,  260, 00</v>
      </c>
    </row>
    <row r="112" spans="1:1" x14ac:dyDescent="0.25">
      <c r="A112" s="25" t="str">
        <f ca="1">TEXT(Overig!A112,"000\,")&amp;TEXT(Overig!B112,"?00000000")&amp;TEXT(Overig!C112,""", ""@")&amp;SUBSTITUTE(TEXT(IF(ISTEXT(Overig!D112),Overig!D112,10*Overig!D112),""",""????0;"",""???-0;"",""????0;"", ////"""),"'","""")&amp;SUBSTITUTE(TEXT(Overig!E112,""",""?00;"",""?-00;"",""?00;"", //"""),"'","""")&amp;SUBSTITUTE(TEXT(IF(ISTEXT(Overig!F112),Overig!F112,10*Overig!F112),""",""????0;"",""???-0;"",""????0;"", ////"""),"'","""")&amp;SUBSTITUTE(TEXT(Overig!G112,""",""?00;"",""?-00;"",""?00;"", //"""),"'","""")</f>
        <v>081, 19400206, 19.45, 7500, 00,  250, 00</v>
      </c>
    </row>
    <row r="113" spans="1:1" x14ac:dyDescent="0.25">
      <c r="A113" s="25" t="str">
        <f ca="1">TEXT(Overig!A113,"000\,")&amp;TEXT(Overig!B113,"?00000000")&amp;TEXT(Overig!C113,""", ""@")&amp;SUBSTITUTE(TEXT(IF(ISTEXT(Overig!D113),Overig!D113,10*Overig!D113),""",""????0;"",""???-0;"",""????0;"", ////"""),"'","""")&amp;SUBSTITUTE(TEXT(Overig!E113,""",""?00;"",""?-00;"",""?00;"", //"""),"'","""")&amp;SUBSTITUTE(TEXT(IF(ISTEXT(Overig!F113),Overig!F113,10*Overig!F113),""",""????0;"",""???-0;"",""????0;"", ////"""),"'","""")&amp;SUBSTITUTE(TEXT(Overig!G113,""",""?00;"",""?-00;"",""?00;"", //"""),"'","""")</f>
        <v>081, 19400207, 07.45, 7500, 00,  240, 00</v>
      </c>
    </row>
    <row r="114" spans="1:1" x14ac:dyDescent="0.25">
      <c r="A114" s="25" t="str">
        <f ca="1">TEXT(Overig!A114,"000\,")&amp;TEXT(Overig!B114,"?00000000")&amp;TEXT(Overig!C114,""", ""@")&amp;SUBSTITUTE(TEXT(IF(ISTEXT(Overig!D114),Overig!D114,10*Overig!D114),""",""????0;"",""???-0;"",""????0;"", ////"""),"'","""")&amp;SUBSTITUTE(TEXT(Overig!E114,""",""?00;"",""?-00;"",""?00;"", //"""),"'","""")&amp;SUBSTITUTE(TEXT(IF(ISTEXT(Overig!F114),Overig!F114,10*Overig!F114),""",""????0;"",""???-0;"",""????0;"", ////"""),"'","""")&amp;SUBSTITUTE(TEXT(Overig!G114,""",""?00;"",""?-00;"",""?00;"", //"""),"'","""")</f>
        <v>081, 19400207, 13.45, 7500, 00,  270, 00</v>
      </c>
    </row>
    <row r="115" spans="1:1" x14ac:dyDescent="0.25">
      <c r="A115" s="25" t="str">
        <f ca="1">TEXT(Overig!A115,"000\,")&amp;TEXT(Overig!B115,"?00000000")&amp;TEXT(Overig!C115,""", ""@")&amp;SUBSTITUTE(TEXT(IF(ISTEXT(Overig!D115),Overig!D115,10*Overig!D115),""",""????0;"",""???-0;"",""????0;"", ////"""),"'","""")&amp;SUBSTITUTE(TEXT(Overig!E115,""",""?00;"",""?-00;"",""?00;"", //"""),"'","""")&amp;SUBSTITUTE(TEXT(IF(ISTEXT(Overig!F115),Overig!F115,10*Overig!F115),""",""????0;"",""???-0;"",""????0;"", ////"""),"'","""")&amp;SUBSTITUTE(TEXT(Overig!G115,""",""?00;"",""?-00;"",""?00;"", //"""),"'","""")</f>
        <v>081, 19400207, 19.45, 7500, 00,  250, 00</v>
      </c>
    </row>
    <row r="116" spans="1:1" x14ac:dyDescent="0.25">
      <c r="A116" s="25" t="str">
        <f ca="1">TEXT(Overig!A116,"000\,")&amp;TEXT(Overig!B116,"?00000000")&amp;TEXT(Overig!C116,""", ""@")&amp;SUBSTITUTE(TEXT(IF(ISTEXT(Overig!D116),Overig!D116,10*Overig!D116),""",""????0;"",""???-0;"",""????0;"", ////"""),"'","""")&amp;SUBSTITUTE(TEXT(Overig!E116,""",""?00;"",""?-00;"",""?00;"", //"""),"'","""")&amp;SUBSTITUTE(TEXT(IF(ISTEXT(Overig!F116),Overig!F116,10*Overig!F116),""",""????0;"",""???-0;"",""????0;"", ////"""),"'","""")&amp;SUBSTITUTE(TEXT(Overig!G116,""",""?00;"",""?-00;"",""?00;"", //"""),"'","""")</f>
        <v>081, 19400208, 07.45, 7500, 00,  250, 00</v>
      </c>
    </row>
    <row r="117" spans="1:1" x14ac:dyDescent="0.25">
      <c r="A117" s="25" t="str">
        <f ca="1">TEXT(Overig!A117,"000\,")&amp;TEXT(Overig!B117,"?00000000")&amp;TEXT(Overig!C117,""", ""@")&amp;SUBSTITUTE(TEXT(IF(ISTEXT(Overig!D117),Overig!D117,10*Overig!D117),""",""????0;"",""???-0;"",""????0;"", ////"""),"'","""")&amp;SUBSTITUTE(TEXT(Overig!E117,""",""?00;"",""?-00;"",""?00;"", //"""),"'","""")&amp;SUBSTITUTE(TEXT(IF(ISTEXT(Overig!F117),Overig!F117,10*Overig!F117),""",""????0;"",""???-0;"",""????0;"", ////"""),"'","""")&amp;SUBSTITUTE(TEXT(Overig!G117,""",""?00;"",""?-00;"",""?00;"", //"""),"'","""")</f>
        <v>081, 19400208, 13.45, 7500, 00,  270, 00</v>
      </c>
    </row>
    <row r="118" spans="1:1" x14ac:dyDescent="0.25">
      <c r="A118" s="25" t="str">
        <f ca="1">TEXT(Overig!A118,"000\,")&amp;TEXT(Overig!B118,"?00000000")&amp;TEXT(Overig!C118,""", ""@")&amp;SUBSTITUTE(TEXT(IF(ISTEXT(Overig!D118),Overig!D118,10*Overig!D118),""",""????0;"",""???-0;"",""????0;"", ////"""),"'","""")&amp;SUBSTITUTE(TEXT(Overig!E118,""",""?00;"",""?-00;"",""?00;"", //"""),"'","""")&amp;SUBSTITUTE(TEXT(IF(ISTEXT(Overig!F118),Overig!F118,10*Overig!F118),""",""????0;"",""???-0;"",""????0;"", ////"""),"'","""")&amp;SUBSTITUTE(TEXT(Overig!G118,""",""?00;"",""?-00;"",""?00;"", //"""),"'","""")</f>
        <v>081, 19400208, 19.45, 7500, 00,  260, 00</v>
      </c>
    </row>
    <row r="119" spans="1:1" x14ac:dyDescent="0.25">
      <c r="A119" s="25" t="str">
        <f ca="1">TEXT(Overig!A119,"000\,")&amp;TEXT(Overig!B119,"?00000000")&amp;TEXT(Overig!C119,""", ""@")&amp;SUBSTITUTE(TEXT(IF(ISTEXT(Overig!D119),Overig!D119,10*Overig!D119),""",""????0;"",""???-0;"",""????0;"", ////"""),"'","""")&amp;SUBSTITUTE(TEXT(Overig!E119,""",""?00;"",""?-00;"",""?00;"", //"""),"'","""")&amp;SUBSTITUTE(TEXT(IF(ISTEXT(Overig!F119),Overig!F119,10*Overig!F119),""",""????0;"",""???-0;"",""????0;"", ////"""),"'","""")&amp;SUBSTITUTE(TEXT(Overig!G119,""",""?00;"",""?-00;"",""?00;"", //"""),"'","""")</f>
        <v>081, 19400209, 07.45, 7510, 00,  260, 00</v>
      </c>
    </row>
    <row r="120" spans="1:1" x14ac:dyDescent="0.25">
      <c r="A120" s="25" t="str">
        <f ca="1">TEXT(Overig!A120,"000\,")&amp;TEXT(Overig!B120,"?00000000")&amp;TEXT(Overig!C120,""", ""@")&amp;SUBSTITUTE(TEXT(IF(ISTEXT(Overig!D120),Overig!D120,10*Overig!D120),""",""????0;"",""???-0;"",""????0;"", ////"""),"'","""")&amp;SUBSTITUTE(TEXT(Overig!E120,""",""?00;"",""?-00;"",""?00;"", //"""),"'","""")&amp;SUBSTITUTE(TEXT(IF(ISTEXT(Overig!F120),Overig!F120,10*Overig!F120),""",""????0;"",""???-0;"",""????0;"", ////"""),"'","""")&amp;SUBSTITUTE(TEXT(Overig!G120,""",""?00;"",""?-00;"",""?00;"", //"""),"'","""")</f>
        <v>081, 19400209, 13.45, 7500, 00,  280, 00</v>
      </c>
    </row>
    <row r="121" spans="1:1" x14ac:dyDescent="0.25">
      <c r="A121" s="25" t="str">
        <f ca="1">TEXT(Overig!A121,"000\,")&amp;TEXT(Overig!B121,"?00000000")&amp;TEXT(Overig!C121,""", ""@")&amp;SUBSTITUTE(TEXT(IF(ISTEXT(Overig!D121),Overig!D121,10*Overig!D121),""",""????0;"",""???-0;"",""????0;"", ////"""),"'","""")&amp;SUBSTITUTE(TEXT(Overig!E121,""",""?00;"",""?-00;"",""?00;"", //"""),"'","""")&amp;SUBSTITUTE(TEXT(IF(ISTEXT(Overig!F121),Overig!F121,10*Overig!F121),""",""????0;"",""???-0;"",""????0;"", ////"""),"'","""")&amp;SUBSTITUTE(TEXT(Overig!G121,""",""?00;"",""?-00;"",""?00;"", //"""),"'","""")</f>
        <v>081, 19400209, 19.45, 7500, 00,  260, 00</v>
      </c>
    </row>
    <row r="122" spans="1:1" x14ac:dyDescent="0.25">
      <c r="A122" s="25" t="str">
        <f ca="1">TEXT(Overig!A122,"000\,")&amp;TEXT(Overig!B122,"?00000000")&amp;TEXT(Overig!C122,""", ""@")&amp;SUBSTITUTE(TEXT(IF(ISTEXT(Overig!D122),Overig!D122,10*Overig!D122),""",""????0;"",""???-0;"",""????0;"", ////"""),"'","""")&amp;SUBSTITUTE(TEXT(Overig!E122,""",""?00;"",""?-00;"",""?00;"", //"""),"'","""")&amp;SUBSTITUTE(TEXT(IF(ISTEXT(Overig!F122),Overig!F122,10*Overig!F122),""",""????0;"",""???-0;"",""????0;"", ////"""),"'","""")&amp;SUBSTITUTE(TEXT(Overig!G122,""",""?00;"",""?-00;"",""?00;"", //"""),"'","""")</f>
        <v>081, 19400210, 07.45, 7500, 00,  260, 00</v>
      </c>
    </row>
    <row r="123" spans="1:1" x14ac:dyDescent="0.25">
      <c r="A123" s="25" t="str">
        <f ca="1">TEXT(Overig!A123,"000\,")&amp;TEXT(Overig!B123,"?00000000")&amp;TEXT(Overig!C123,""", ""@")&amp;SUBSTITUTE(TEXT(IF(ISTEXT(Overig!D123),Overig!D123,10*Overig!D123),""",""????0;"",""???-0;"",""????0;"", ////"""),"'","""")&amp;SUBSTITUTE(TEXT(Overig!E123,""",""?00;"",""?-00;"",""?00;"", //"""),"'","""")&amp;SUBSTITUTE(TEXT(IF(ISTEXT(Overig!F123),Overig!F123,10*Overig!F123),""",""????0;"",""???-0;"",""????0;"", ////"""),"'","""")&amp;SUBSTITUTE(TEXT(Overig!G123,""",""?00;"",""?-00;"",""?00;"", //"""),"'","""")</f>
        <v>081, 19400210, 13.45, 7490, 00,  270, 00</v>
      </c>
    </row>
    <row r="124" spans="1:1" x14ac:dyDescent="0.25">
      <c r="A124" s="25" t="str">
        <f ca="1">TEXT(Overig!A124,"000\,")&amp;TEXT(Overig!B124,"?00000000")&amp;TEXT(Overig!C124,""", ""@")&amp;SUBSTITUTE(TEXT(IF(ISTEXT(Overig!D124),Overig!D124,10*Overig!D124),""",""????0;"",""???-0;"",""????0;"", ////"""),"'","""")&amp;SUBSTITUTE(TEXT(Overig!E124,""",""?00;"",""?-00;"",""?00;"", //"""),"'","""")&amp;SUBSTITUTE(TEXT(IF(ISTEXT(Overig!F124),Overig!F124,10*Overig!F124),""",""????0;"",""???-0;"",""????0;"", ////"""),"'","""")&amp;SUBSTITUTE(TEXT(Overig!G124,""",""?00;"",""?-00;"",""?00;"", //"""),"'","""")</f>
        <v>081, 19400210, 19.45, 7480, 00,  260, 00</v>
      </c>
    </row>
    <row r="125" spans="1:1" x14ac:dyDescent="0.25">
      <c r="A125" s="25" t="str">
        <f ca="1">TEXT(Overig!A125,"000\,")&amp;TEXT(Overig!B125,"?00000000")&amp;TEXT(Overig!C125,""", ""@")&amp;SUBSTITUTE(TEXT(IF(ISTEXT(Overig!D125),Overig!D125,10*Overig!D125),""",""????0;"",""???-0;"",""????0;"", ////"""),"'","""")&amp;SUBSTITUTE(TEXT(Overig!E125,""",""?00;"",""?-00;"",""?00;"", //"""),"'","""")&amp;SUBSTITUTE(TEXT(IF(ISTEXT(Overig!F125),Overig!F125,10*Overig!F125),""",""????0;"",""???-0;"",""????0;"", ////"""),"'","""")&amp;SUBSTITUTE(TEXT(Overig!G125,""",""?00;"",""?-00;"",""?00;"", //"""),"'","""")</f>
        <v>081, 19400211, 07.45, 7490, 00,  250, 00</v>
      </c>
    </row>
    <row r="126" spans="1:1" x14ac:dyDescent="0.25">
      <c r="A126" s="25" t="str">
        <f ca="1">TEXT(Overig!A126,"000\,")&amp;TEXT(Overig!B126,"?00000000")&amp;TEXT(Overig!C126,""", ""@")&amp;SUBSTITUTE(TEXT(IF(ISTEXT(Overig!D126),Overig!D126,10*Overig!D126),""",""????0;"",""???-0;"",""????0;"", ////"""),"'","""")&amp;SUBSTITUTE(TEXT(Overig!E126,""",""?00;"",""?-00;"",""?00;"", //"""),"'","""")&amp;SUBSTITUTE(TEXT(IF(ISTEXT(Overig!F126),Overig!F126,10*Overig!F126),""",""????0;"",""???-0;"",""????0;"", ////"""),"'","""")&amp;SUBSTITUTE(TEXT(Overig!G126,""",""?00;"",""?-00;"",""?00;"", //"""),"'","""")</f>
        <v>081, 19400211, 13.45, 7490, 00,  270, 00</v>
      </c>
    </row>
    <row r="127" spans="1:1" x14ac:dyDescent="0.25">
      <c r="A127" s="25" t="str">
        <f ca="1">TEXT(Overig!A127,"000\,")&amp;TEXT(Overig!B127,"?00000000")&amp;TEXT(Overig!C127,""", ""@")&amp;SUBSTITUTE(TEXT(IF(ISTEXT(Overig!D127),Overig!D127,10*Overig!D127),""",""????0;"",""???-0;"",""????0;"", ////"""),"'","""")&amp;SUBSTITUTE(TEXT(Overig!E127,""",""?00;"",""?-00;"",""?00;"", //"""),"'","""")&amp;SUBSTITUTE(TEXT(IF(ISTEXT(Overig!F127),Overig!F127,10*Overig!F127),""",""????0;"",""???-0;"",""????0;"", ////"""),"'","""")&amp;SUBSTITUTE(TEXT(Overig!G127,""",""?00;"",""?-00;"",""?00;"", //"""),"'","""")</f>
        <v>081, 19400211, 19.45, 7490, 00,  260, 00</v>
      </c>
    </row>
    <row r="128" spans="1:1" x14ac:dyDescent="0.25">
      <c r="A128" s="25" t="str">
        <f ca="1">TEXT(Overig!A128,"000\,")&amp;TEXT(Overig!B128,"?00000000")&amp;TEXT(Overig!C128,""", ""@")&amp;SUBSTITUTE(TEXT(IF(ISTEXT(Overig!D128),Overig!D128,10*Overig!D128),""",""????0;"",""???-0;"",""????0;"", ////"""),"'","""")&amp;SUBSTITUTE(TEXT(Overig!E128,""",""?00;"",""?-00;"",""?00;"", //"""),"'","""")&amp;SUBSTITUTE(TEXT(IF(ISTEXT(Overig!F128),Overig!F128,10*Overig!F128),""",""????0;"",""???-0;"",""????0;"", ////"""),"'","""")&amp;SUBSTITUTE(TEXT(Overig!G128,""",""?00;"",""?-00;"",""?00;"", //"""),"'","""")</f>
        <v>081, 19400212, 07.45, 7500, 00,  240, 00</v>
      </c>
    </row>
    <row r="129" spans="1:1" x14ac:dyDescent="0.25">
      <c r="A129" s="25" t="str">
        <f ca="1">TEXT(Overig!A129,"000\,")&amp;TEXT(Overig!B129,"?00000000")&amp;TEXT(Overig!C129,""", ""@")&amp;SUBSTITUTE(TEXT(IF(ISTEXT(Overig!D129),Overig!D129,10*Overig!D129),""",""????0;"",""???-0;"",""????0;"", ////"""),"'","""")&amp;SUBSTITUTE(TEXT(Overig!E129,""",""?00;"",""?-00;"",""?00;"", //"""),"'","""")&amp;SUBSTITUTE(TEXT(IF(ISTEXT(Overig!F129),Overig!F129,10*Overig!F129),""",""????0;"",""???-0;"",""????0;"", ////"""),"'","""")&amp;SUBSTITUTE(TEXT(Overig!G129,""",""?00;"",""?-00;"",""?00;"", //"""),"'","""")</f>
        <v>081, 19400212, 13.45, 7490, 00,  260, 00</v>
      </c>
    </row>
    <row r="130" spans="1:1" x14ac:dyDescent="0.25">
      <c r="A130" s="25" t="str">
        <f ca="1">TEXT(Overig!A130,"000\,")&amp;TEXT(Overig!B130,"?00000000")&amp;TEXT(Overig!C130,""", ""@")&amp;SUBSTITUTE(TEXT(IF(ISTEXT(Overig!D130),Overig!D130,10*Overig!D130),""",""????0;"",""???-0;"",""????0;"", ////"""),"'","""")&amp;SUBSTITUTE(TEXT(Overig!E130,""",""?00;"",""?-00;"",""?00;"", //"""),"'","""")&amp;SUBSTITUTE(TEXT(IF(ISTEXT(Overig!F130),Overig!F130,10*Overig!F130),""",""????0;"",""???-0;"",""????0;"", ////"""),"'","""")&amp;SUBSTITUTE(TEXT(Overig!G130,""",""?00;"",""?-00;"",""?00;"", //"""),"'","""")</f>
        <v>081, 19400212, 19.45, 7490, 00,  260, 00</v>
      </c>
    </row>
    <row r="131" spans="1:1" x14ac:dyDescent="0.25">
      <c r="A131" s="25" t="str">
        <f ca="1">TEXT(Overig!A131,"000\,")&amp;TEXT(Overig!B131,"?00000000")&amp;TEXT(Overig!C131,""", ""@")&amp;SUBSTITUTE(TEXT(IF(ISTEXT(Overig!D131),Overig!D131,10*Overig!D131),""",""????0;"",""???-0;"",""????0;"", ////"""),"'","""")&amp;SUBSTITUTE(TEXT(Overig!E131,""",""?00;"",""?-00;"",""?00;"", //"""),"'","""")&amp;SUBSTITUTE(TEXT(IF(ISTEXT(Overig!F131),Overig!F131,10*Overig!F131),""",""????0;"",""???-0;"",""????0;"", ////"""),"'","""")&amp;SUBSTITUTE(TEXT(Overig!G131,""",""?00;"",""?-00;"",""?00;"", //"""),"'","""")</f>
        <v>081, 19400213, 07.45, 7500, 00,  250, 00</v>
      </c>
    </row>
    <row r="132" spans="1:1" x14ac:dyDescent="0.25">
      <c r="A132" s="25" t="str">
        <f ca="1">TEXT(Overig!A132,"000\,")&amp;TEXT(Overig!B132,"?00000000")&amp;TEXT(Overig!C132,""", ""@")&amp;SUBSTITUTE(TEXT(IF(ISTEXT(Overig!D132),Overig!D132,10*Overig!D132),""",""????0;"",""???-0;"",""????0;"", ////"""),"'","""")&amp;SUBSTITUTE(TEXT(Overig!E132,""",""?00;"",""?-00;"",""?00;"", //"""),"'","""")&amp;SUBSTITUTE(TEXT(IF(ISTEXT(Overig!F132),Overig!F132,10*Overig!F132),""",""????0;"",""???-0;"",""????0;"", ////"""),"'","""")&amp;SUBSTITUTE(TEXT(Overig!G132,""",""?00;"",""?-00;"",""?00;"", //"""),"'","""")</f>
        <v>081, 19400213, 13.45, 7490, 00,  270, 00</v>
      </c>
    </row>
    <row r="133" spans="1:1" x14ac:dyDescent="0.25">
      <c r="A133" s="25" t="str">
        <f ca="1">TEXT(Overig!A133,"000\,")&amp;TEXT(Overig!B133,"?00000000")&amp;TEXT(Overig!C133,""", ""@")&amp;SUBSTITUTE(TEXT(IF(ISTEXT(Overig!D133),Overig!D133,10*Overig!D133),""",""????0;"",""???-0;"",""????0;"", ////"""),"'","""")&amp;SUBSTITUTE(TEXT(Overig!E133,""",""?00;"",""?-00;"",""?00;"", //"""),"'","""")&amp;SUBSTITUTE(TEXT(IF(ISTEXT(Overig!F133),Overig!F133,10*Overig!F133),""",""????0;"",""???-0;"",""????0;"", ////"""),"'","""")&amp;SUBSTITUTE(TEXT(Overig!G133,""",""?00;"",""?-00;"",""?00;"", //"""),"'","""")</f>
        <v>081, 19400213, 19.45, 7490, 00,  260, 00</v>
      </c>
    </row>
    <row r="134" spans="1:1" x14ac:dyDescent="0.25">
      <c r="A134" s="25" t="str">
        <f ca="1">TEXT(Overig!A134,"000\,")&amp;TEXT(Overig!B134,"?00000000")&amp;TEXT(Overig!C134,""", ""@")&amp;SUBSTITUTE(TEXT(IF(ISTEXT(Overig!D134),Overig!D134,10*Overig!D134),""",""????0;"",""???-0;"",""????0;"", ////"""),"'","""")&amp;SUBSTITUTE(TEXT(Overig!E134,""",""?00;"",""?-00;"",""?00;"", //"""),"'","""")&amp;SUBSTITUTE(TEXT(IF(ISTEXT(Overig!F134),Overig!F134,10*Overig!F134),""",""????0;"",""???-0;"",""????0;"", ////"""),"'","""")&amp;SUBSTITUTE(TEXT(Overig!G134,""",""?00;"",""?-00;"",""?00;"", //"""),"'","""")</f>
        <v>081, 19400214, 07.45, 7480, 00,  240, 00</v>
      </c>
    </row>
    <row r="135" spans="1:1" x14ac:dyDescent="0.25">
      <c r="A135" s="25" t="str">
        <f ca="1">TEXT(Overig!A135,"000\,")&amp;TEXT(Overig!B135,"?00000000")&amp;TEXT(Overig!C135,""", ""@")&amp;SUBSTITUTE(TEXT(IF(ISTEXT(Overig!D135),Overig!D135,10*Overig!D135),""",""????0;"",""???-0;"",""????0;"", ////"""),"'","""")&amp;SUBSTITUTE(TEXT(Overig!E135,""",""?00;"",""?-00;"",""?00;"", //"""),"'","""")&amp;SUBSTITUTE(TEXT(IF(ISTEXT(Overig!F135),Overig!F135,10*Overig!F135),""",""????0;"",""???-0;"",""????0;"", ////"""),"'","""")&amp;SUBSTITUTE(TEXT(Overig!G135,""",""?00;"",""?-00;"",""?00;"", //"""),"'","""")</f>
        <v>081, 19400214, 13.45, 7480, 00,  280, 00</v>
      </c>
    </row>
    <row r="136" spans="1:1" x14ac:dyDescent="0.25">
      <c r="A136" s="25" t="str">
        <f ca="1">TEXT(Overig!A136,"000\,")&amp;TEXT(Overig!B136,"?00000000")&amp;TEXT(Overig!C136,""", ""@")&amp;SUBSTITUTE(TEXT(IF(ISTEXT(Overig!D136),Overig!D136,10*Overig!D136),""",""????0;"",""???-0;"",""????0;"", ////"""),"'","""")&amp;SUBSTITUTE(TEXT(Overig!E136,""",""?00;"",""?-00;"",""?00;"", //"""),"'","""")&amp;SUBSTITUTE(TEXT(IF(ISTEXT(Overig!F136),Overig!F136,10*Overig!F136),""",""????0;"",""???-0;"",""????0;"", ////"""),"'","""")&amp;SUBSTITUTE(TEXT(Overig!G136,""",""?00;"",""?-00;"",""?00;"", //"""),"'","""")</f>
        <v>081, 19400214, 19.45, 7480, 00,  270, 00</v>
      </c>
    </row>
    <row r="137" spans="1:1" x14ac:dyDescent="0.25">
      <c r="A137" s="25" t="str">
        <f ca="1">TEXT(Overig!A137,"000\,")&amp;TEXT(Overig!B137,"?00000000")&amp;TEXT(Overig!C137,""", ""@")&amp;SUBSTITUTE(TEXT(IF(ISTEXT(Overig!D137),Overig!D137,10*Overig!D137),""",""????0;"",""???-0;"",""????0;"", ////"""),"'","""")&amp;SUBSTITUTE(TEXT(Overig!E137,""",""?00;"",""?-00;"",""?00;"", //"""),"'","""")&amp;SUBSTITUTE(TEXT(IF(ISTEXT(Overig!F137),Overig!F137,10*Overig!F137),""",""????0;"",""???-0;"",""????0;"", ////"""),"'","""")&amp;SUBSTITUTE(TEXT(Overig!G137,""",""?00;"",""?-00;"",""?00;"", //"""),"'","""")</f>
        <v>081, 19400215, 07.45, 7490, 00,  250, 00</v>
      </c>
    </row>
    <row r="138" spans="1:1" x14ac:dyDescent="0.25">
      <c r="A138" s="25" t="str">
        <f ca="1">TEXT(Overig!A138,"000\,")&amp;TEXT(Overig!B138,"?00000000")&amp;TEXT(Overig!C138,""", ""@")&amp;SUBSTITUTE(TEXT(IF(ISTEXT(Overig!D138),Overig!D138,10*Overig!D138),""",""????0;"",""???-0;"",""????0;"", ////"""),"'","""")&amp;SUBSTITUTE(TEXT(Overig!E138,""",""?00;"",""?-00;"",""?00;"", //"""),"'","""")&amp;SUBSTITUTE(TEXT(IF(ISTEXT(Overig!F138),Overig!F138,10*Overig!F138),""",""????0;"",""???-0;"",""????0;"", ////"""),"'","""")&amp;SUBSTITUTE(TEXT(Overig!G138,""",""?00;"",""?-00;"",""?00;"", //"""),"'","""")</f>
        <v>081, 19400215, 13.45, 7490, 00,  270, 00</v>
      </c>
    </row>
    <row r="139" spans="1:1" x14ac:dyDescent="0.25">
      <c r="A139" s="25" t="str">
        <f ca="1">TEXT(Overig!A139,"000\,")&amp;TEXT(Overig!B139,"?00000000")&amp;TEXT(Overig!C139,""", ""@")&amp;SUBSTITUTE(TEXT(IF(ISTEXT(Overig!D139),Overig!D139,10*Overig!D139),""",""????0;"",""???-0;"",""????0;"", ////"""),"'","""")&amp;SUBSTITUTE(TEXT(Overig!E139,""",""?00;"",""?-00;"",""?00;"", //"""),"'","""")&amp;SUBSTITUTE(TEXT(IF(ISTEXT(Overig!F139),Overig!F139,10*Overig!F139),""",""????0;"",""???-0;"",""????0;"", ////"""),"'","""")&amp;SUBSTITUTE(TEXT(Overig!G139,""",""?00;"",""?-00;"",""?00;"", //"""),"'","""")</f>
        <v>081, 19400215, 19.45, 7490, 00,  260, 00</v>
      </c>
    </row>
    <row r="140" spans="1:1" x14ac:dyDescent="0.25">
      <c r="A140" s="25" t="str">
        <f ca="1">TEXT(Overig!A140,"000\,")&amp;TEXT(Overig!B140,"?00000000")&amp;TEXT(Overig!C140,""", ""@")&amp;SUBSTITUTE(TEXT(IF(ISTEXT(Overig!D140),Overig!D140,10*Overig!D140),""",""????0;"",""???-0;"",""????0;"", ////"""),"'","""")&amp;SUBSTITUTE(TEXT(Overig!E140,""",""?00;"",""?-00;"",""?00;"", //"""),"'","""")&amp;SUBSTITUTE(TEXT(IF(ISTEXT(Overig!F140),Overig!F140,10*Overig!F140),""",""????0;"",""???-0;"",""????0;"", ////"""),"'","""")&amp;SUBSTITUTE(TEXT(Overig!G140,""",""?00;"",""?-00;"",""?00;"", //"""),"'","""")</f>
        <v>081, 19400216, 07.45, 7490, 00,  250, 00</v>
      </c>
    </row>
    <row r="141" spans="1:1" x14ac:dyDescent="0.25">
      <c r="A141" s="25" t="str">
        <f ca="1">TEXT(Overig!A141,"000\,")&amp;TEXT(Overig!B141,"?00000000")&amp;TEXT(Overig!C141,""", ""@")&amp;SUBSTITUTE(TEXT(IF(ISTEXT(Overig!D141),Overig!D141,10*Overig!D141),""",""????0;"",""???-0;"",""????0;"", ////"""),"'","""")&amp;SUBSTITUTE(TEXT(Overig!E141,""",""?00;"",""?-00;"",""?00;"", //"""),"'","""")&amp;SUBSTITUTE(TEXT(IF(ISTEXT(Overig!F141),Overig!F141,10*Overig!F141),""",""????0;"",""???-0;"",""????0;"", ////"""),"'","""")&amp;SUBSTITUTE(TEXT(Overig!G141,""",""?00;"",""?-00;"",""?00;"", //"""),"'","""")</f>
        <v>081, 19400216, 13.45, 7490, 00,  270, 00</v>
      </c>
    </row>
    <row r="142" spans="1:1" x14ac:dyDescent="0.25">
      <c r="A142" s="25" t="str">
        <f ca="1">TEXT(Overig!A142,"000\,")&amp;TEXT(Overig!B142,"?00000000")&amp;TEXT(Overig!C142,""", ""@")&amp;SUBSTITUTE(TEXT(IF(ISTEXT(Overig!D142),Overig!D142,10*Overig!D142),""",""????0;"",""???-0;"",""????0;"", ////"""),"'","""")&amp;SUBSTITUTE(TEXT(Overig!E142,""",""?00;"",""?-00;"",""?00;"", //"""),"'","""")&amp;SUBSTITUTE(TEXT(IF(ISTEXT(Overig!F142),Overig!F142,10*Overig!F142),""",""????0;"",""???-0;"",""????0;"", ////"""),"'","""")&amp;SUBSTITUTE(TEXT(Overig!G142,""",""?00;"",""?-00;"",""?00;"", //"""),"'","""")</f>
        <v>081, 19400216, 19.45, 7490, 00,  260, 00</v>
      </c>
    </row>
    <row r="143" spans="1:1" x14ac:dyDescent="0.25">
      <c r="A143" s="25" t="str">
        <f ca="1">TEXT(Overig!A143,"000\,")&amp;TEXT(Overig!B143,"?00000000")&amp;TEXT(Overig!C143,""", ""@")&amp;SUBSTITUTE(TEXT(IF(ISTEXT(Overig!D143),Overig!D143,10*Overig!D143),""",""????0;"",""???-0;"",""????0;"", ////"""),"'","""")&amp;SUBSTITUTE(TEXT(Overig!E143,""",""?00;"",""?-00;"",""?00;"", //"""),"'","""")&amp;SUBSTITUTE(TEXT(IF(ISTEXT(Overig!F143),Overig!F143,10*Overig!F143),""",""????0;"",""???-0;"",""????0;"", ////"""),"'","""")&amp;SUBSTITUTE(TEXT(Overig!G143,""",""?00;"",""?-00;"",""?00;"", //"""),"'","""")</f>
        <v>081, 19400217, 07.45, 7490, 00,  240, 00</v>
      </c>
    </row>
    <row r="144" spans="1:1" x14ac:dyDescent="0.25">
      <c r="A144" s="25" t="str">
        <f ca="1">TEXT(Overig!A144,"000\,")&amp;TEXT(Overig!B144,"?00000000")&amp;TEXT(Overig!C144,""", ""@")&amp;SUBSTITUTE(TEXT(IF(ISTEXT(Overig!D144),Overig!D144,10*Overig!D144),""",""????0;"",""???-0;"",""????0;"", ////"""),"'","""")&amp;SUBSTITUTE(TEXT(Overig!E144,""",""?00;"",""?-00;"",""?00;"", //"""),"'","""")&amp;SUBSTITUTE(TEXT(IF(ISTEXT(Overig!F144),Overig!F144,10*Overig!F144),""",""????0;"",""???-0;"",""????0;"", ////"""),"'","""")&amp;SUBSTITUTE(TEXT(Overig!G144,""",""?00;"",""?-00;"",""?00;"", //"""),"'","""")</f>
        <v>081, 19400217, 13.45, 7490, 00,  250, 00</v>
      </c>
    </row>
    <row r="145" spans="1:1" x14ac:dyDescent="0.25">
      <c r="A145" s="25" t="str">
        <f ca="1">TEXT(Overig!A145,"000\,")&amp;TEXT(Overig!B145,"?00000000")&amp;TEXT(Overig!C145,""", ""@")&amp;SUBSTITUTE(TEXT(IF(ISTEXT(Overig!D145),Overig!D145,10*Overig!D145),""",""????0;"",""???-0;"",""????0;"", ////"""),"'","""")&amp;SUBSTITUTE(TEXT(Overig!E145,""",""?00;"",""?-00;"",""?00;"", //"""),"'","""")&amp;SUBSTITUTE(TEXT(IF(ISTEXT(Overig!F145),Overig!F145,10*Overig!F145),""",""????0;"",""???-0;"",""????0;"", ////"""),"'","""")&amp;SUBSTITUTE(TEXT(Overig!G145,""",""?00;"",""?-00;"",""?00;"", //"""),"'","""")</f>
        <v>081, 19400217, 19.45, 7490, 00,  250, 00</v>
      </c>
    </row>
    <row r="146" spans="1:1" x14ac:dyDescent="0.25">
      <c r="A146" s="25" t="str">
        <f ca="1">TEXT(Overig!A146,"000\,")&amp;TEXT(Overig!B146,"?00000000")&amp;TEXT(Overig!C146,""", ""@")&amp;SUBSTITUTE(TEXT(IF(ISTEXT(Overig!D146),Overig!D146,10*Overig!D146),""",""????0;"",""???-0;"",""????0;"", ////"""),"'","""")&amp;SUBSTITUTE(TEXT(Overig!E146,""",""?00;"",""?-00;"",""?00;"", //"""),"'","""")&amp;SUBSTITUTE(TEXT(IF(ISTEXT(Overig!F146),Overig!F146,10*Overig!F146),""",""????0;"",""???-0;"",""????0;"", ////"""),"'","""")&amp;SUBSTITUTE(TEXT(Overig!G146,""",""?00;"",""?-00;"",""?00;"", //"""),"'","""")</f>
        <v>081, 19400218, 07.45, 7500, 00,  240, 00</v>
      </c>
    </row>
    <row r="147" spans="1:1" x14ac:dyDescent="0.25">
      <c r="A147" s="25" t="str">
        <f ca="1">TEXT(Overig!A147,"000\,")&amp;TEXT(Overig!B147,"?00000000")&amp;TEXT(Overig!C147,""", ""@")&amp;SUBSTITUTE(TEXT(IF(ISTEXT(Overig!D147),Overig!D147,10*Overig!D147),""",""????0;"",""???-0;"",""????0;"", ////"""),"'","""")&amp;SUBSTITUTE(TEXT(Overig!E147,""",""?00;"",""?-00;"",""?00;"", //"""),"'","""")&amp;SUBSTITUTE(TEXT(IF(ISTEXT(Overig!F147),Overig!F147,10*Overig!F147),""",""????0;"",""???-0;"",""????0;"", ////"""),"'","""")&amp;SUBSTITUTE(TEXT(Overig!G147,""",""?00;"",""?-00;"",""?00;"", //"""),"'","""")</f>
        <v>081, 19400218, 13.45, 7490, 00,  260, 00</v>
      </c>
    </row>
    <row r="148" spans="1:1" x14ac:dyDescent="0.25">
      <c r="A148" s="25" t="str">
        <f ca="1">TEXT(Overig!A148,"000\,")&amp;TEXT(Overig!B148,"?00000000")&amp;TEXT(Overig!C148,""", ""@")&amp;SUBSTITUTE(TEXT(IF(ISTEXT(Overig!D148),Overig!D148,10*Overig!D148),""",""????0;"",""???-0;"",""????0;"", ////"""),"'","""")&amp;SUBSTITUTE(TEXT(Overig!E148,""",""?00;"",""?-00;"",""?00;"", //"""),"'","""")&amp;SUBSTITUTE(TEXT(IF(ISTEXT(Overig!F148),Overig!F148,10*Overig!F148),""",""????0;"",""???-0;"",""????0;"", ////"""),"'","""")&amp;SUBSTITUTE(TEXT(Overig!G148,""",""?00;"",""?-00;"",""?00;"", //"""),"'","""")</f>
        <v>081, 19400218, 19.45, 7490, 00,  260, 00</v>
      </c>
    </row>
    <row r="149" spans="1:1" x14ac:dyDescent="0.25">
      <c r="A149" s="25" t="str">
        <f ca="1">TEXT(Overig!A149,"000\,")&amp;TEXT(Overig!B149,"?00000000")&amp;TEXT(Overig!C149,""", ""@")&amp;SUBSTITUTE(TEXT(IF(ISTEXT(Overig!D149),Overig!D149,10*Overig!D149),""",""????0;"",""???-0;"",""????0;"", ////"""),"'","""")&amp;SUBSTITUTE(TEXT(Overig!E149,""",""?00;"",""?-00;"",""?00;"", //"""),"'","""")&amp;SUBSTITUTE(TEXT(IF(ISTEXT(Overig!F149),Overig!F149,10*Overig!F149),""",""????0;"",""???-0;"",""????0;"", ////"""),"'","""")&amp;SUBSTITUTE(TEXT(Overig!G149,""",""?00;"",""?-00;"",""?00;"", //"""),"'","""")</f>
        <v>081, 19400219, 07.45, 7500, 00,  250, 00</v>
      </c>
    </row>
    <row r="150" spans="1:1" x14ac:dyDescent="0.25">
      <c r="A150" s="25" t="str">
        <f ca="1">TEXT(Overig!A150,"000\,")&amp;TEXT(Overig!B150,"?00000000")&amp;TEXT(Overig!C150,""", ""@")&amp;SUBSTITUTE(TEXT(IF(ISTEXT(Overig!D150),Overig!D150,10*Overig!D150),""",""????0;"",""???-0;"",""????0;"", ////"""),"'","""")&amp;SUBSTITUTE(TEXT(Overig!E150,""",""?00;"",""?-00;"",""?00;"", //"""),"'","""")&amp;SUBSTITUTE(TEXT(IF(ISTEXT(Overig!F150),Overig!F150,10*Overig!F150),""",""????0;"",""???-0;"",""????0;"", ////"""),"'","""")&amp;SUBSTITUTE(TEXT(Overig!G150,""",""?00;"",""?-00;"",""?00;"", //"""),"'","""")</f>
        <v>081, 19400219, 13.45, 7480, 00,  270, 00</v>
      </c>
    </row>
    <row r="151" spans="1:1" x14ac:dyDescent="0.25">
      <c r="A151" s="25" t="str">
        <f ca="1">TEXT(Overig!A151,"000\,")&amp;TEXT(Overig!B151,"?00000000")&amp;TEXT(Overig!C151,""", ""@")&amp;SUBSTITUTE(TEXT(IF(ISTEXT(Overig!D151),Overig!D151,10*Overig!D151),""",""????0;"",""???-0;"",""????0;"", ////"""),"'","""")&amp;SUBSTITUTE(TEXT(Overig!E151,""",""?00;"",""?-00;"",""?00;"", //"""),"'","""")&amp;SUBSTITUTE(TEXT(IF(ISTEXT(Overig!F151),Overig!F151,10*Overig!F151),""",""????0;"",""???-0;"",""????0;"", ////"""),"'","""")&amp;SUBSTITUTE(TEXT(Overig!G151,""",""?00;"",""?-00;"",""?00;"", //"""),"'","""")</f>
        <v>081, 19400219, 19.45, 7480, 00,  260, 00</v>
      </c>
    </row>
    <row r="152" spans="1:1" x14ac:dyDescent="0.25">
      <c r="A152" s="25" t="str">
        <f ca="1">TEXT(Overig!A152,"000\,")&amp;TEXT(Overig!B152,"?00000000")&amp;TEXT(Overig!C152,""", ""@")&amp;SUBSTITUTE(TEXT(IF(ISTEXT(Overig!D152),Overig!D152,10*Overig!D152),""",""????0;"",""???-0;"",""????0;"", ////"""),"'","""")&amp;SUBSTITUTE(TEXT(Overig!E152,""",""?00;"",""?-00;"",""?00;"", //"""),"'","""")&amp;SUBSTITUTE(TEXT(IF(ISTEXT(Overig!F152),Overig!F152,10*Overig!F152),""",""????0;"",""???-0;"",""????0;"", ////"""),"'","""")&amp;SUBSTITUTE(TEXT(Overig!G152,""",""?00;"",""?-00;"",""?00;"", //"""),"'","""")</f>
        <v>081, 19400220, 07.45, 7490, 00,  260, 00</v>
      </c>
    </row>
    <row r="153" spans="1:1" x14ac:dyDescent="0.25">
      <c r="A153" s="25" t="str">
        <f ca="1">TEXT(Overig!A153,"000\,")&amp;TEXT(Overig!B153,"?00000000")&amp;TEXT(Overig!C153,""", ""@")&amp;SUBSTITUTE(TEXT(IF(ISTEXT(Overig!D153),Overig!D153,10*Overig!D153),""",""????0;"",""???-0;"",""????0;"", ////"""),"'","""")&amp;SUBSTITUTE(TEXT(Overig!E153,""",""?00;"",""?-00;"",""?00;"", //"""),"'","""")&amp;SUBSTITUTE(TEXT(IF(ISTEXT(Overig!F153),Overig!F153,10*Overig!F153),""",""????0;"",""???-0;"",""????0;"", ////"""),"'","""")&amp;SUBSTITUTE(TEXT(Overig!G153,""",""?00;"",""?-00;"",""?00;"", //"""),"'","""")</f>
        <v>081, 19400220, 13.45, 7470, 00,  270, 00</v>
      </c>
    </row>
    <row r="154" spans="1:1" x14ac:dyDescent="0.25">
      <c r="A154" s="25" t="str">
        <f ca="1">TEXT(Overig!A154,"000\,")&amp;TEXT(Overig!B154,"?00000000")&amp;TEXT(Overig!C154,""", ""@")&amp;SUBSTITUTE(TEXT(IF(ISTEXT(Overig!D154),Overig!D154,10*Overig!D154),""",""????0;"",""???-0;"",""????0;"", ////"""),"'","""")&amp;SUBSTITUTE(TEXT(Overig!E154,""",""?00;"",""?-00;"",""?00;"", //"""),"'","""")&amp;SUBSTITUTE(TEXT(IF(ISTEXT(Overig!F154),Overig!F154,10*Overig!F154),""",""????0;"",""???-0;"",""????0;"", ////"""),"'","""")&amp;SUBSTITUTE(TEXT(Overig!G154,""",""?00;"",""?-00;"",""?00;"", //"""),"'","""")</f>
        <v>081, 19400220, 19.45, 7480, 00,  260, 00</v>
      </c>
    </row>
    <row r="155" spans="1:1" x14ac:dyDescent="0.25">
      <c r="A155" s="25" t="str">
        <f ca="1">TEXT(Overig!A155,"000\,")&amp;TEXT(Overig!B155,"?00000000")&amp;TEXT(Overig!C155,""", ""@")&amp;SUBSTITUTE(TEXT(IF(ISTEXT(Overig!D155),Overig!D155,10*Overig!D155),""",""????0;"",""???-0;"",""????0;"", ////"""),"'","""")&amp;SUBSTITUTE(TEXT(Overig!E155,""",""?00;"",""?-00;"",""?00;"", //"""),"'","""")&amp;SUBSTITUTE(TEXT(IF(ISTEXT(Overig!F155),Overig!F155,10*Overig!F155),""",""????0;"",""???-0;"",""????0;"", ////"""),"'","""")&amp;SUBSTITUTE(TEXT(Overig!G155,""",""?00;"",""?-00;"",""?00;"", //"""),"'","""")</f>
        <v>081, 19400221, 07.45, 7490, 00,  250, 00</v>
      </c>
    </row>
    <row r="156" spans="1:1" x14ac:dyDescent="0.25">
      <c r="A156" s="25" t="str">
        <f ca="1">TEXT(Overig!A156,"000\,")&amp;TEXT(Overig!B156,"?00000000")&amp;TEXT(Overig!C156,""", ""@")&amp;SUBSTITUTE(TEXT(IF(ISTEXT(Overig!D156),Overig!D156,10*Overig!D156),""",""????0;"",""???-0;"",""????0;"", ////"""),"'","""")&amp;SUBSTITUTE(TEXT(Overig!E156,""",""?00;"",""?-00;"",""?00;"", //"""),"'","""")&amp;SUBSTITUTE(TEXT(IF(ISTEXT(Overig!F156),Overig!F156,10*Overig!F156),""",""????0;"",""???-0;"",""????0;"", ////"""),"'","""")&amp;SUBSTITUTE(TEXT(Overig!G156,""",""?00;"",""?-00;"",""?00;"", //"""),"'","""")</f>
        <v>081, 19400221, 13.45, 7490, 00,  280, 00</v>
      </c>
    </row>
    <row r="157" spans="1:1" x14ac:dyDescent="0.25">
      <c r="A157" s="25" t="str">
        <f ca="1">TEXT(Overig!A157,"000\,")&amp;TEXT(Overig!B157,"?00000000")&amp;TEXT(Overig!C157,""", ""@")&amp;SUBSTITUTE(TEXT(IF(ISTEXT(Overig!D157),Overig!D157,10*Overig!D157),""",""????0;"",""???-0;"",""????0;"", ////"""),"'","""")&amp;SUBSTITUTE(TEXT(Overig!E157,""",""?00;"",""?-00;"",""?00;"", //"""),"'","""")&amp;SUBSTITUTE(TEXT(IF(ISTEXT(Overig!F157),Overig!F157,10*Overig!F157),""",""????0;"",""???-0;"",""????0;"", ////"""),"'","""")&amp;SUBSTITUTE(TEXT(Overig!G157,""",""?00;"",""?-00;"",""?00;"", //"""),"'","""")</f>
        <v>081, 19400221, 19.45, 7500, 00,  270, 00</v>
      </c>
    </row>
    <row r="158" spans="1:1" x14ac:dyDescent="0.25">
      <c r="A158" s="25" t="str">
        <f ca="1">TEXT(Overig!A158,"000\,")&amp;TEXT(Overig!B158,"?00000000")&amp;TEXT(Overig!C158,""", ""@")&amp;SUBSTITUTE(TEXT(IF(ISTEXT(Overig!D158),Overig!D158,10*Overig!D158),""",""????0;"",""???-0;"",""????0;"", ////"""),"'","""")&amp;SUBSTITUTE(TEXT(Overig!E158,""",""?00;"",""?-00;"",""?00;"", //"""),"'","""")&amp;SUBSTITUTE(TEXT(IF(ISTEXT(Overig!F158),Overig!F158,10*Overig!F158),""",""????0;"",""???-0;"",""????0;"", ////"""),"'","""")&amp;SUBSTITUTE(TEXT(Overig!G158,""",""?00;"",""?-00;"",""?00;"", //"""),"'","""")</f>
        <v>081, 19400222, 07.45, 7510, 00,  260, 00</v>
      </c>
    </row>
    <row r="159" spans="1:1" x14ac:dyDescent="0.25">
      <c r="A159" s="25" t="str">
        <f ca="1">TEXT(Overig!A159,"000\,")&amp;TEXT(Overig!B159,"?00000000")&amp;TEXT(Overig!C159,""", ""@")&amp;SUBSTITUTE(TEXT(IF(ISTEXT(Overig!D159),Overig!D159,10*Overig!D159),""",""????0;"",""???-0;"",""????0;"", ////"""),"'","""")&amp;SUBSTITUTE(TEXT(Overig!E159,""",""?00;"",""?-00;"",""?00;"", //"""),"'","""")&amp;SUBSTITUTE(TEXT(IF(ISTEXT(Overig!F159),Overig!F159,10*Overig!F159),""",""????0;"",""???-0;"",""????0;"", ////"""),"'","""")&amp;SUBSTITUTE(TEXT(Overig!G159,""",""?00;"",""?-00;"",""?00;"", //"""),"'","""")</f>
        <v>081, 19400222, 13.45, 7500, 00,  280, 00</v>
      </c>
    </row>
    <row r="160" spans="1:1" x14ac:dyDescent="0.25">
      <c r="A160" s="25" t="str">
        <f ca="1">TEXT(Overig!A160,"000\,")&amp;TEXT(Overig!B160,"?00000000")&amp;TEXT(Overig!C160,""", ""@")&amp;SUBSTITUTE(TEXT(IF(ISTEXT(Overig!D160),Overig!D160,10*Overig!D160),""",""????0;"",""???-0;"",""????0;"", ////"""),"'","""")&amp;SUBSTITUTE(TEXT(Overig!E160,""",""?00;"",""?-00;"",""?00;"", //"""),"'","""")&amp;SUBSTITUTE(TEXT(IF(ISTEXT(Overig!F160),Overig!F160,10*Overig!F160),""",""????0;"",""???-0;"",""????0;"", ////"""),"'","""")&amp;SUBSTITUTE(TEXT(Overig!G160,""",""?00;"",""?-00;"",""?00;"", //"""),"'","""")</f>
        <v>081, 19400222, 19.45, 7510, 00,  270, 00</v>
      </c>
    </row>
    <row r="161" spans="1:1" x14ac:dyDescent="0.25">
      <c r="A161" s="25" t="str">
        <f ca="1">TEXT(Overig!A161,"000\,")&amp;TEXT(Overig!B161,"?00000000")&amp;TEXT(Overig!C161,""", ""@")&amp;SUBSTITUTE(TEXT(IF(ISTEXT(Overig!D161),Overig!D161,10*Overig!D161),""",""????0;"",""???-0;"",""????0;"", ////"""),"'","""")&amp;SUBSTITUTE(TEXT(Overig!E161,""",""?00;"",""?-00;"",""?00;"", //"""),"'","""")&amp;SUBSTITUTE(TEXT(IF(ISTEXT(Overig!F161),Overig!F161,10*Overig!F161),""",""????0;"",""???-0;"",""????0;"", ////"""),"'","""")&amp;SUBSTITUTE(TEXT(Overig!G161,""",""?00;"",""?-00;"",""?00;"", //"""),"'","""")</f>
        <v>081, 19400223, 07.45, 7500, 00,  250, 00</v>
      </c>
    </row>
    <row r="162" spans="1:1" x14ac:dyDescent="0.25">
      <c r="A162" s="25" t="str">
        <f ca="1">TEXT(Overig!A162,"000\,")&amp;TEXT(Overig!B162,"?00000000")&amp;TEXT(Overig!C162,""", ""@")&amp;SUBSTITUTE(TEXT(IF(ISTEXT(Overig!D162),Overig!D162,10*Overig!D162),""",""????0;"",""???-0;"",""????0;"", ////"""),"'","""")&amp;SUBSTITUTE(TEXT(Overig!E162,""",""?00;"",""?-00;"",""?00;"", //"""),"'","""")&amp;SUBSTITUTE(TEXT(IF(ISTEXT(Overig!F162),Overig!F162,10*Overig!F162),""",""????0;"",""???-0;"",""????0;"", ////"""),"'","""")&amp;SUBSTITUTE(TEXT(Overig!G162,""",""?00;"",""?-00;"",""?00;"", //"""),"'","""")</f>
        <v>081, 19400223, 13.45, 7500, 00,  280, 00</v>
      </c>
    </row>
    <row r="163" spans="1:1" x14ac:dyDescent="0.25">
      <c r="A163" s="25" t="str">
        <f ca="1">TEXT(Overig!A163,"000\,")&amp;TEXT(Overig!B163,"?00000000")&amp;TEXT(Overig!C163,""", ""@")&amp;SUBSTITUTE(TEXT(IF(ISTEXT(Overig!D163),Overig!D163,10*Overig!D163),""",""????0;"",""???-0;"",""????0;"", ////"""),"'","""")&amp;SUBSTITUTE(TEXT(Overig!E163,""",""?00;"",""?-00;"",""?00;"", //"""),"'","""")&amp;SUBSTITUTE(TEXT(IF(ISTEXT(Overig!F163),Overig!F163,10*Overig!F163),""",""????0;"",""???-0;"",""????0;"", ////"""),"'","""")&amp;SUBSTITUTE(TEXT(Overig!G163,""",""?00;"",""?-00;"",""?00;"", //"""),"'","""")</f>
        <v>081, 19400223, 19.45, 7500, 00,  270, 00</v>
      </c>
    </row>
    <row r="164" spans="1:1" x14ac:dyDescent="0.25">
      <c r="A164" s="25" t="str">
        <f ca="1">TEXT(Overig!A164,"000\,")&amp;TEXT(Overig!B164,"?00000000")&amp;TEXT(Overig!C164,""", ""@")&amp;SUBSTITUTE(TEXT(IF(ISTEXT(Overig!D164),Overig!D164,10*Overig!D164),""",""????0;"",""???-0;"",""????0;"", ////"""),"'","""")&amp;SUBSTITUTE(TEXT(Overig!E164,""",""?00;"",""?-00;"",""?00;"", //"""),"'","""")&amp;SUBSTITUTE(TEXT(IF(ISTEXT(Overig!F164),Overig!F164,10*Overig!F164),""",""????0;"",""???-0;"",""????0;"", ////"""),"'","""")&amp;SUBSTITUTE(TEXT(Overig!G164,""",""?00;"",""?-00;"",""?00;"", //"""),"'","""")</f>
        <v>081, 19400224, 07.45, 7510, 00,  250, 00</v>
      </c>
    </row>
    <row r="165" spans="1:1" x14ac:dyDescent="0.25">
      <c r="A165" s="25" t="str">
        <f ca="1">TEXT(Overig!A165,"000\,")&amp;TEXT(Overig!B165,"?00000000")&amp;TEXT(Overig!C165,""", ""@")&amp;SUBSTITUTE(TEXT(IF(ISTEXT(Overig!D165),Overig!D165,10*Overig!D165),""",""????0;"",""???-0;"",""????0;"", ////"""),"'","""")&amp;SUBSTITUTE(TEXT(Overig!E165,""",""?00;"",""?-00;"",""?00;"", //"""),"'","""")&amp;SUBSTITUTE(TEXT(IF(ISTEXT(Overig!F165),Overig!F165,10*Overig!F165),""",""????0;"",""???-0;"",""????0;"", ////"""),"'","""")&amp;SUBSTITUTE(TEXT(Overig!G165,""",""?00;"",""?-00;"",""?00;"", //"""),"'","""")</f>
        <v>081, 19400224, 13.45, 7500, 00,  280, 00</v>
      </c>
    </row>
    <row r="166" spans="1:1" x14ac:dyDescent="0.25">
      <c r="A166" s="25" t="str">
        <f ca="1">TEXT(Overig!A166,"000\,")&amp;TEXT(Overig!B166,"?00000000")&amp;TEXT(Overig!C166,""", ""@")&amp;SUBSTITUTE(TEXT(IF(ISTEXT(Overig!D166),Overig!D166,10*Overig!D166),""",""????0;"",""???-0;"",""????0;"", ////"""),"'","""")&amp;SUBSTITUTE(TEXT(Overig!E166,""",""?00;"",""?-00;"",""?00;"", //"""),"'","""")&amp;SUBSTITUTE(TEXT(IF(ISTEXT(Overig!F166),Overig!F166,10*Overig!F166),""",""????0;"",""???-0;"",""????0;"", ////"""),"'","""")&amp;SUBSTITUTE(TEXT(Overig!G166,""",""?00;"",""?-00;"",""?00;"", //"""),"'","""")</f>
        <v>081, 19400224, 19.45, 7490, 00,  270, 00</v>
      </c>
    </row>
    <row r="167" spans="1:1" x14ac:dyDescent="0.25">
      <c r="A167" s="25" t="str">
        <f ca="1">TEXT(Overig!A167,"000\,")&amp;TEXT(Overig!B167,"?00000000")&amp;TEXT(Overig!C167,""", ""@")&amp;SUBSTITUTE(TEXT(IF(ISTEXT(Overig!D167),Overig!D167,10*Overig!D167),""",""????0;"",""???-0;"",""????0;"", ////"""),"'","""")&amp;SUBSTITUTE(TEXT(Overig!E167,""",""?00;"",""?-00;"",""?00;"", //"""),"'","""")&amp;SUBSTITUTE(TEXT(IF(ISTEXT(Overig!F167),Overig!F167,10*Overig!F167),""",""????0;"",""???-0;"",""????0;"", ////"""),"'","""")&amp;SUBSTITUTE(TEXT(Overig!G167,""",""?00;"",""?-00;"",""?00;"", //"""),"'","""")</f>
        <v>081, 19400225, 07.45, 7500, 00,  250, 00</v>
      </c>
    </row>
    <row r="168" spans="1:1" x14ac:dyDescent="0.25">
      <c r="A168" s="25" t="str">
        <f ca="1">TEXT(Overig!A168,"000\,")&amp;TEXT(Overig!B168,"?00000000")&amp;TEXT(Overig!C168,""", ""@")&amp;SUBSTITUTE(TEXT(IF(ISTEXT(Overig!D168),Overig!D168,10*Overig!D168),""",""????0;"",""???-0;"",""????0;"", ////"""),"'","""")&amp;SUBSTITUTE(TEXT(Overig!E168,""",""?00;"",""?-00;"",""?00;"", //"""),"'","""")&amp;SUBSTITUTE(TEXT(IF(ISTEXT(Overig!F168),Overig!F168,10*Overig!F168),""",""????0;"",""???-0;"",""????0;"", ////"""),"'","""")&amp;SUBSTITUTE(TEXT(Overig!G168,""",""?00;"",""?-00;"",""?00;"", //"""),"'","""")</f>
        <v>081, 19400225, 13.45, 7480, 00,  280, 00</v>
      </c>
    </row>
    <row r="169" spans="1:1" x14ac:dyDescent="0.25">
      <c r="A169" s="25" t="str">
        <f ca="1">TEXT(Overig!A169,"000\,")&amp;TEXT(Overig!B169,"?00000000")&amp;TEXT(Overig!C169,""", ""@")&amp;SUBSTITUTE(TEXT(IF(ISTEXT(Overig!D169),Overig!D169,10*Overig!D169),""",""????0;"",""???-0;"",""????0;"", ////"""),"'","""")&amp;SUBSTITUTE(TEXT(Overig!E169,""",""?00;"",""?-00;"",""?00;"", //"""),"'","""")&amp;SUBSTITUTE(TEXT(IF(ISTEXT(Overig!F169),Overig!F169,10*Overig!F169),""",""????0;"",""???-0;"",""????0;"", ////"""),"'","""")&amp;SUBSTITUTE(TEXT(Overig!G169,""",""?00;"",""?-00;"",""?00;"", //"""),"'","""")</f>
        <v>081, 19400225, 19.45, 7480, 00,  270, 00</v>
      </c>
    </row>
    <row r="170" spans="1:1" x14ac:dyDescent="0.25">
      <c r="A170" s="25" t="str">
        <f ca="1">TEXT(Overig!A170,"000\,")&amp;TEXT(Overig!B170,"?00000000")&amp;TEXT(Overig!C170,""", ""@")&amp;SUBSTITUTE(TEXT(IF(ISTEXT(Overig!D170),Overig!D170,10*Overig!D170),""",""????0;"",""???-0;"",""????0;"", ////"""),"'","""")&amp;SUBSTITUTE(TEXT(Overig!E170,""",""?00;"",""?-00;"",""?00;"", //"""),"'","""")&amp;SUBSTITUTE(TEXT(IF(ISTEXT(Overig!F170),Overig!F170,10*Overig!F170),""",""????0;"",""???-0;"",""????0;"", ////"""),"'","""")&amp;SUBSTITUTE(TEXT(Overig!G170,""",""?00;"",""?-00;"",""?00;"", //"""),"'","""")</f>
        <v>081, 19400226, 07.45, 7470, 00,  250, 00</v>
      </c>
    </row>
    <row r="171" spans="1:1" x14ac:dyDescent="0.25">
      <c r="A171" s="25" t="str">
        <f ca="1">TEXT(Overig!A171,"000\,")&amp;TEXT(Overig!B171,"?00000000")&amp;TEXT(Overig!C171,""", ""@")&amp;SUBSTITUTE(TEXT(IF(ISTEXT(Overig!D171),Overig!D171,10*Overig!D171),""",""????0;"",""???-0;"",""????0;"", ////"""),"'","""")&amp;SUBSTITUTE(TEXT(Overig!E171,""",""?00;"",""?-00;"",""?00;"", //"""),"'","""")&amp;SUBSTITUTE(TEXT(IF(ISTEXT(Overig!F171),Overig!F171,10*Overig!F171),""",""????0;"",""???-0;"",""????0;"", ////"""),"'","""")&amp;SUBSTITUTE(TEXT(Overig!G171,""",""?00;"",""?-00;"",""?00;"", //"""),"'","""")</f>
        <v>081, 19400226, 13.45, 7470, 00,  280, 00</v>
      </c>
    </row>
    <row r="172" spans="1:1" x14ac:dyDescent="0.25">
      <c r="A172" s="25" t="str">
        <f ca="1">TEXT(Overig!A172,"000\,")&amp;TEXT(Overig!B172,"?00000000")&amp;TEXT(Overig!C172,""", ""@")&amp;SUBSTITUTE(TEXT(IF(ISTEXT(Overig!D172),Overig!D172,10*Overig!D172),""",""????0;"",""???-0;"",""????0;"", ////"""),"'","""")&amp;SUBSTITUTE(TEXT(Overig!E172,""",""?00;"",""?-00;"",""?00;"", //"""),"'","""")&amp;SUBSTITUTE(TEXT(IF(ISTEXT(Overig!F172),Overig!F172,10*Overig!F172),""",""????0;"",""???-0;"",""????0;"", ////"""),"'","""")&amp;SUBSTITUTE(TEXT(Overig!G172,""",""?00;"",""?-00;"",""?00;"", //"""),"'","""")</f>
        <v>081, 19400226, 19.45, 7470, 00,  270, 00</v>
      </c>
    </row>
    <row r="173" spans="1:1" x14ac:dyDescent="0.25">
      <c r="A173" s="25" t="str">
        <f ca="1">TEXT(Overig!A173,"000\,")&amp;TEXT(Overig!B173,"?00000000")&amp;TEXT(Overig!C173,""", ""@")&amp;SUBSTITUTE(TEXT(IF(ISTEXT(Overig!D173),Overig!D173,10*Overig!D173),""",""????0;"",""???-0;"",""????0;"", ////"""),"'","""")&amp;SUBSTITUTE(TEXT(Overig!E173,""",""?00;"",""?-00;"",""?00;"", //"""),"'","""")&amp;SUBSTITUTE(TEXT(IF(ISTEXT(Overig!F173),Overig!F173,10*Overig!F173),""",""????0;"",""???-0;"",""????0;"", ////"""),"'","""")&amp;SUBSTITUTE(TEXT(Overig!G173,""",""?00;"",""?-00;"",""?00;"", //"""),"'","""")</f>
        <v>081, 19400227, 07.45, 7490, 00,  250, 00</v>
      </c>
    </row>
    <row r="174" spans="1:1" x14ac:dyDescent="0.25">
      <c r="A174" s="25" t="str">
        <f ca="1">TEXT(Overig!A174,"000\,")&amp;TEXT(Overig!B174,"?00000000")&amp;TEXT(Overig!C174,""", ""@")&amp;SUBSTITUTE(TEXT(IF(ISTEXT(Overig!D174),Overig!D174,10*Overig!D174),""",""????0;"",""???-0;"",""????0;"", ////"""),"'","""")&amp;SUBSTITUTE(TEXT(Overig!E174,""",""?00;"",""?-00;"",""?00;"", //"""),"'","""")&amp;SUBSTITUTE(TEXT(IF(ISTEXT(Overig!F174),Overig!F174,10*Overig!F174),""",""????0;"",""???-0;"",""????0;"", ////"""),"'","""")&amp;SUBSTITUTE(TEXT(Overig!G174,""",""?00;"",""?-00;"",""?00;"", //"""),"'","""")</f>
        <v>081, 19400227, 13.45, 7490, 00,  250, 00</v>
      </c>
    </row>
    <row r="175" spans="1:1" x14ac:dyDescent="0.25">
      <c r="A175" s="25" t="str">
        <f ca="1">TEXT(Overig!A175,"000\,")&amp;TEXT(Overig!B175,"?00000000")&amp;TEXT(Overig!C175,""", ""@")&amp;SUBSTITUTE(TEXT(IF(ISTEXT(Overig!D175),Overig!D175,10*Overig!D175),""",""????0;"",""???-0;"",""????0;"", ////"""),"'","""")&amp;SUBSTITUTE(TEXT(Overig!E175,""",""?00;"",""?-00;"",""?00;"", //"""),"'","""")&amp;SUBSTITUTE(TEXT(IF(ISTEXT(Overig!F175),Overig!F175,10*Overig!F175),""",""????0;"",""???-0;"",""????0;"", ////"""),"'","""")&amp;SUBSTITUTE(TEXT(Overig!G175,""",""?00;"",""?-00;"",""?00;"", //"""),"'","""")</f>
        <v>081, 19400227, 19.45, 7500, 00,  240, 00</v>
      </c>
    </row>
    <row r="176" spans="1:1" x14ac:dyDescent="0.25">
      <c r="A176" s="25" t="str">
        <f ca="1">TEXT(Overig!A176,"000\,")&amp;TEXT(Overig!B176,"?00000000")&amp;TEXT(Overig!C176,""", ""@")&amp;SUBSTITUTE(TEXT(IF(ISTEXT(Overig!D176),Overig!D176,10*Overig!D176),""",""????0;"",""???-0;"",""????0;"", ////"""),"'","""")&amp;SUBSTITUTE(TEXT(Overig!E176,""",""?00;"",""?-00;"",""?00;"", //"""),"'","""")&amp;SUBSTITUTE(TEXT(IF(ISTEXT(Overig!F176),Overig!F176,10*Overig!F176),""",""????0;"",""???-0;"",""????0;"", ////"""),"'","""")&amp;SUBSTITUTE(TEXT(Overig!G176,""",""?00;"",""?-00;"",""?00;"", //"""),"'","""")</f>
        <v>081, 19400228, 07.45, 7490, 00,  240, 00</v>
      </c>
    </row>
    <row r="177" spans="1:1" x14ac:dyDescent="0.25">
      <c r="A177" s="25" t="str">
        <f ca="1">TEXT(Overig!A177,"000\,")&amp;TEXT(Overig!B177,"?00000000")&amp;TEXT(Overig!C177,""", ""@")&amp;SUBSTITUTE(TEXT(IF(ISTEXT(Overig!D177),Overig!D177,10*Overig!D177),""",""????0;"",""???-0;"",""????0;"", ////"""),"'","""")&amp;SUBSTITUTE(TEXT(Overig!E177,""",""?00;"",""?-00;"",""?00;"", //"""),"'","""")&amp;SUBSTITUTE(TEXT(IF(ISTEXT(Overig!F177),Overig!F177,10*Overig!F177),""",""????0;"",""???-0;"",""????0;"", ////"""),"'","""")&amp;SUBSTITUTE(TEXT(Overig!G177,""",""?00;"",""?-00;"",""?00;"", //"""),"'","""")</f>
        <v>081, 19400228, 13.45, 7480, 00,  270, 00</v>
      </c>
    </row>
    <row r="178" spans="1:1" x14ac:dyDescent="0.25">
      <c r="A178" s="25" t="str">
        <f ca="1">TEXT(Overig!A178,"000\,")&amp;TEXT(Overig!B178,"?00000000")&amp;TEXT(Overig!C178,""", ""@")&amp;SUBSTITUTE(TEXT(IF(ISTEXT(Overig!D178),Overig!D178,10*Overig!D178),""",""????0;"",""???-0;"",""????0;"", ////"""),"'","""")&amp;SUBSTITUTE(TEXT(Overig!E178,""",""?00;"",""?-00;"",""?00;"", //"""),"'","""")&amp;SUBSTITUTE(TEXT(IF(ISTEXT(Overig!F178),Overig!F178,10*Overig!F178),""",""????0;"",""???-0;"",""????0;"", ////"""),"'","""")&amp;SUBSTITUTE(TEXT(Overig!G178,""",""?00;"",""?-00;"",""?00;"", //"""),"'","""")</f>
        <v>081, 19400228, 19.45, 7480, 00,  260, 00</v>
      </c>
    </row>
    <row r="179" spans="1:1" x14ac:dyDescent="0.25">
      <c r="A179" s="25" t="str">
        <f ca="1">TEXT(Overig!A179,"000\,")&amp;TEXT(Overig!B179,"?00000000")&amp;TEXT(Overig!C179,""", ""@")&amp;SUBSTITUTE(TEXT(IF(ISTEXT(Overig!D179),Overig!D179,10*Overig!D179),""",""????0;"",""???-0;"",""????0;"", ////"""),"'","""")&amp;SUBSTITUTE(TEXT(Overig!E179,""",""?00;"",""?-00;"",""?00;"", //"""),"'","""")&amp;SUBSTITUTE(TEXT(IF(ISTEXT(Overig!F179),Overig!F179,10*Overig!F179),""",""????0;"",""???-0;"",""????0;"", ////"""),"'","""")&amp;SUBSTITUTE(TEXT(Overig!G179,""",""?00;"",""?-00;"",""?00;"", //"""),"'","""")</f>
        <v>081, 19400229, 07.45, 7480, 00,  250, 00</v>
      </c>
    </row>
    <row r="180" spans="1:1" x14ac:dyDescent="0.25">
      <c r="A180" s="25" t="str">
        <f ca="1">TEXT(Overig!A180,"000\,")&amp;TEXT(Overig!B180,"?00000000")&amp;TEXT(Overig!C180,""", ""@")&amp;SUBSTITUTE(TEXT(IF(ISTEXT(Overig!D180),Overig!D180,10*Overig!D180),""",""????0;"",""???-0;"",""????0;"", ////"""),"'","""")&amp;SUBSTITUTE(TEXT(Overig!E180,""",""?00;"",""?-00;"",""?00;"", //"""),"'","""")&amp;SUBSTITUTE(TEXT(IF(ISTEXT(Overig!F180),Overig!F180,10*Overig!F180),""",""????0;"",""???-0;"",""????0;"", ////"""),"'","""")&amp;SUBSTITUTE(TEXT(Overig!G180,""",""?00;"",""?-00;"",""?00;"", //"""),"'","""")</f>
        <v>081, 19400229, 13.45, 7480, 00,  270, 00</v>
      </c>
    </row>
    <row r="181" spans="1:1" x14ac:dyDescent="0.25">
      <c r="A181" s="25" t="str">
        <f ca="1">TEXT(Overig!A181,"000\,")&amp;TEXT(Overig!B181,"?00000000")&amp;TEXT(Overig!C181,""", ""@")&amp;SUBSTITUTE(TEXT(IF(ISTEXT(Overig!D181),Overig!D181,10*Overig!D181),""",""????0;"",""???-0;"",""????0;"", ////"""),"'","""")&amp;SUBSTITUTE(TEXT(Overig!E181,""",""?00;"",""?-00;"",""?00;"", //"""),"'","""")&amp;SUBSTITUTE(TEXT(IF(ISTEXT(Overig!F181),Overig!F181,10*Overig!F181),""",""????0;"",""???-0;"",""????0;"", ////"""),"'","""")&amp;SUBSTITUTE(TEXT(Overig!G181,""",""?00;"",""?-00;"",""?00;"", //"""),"'","""")</f>
        <v>081, 19400229, 19.45, 7490, 00,  260, 00</v>
      </c>
    </row>
    <row r="182" spans="1:1" x14ac:dyDescent="0.25">
      <c r="A182" s="25" t="str">
        <f ca="1">TEXT(Overig!A182,"000\,")&amp;TEXT(Overig!B182,"?00000000")&amp;TEXT(Overig!C182,""", ""@")&amp;SUBSTITUTE(TEXT(IF(ISTEXT(Overig!D182),Overig!D182,10*Overig!D182),""",""????0;"",""???-0;"",""????0;"", ////"""),"'","""")&amp;SUBSTITUTE(TEXT(Overig!E182,""",""?00;"",""?-00;"",""?00;"", //"""),"'","""")&amp;SUBSTITUTE(TEXT(IF(ISTEXT(Overig!F182),Overig!F182,10*Overig!F182),""",""????0;"",""???-0;"",""????0;"", ////"""),"'","""")&amp;SUBSTITUTE(TEXT(Overig!G182,""",""?00;"",""?-00;"",""?00;"", //"""),"'","""")</f>
        <v>081, 19400301, 07.45, 7480, 00,  250, 00</v>
      </c>
    </row>
    <row r="183" spans="1:1" x14ac:dyDescent="0.25">
      <c r="A183" s="25" t="str">
        <f ca="1">TEXT(Overig!A183,"000\,")&amp;TEXT(Overig!B183,"?00000000")&amp;TEXT(Overig!C183,""", ""@")&amp;SUBSTITUTE(TEXT(IF(ISTEXT(Overig!D183),Overig!D183,10*Overig!D183),""",""????0;"",""???-0;"",""????0;"", ////"""),"'","""")&amp;SUBSTITUTE(TEXT(Overig!E183,""",""?00;"",""?-00;"",""?00;"", //"""),"'","""")&amp;SUBSTITUTE(TEXT(IF(ISTEXT(Overig!F183),Overig!F183,10*Overig!F183),""",""????0;"",""???-0;"",""????0;"", ////"""),"'","""")&amp;SUBSTITUTE(TEXT(Overig!G183,""",""?00;"",""?-00;"",""?00;"", //"""),"'","""")</f>
        <v>081, 19400301, 13.45, 7480, 00,  270, 00</v>
      </c>
    </row>
    <row r="184" spans="1:1" x14ac:dyDescent="0.25">
      <c r="A184" s="25" t="str">
        <f ca="1">TEXT(Overig!A184,"000\,")&amp;TEXT(Overig!B184,"?00000000")&amp;TEXT(Overig!C184,""", ""@")&amp;SUBSTITUTE(TEXT(IF(ISTEXT(Overig!D184),Overig!D184,10*Overig!D184),""",""????0;"",""???-0;"",""????0;"", ////"""),"'","""")&amp;SUBSTITUTE(TEXT(Overig!E184,""",""?00;"",""?-00;"",""?00;"", //"""),"'","""")&amp;SUBSTITUTE(TEXT(IF(ISTEXT(Overig!F184),Overig!F184,10*Overig!F184),""",""????0;"",""???-0;"",""????0;"", ////"""),"'","""")&amp;SUBSTITUTE(TEXT(Overig!G184,""",""?00;"",""?-00;"",""?00;"", //"""),"'","""")</f>
        <v>081, 19400301, 19.45, 7480, 00,  260, 00</v>
      </c>
    </row>
    <row r="185" spans="1:1" x14ac:dyDescent="0.25">
      <c r="A185" s="25" t="str">
        <f ca="1">TEXT(Overig!A185,"000\,")&amp;TEXT(Overig!B185,"?00000000")&amp;TEXT(Overig!C185,""", ""@")&amp;SUBSTITUTE(TEXT(IF(ISTEXT(Overig!D185),Overig!D185,10*Overig!D185),""",""????0;"",""???-0;"",""????0;"", ////"""),"'","""")&amp;SUBSTITUTE(TEXT(Overig!E185,""",""?00;"",""?-00;"",""?00;"", //"""),"'","""")&amp;SUBSTITUTE(TEXT(IF(ISTEXT(Overig!F185),Overig!F185,10*Overig!F185),""",""????0;"",""???-0;"",""????0;"", ////"""),"'","""")&amp;SUBSTITUTE(TEXT(Overig!G185,""",""?00;"",""?-00;"",""?00;"", //"""),"'","""")</f>
        <v>081, 19400302, 07.45, 7490, 00,  240, 00</v>
      </c>
    </row>
    <row r="186" spans="1:1" x14ac:dyDescent="0.25">
      <c r="A186" s="25" t="str">
        <f ca="1">TEXT(Overig!A186,"000\,")&amp;TEXT(Overig!B186,"?00000000")&amp;TEXT(Overig!C186,""", ""@")&amp;SUBSTITUTE(TEXT(IF(ISTEXT(Overig!D186),Overig!D186,10*Overig!D186),""",""????0;"",""???-0;"",""????0;"", ////"""),"'","""")&amp;SUBSTITUTE(TEXT(Overig!E186,""",""?00;"",""?-00;"",""?00;"", //"""),"'","""")&amp;SUBSTITUTE(TEXT(IF(ISTEXT(Overig!F186),Overig!F186,10*Overig!F186),""",""????0;"",""???-0;"",""????0;"", ////"""),"'","""")&amp;SUBSTITUTE(TEXT(Overig!G186,""",""?00;"",""?-00;"",""?00;"", //"""),"'","""")</f>
        <v>081, 19400302, 13.45, 7480, 00,  250, 00</v>
      </c>
    </row>
    <row r="187" spans="1:1" x14ac:dyDescent="0.25">
      <c r="A187" s="25" t="str">
        <f ca="1">TEXT(Overig!A187,"000\,")&amp;TEXT(Overig!B187,"?00000000")&amp;TEXT(Overig!C187,""", ""@")&amp;SUBSTITUTE(TEXT(IF(ISTEXT(Overig!D187),Overig!D187,10*Overig!D187),""",""????0;"",""???-0;"",""????0;"", ////"""),"'","""")&amp;SUBSTITUTE(TEXT(Overig!E187,""",""?00;"",""?-00;"",""?00;"", //"""),"'","""")&amp;SUBSTITUTE(TEXT(IF(ISTEXT(Overig!F187),Overig!F187,10*Overig!F187),""",""????0;"",""???-0;"",""????0;"", ////"""),"'","""")&amp;SUBSTITUTE(TEXT(Overig!G187,""",""?00;"",""?-00;"",""?00;"", //"""),"'","""")</f>
        <v>081, 19400302, 19.45, 7480, 00,  250, 00</v>
      </c>
    </row>
    <row r="188" spans="1:1" x14ac:dyDescent="0.25">
      <c r="A188" s="25" t="str">
        <f ca="1">TEXT(Overig!A188,"000\,")&amp;TEXT(Overig!B188,"?00000000")&amp;TEXT(Overig!C188,""", ""@")&amp;SUBSTITUTE(TEXT(IF(ISTEXT(Overig!D188),Overig!D188,10*Overig!D188),""",""????0;"",""???-0;"",""????0;"", ////"""),"'","""")&amp;SUBSTITUTE(TEXT(Overig!E188,""",""?00;"",""?-00;"",""?00;"", //"""),"'","""")&amp;SUBSTITUTE(TEXT(IF(ISTEXT(Overig!F188),Overig!F188,10*Overig!F188),""",""????0;"",""???-0;"",""????0;"", ////"""),"'","""")&amp;SUBSTITUTE(TEXT(Overig!G188,""",""?00;"",""?-00;"",""?00;"", //"""),"'","""")</f>
        <v>081, 19400303, 07.45, 7480, 00,  230, 00</v>
      </c>
    </row>
    <row r="189" spans="1:1" x14ac:dyDescent="0.25">
      <c r="A189" s="25" t="str">
        <f ca="1">TEXT(Overig!A189,"000\,")&amp;TEXT(Overig!B189,"?00000000")&amp;TEXT(Overig!C189,""", ""@")&amp;SUBSTITUTE(TEXT(IF(ISTEXT(Overig!D189),Overig!D189,10*Overig!D189),""",""????0;"",""???-0;"",""????0;"", ////"""),"'","""")&amp;SUBSTITUTE(TEXT(Overig!E189,""",""?00;"",""?-00;"",""?00;"", //"""),"'","""")&amp;SUBSTITUTE(TEXT(IF(ISTEXT(Overig!F189),Overig!F189,10*Overig!F189),""",""????0;"",""???-0;"",""????0;"", ////"""),"'","""")&amp;SUBSTITUTE(TEXT(Overig!G189,""",""?00;"",""?-00;"",""?00;"", //"""),"'","""")</f>
        <v>081, 19400303, 13.45, 7480, 00,  250, 00</v>
      </c>
    </row>
    <row r="190" spans="1:1" x14ac:dyDescent="0.25">
      <c r="A190" s="25" t="str">
        <f ca="1">TEXT(Overig!A190,"000\,")&amp;TEXT(Overig!B190,"?00000000")&amp;TEXT(Overig!C190,""", ""@")&amp;SUBSTITUTE(TEXT(IF(ISTEXT(Overig!D190),Overig!D190,10*Overig!D190),""",""????0;"",""???-0;"",""????0;"", ////"""),"'","""")&amp;SUBSTITUTE(TEXT(Overig!E190,""",""?00;"",""?-00;"",""?00;"", //"""),"'","""")&amp;SUBSTITUTE(TEXT(IF(ISTEXT(Overig!F190),Overig!F190,10*Overig!F190),""",""????0;"",""???-0;"",""????0;"", ////"""),"'","""")&amp;SUBSTITUTE(TEXT(Overig!G190,""",""?00;"",""?-00;"",""?00;"", //"""),"'","""")</f>
        <v>081, 19400303, 19.45, 7470, 00,  240, 00</v>
      </c>
    </row>
    <row r="191" spans="1:1" x14ac:dyDescent="0.25">
      <c r="A191" s="25" t="str">
        <f ca="1">TEXT(Overig!A191,"000\,")&amp;TEXT(Overig!B191,"?00000000")&amp;TEXT(Overig!C191,""", ""@")&amp;SUBSTITUTE(TEXT(IF(ISTEXT(Overig!D191),Overig!D191,10*Overig!D191),""",""????0;"",""???-0;"",""????0;"", ////"""),"'","""")&amp;SUBSTITUTE(TEXT(Overig!E191,""",""?00;"",""?-00;"",""?00;"", //"""),"'","""")&amp;SUBSTITUTE(TEXT(IF(ISTEXT(Overig!F191),Overig!F191,10*Overig!F191),""",""????0;"",""???-0;"",""????0;"", ////"""),"'","""")&amp;SUBSTITUTE(TEXT(Overig!G191,""",""?00;"",""?-00;"",""?00;"", //"""),"'","""")</f>
        <v>081, 19400304, 07.45, 7470, 00,  230, 00</v>
      </c>
    </row>
    <row r="192" spans="1:1" x14ac:dyDescent="0.25">
      <c r="A192" s="25" t="str">
        <f ca="1">TEXT(Overig!A192,"000\,")&amp;TEXT(Overig!B192,"?00000000")&amp;TEXT(Overig!C192,""", ""@")&amp;SUBSTITUTE(TEXT(IF(ISTEXT(Overig!D192),Overig!D192,10*Overig!D192),""",""????0;"",""???-0;"",""????0;"", ////"""),"'","""")&amp;SUBSTITUTE(TEXT(Overig!E192,""",""?00;"",""?-00;"",""?00;"", //"""),"'","""")&amp;SUBSTITUTE(TEXT(IF(ISTEXT(Overig!F192),Overig!F192,10*Overig!F192),""",""????0;"",""???-0;"",""????0;"", ////"""),"'","""")&amp;SUBSTITUTE(TEXT(Overig!G192,""",""?00;"",""?-00;"",""?00;"", //"""),"'","""")</f>
        <v>081, 19400304, 13.45, 7470, 00,  250, 00</v>
      </c>
    </row>
    <row r="193" spans="1:1" x14ac:dyDescent="0.25">
      <c r="A193" s="25" t="str">
        <f ca="1">TEXT(Overig!A193,"000\,")&amp;TEXT(Overig!B193,"?00000000")&amp;TEXT(Overig!C193,""", ""@")&amp;SUBSTITUTE(TEXT(IF(ISTEXT(Overig!D193),Overig!D193,10*Overig!D193),""",""????0;"",""???-0;"",""????0;"", ////"""),"'","""")&amp;SUBSTITUTE(TEXT(Overig!E193,""",""?00;"",""?-00;"",""?00;"", //"""),"'","""")&amp;SUBSTITUTE(TEXT(IF(ISTEXT(Overig!F193),Overig!F193,10*Overig!F193),""",""????0;"",""???-0;"",""????0;"", ////"""),"'","""")&amp;SUBSTITUTE(TEXT(Overig!G193,""",""?00;"",""?-00;"",""?00;"", //"""),"'","""")</f>
        <v>081, 19400304, 19.45, 7470, 00,  240, 00</v>
      </c>
    </row>
    <row r="194" spans="1:1" x14ac:dyDescent="0.25">
      <c r="A194" s="25" t="str">
        <f ca="1">TEXT(Overig!A194,"000\,")&amp;TEXT(Overig!B194,"?00000000")&amp;TEXT(Overig!C194,""", ""@")&amp;SUBSTITUTE(TEXT(IF(ISTEXT(Overig!D194),Overig!D194,10*Overig!D194),""",""????0;"",""???-0;"",""????0;"", ////"""),"'","""")&amp;SUBSTITUTE(TEXT(Overig!E194,""",""?00;"",""?-00;"",""?00;"", //"""),"'","""")&amp;SUBSTITUTE(TEXT(IF(ISTEXT(Overig!F194),Overig!F194,10*Overig!F194),""",""????0;"",""???-0;"",""????0;"", ////"""),"'","""")&amp;SUBSTITUTE(TEXT(Overig!G194,""",""?00;"",""?-00;"",""?00;"", //"""),"'","""")</f>
        <v>081, 19400305, 07.45, 7480, 00,  240, 00</v>
      </c>
    </row>
    <row r="195" spans="1:1" x14ac:dyDescent="0.25">
      <c r="A195" s="25" t="str">
        <f ca="1">TEXT(Overig!A195,"000\,")&amp;TEXT(Overig!B195,"?00000000")&amp;TEXT(Overig!C195,""", ""@")&amp;SUBSTITUTE(TEXT(IF(ISTEXT(Overig!D195),Overig!D195,10*Overig!D195),""",""????0;"",""???-0;"",""????0;"", ////"""),"'","""")&amp;SUBSTITUTE(TEXT(Overig!E195,""",""?00;"",""?-00;"",""?00;"", //"""),"'","""")&amp;SUBSTITUTE(TEXT(IF(ISTEXT(Overig!F195),Overig!F195,10*Overig!F195),""",""????0;"",""???-0;"",""????0;"", ////"""),"'","""")&amp;SUBSTITUTE(TEXT(Overig!G195,""",""?00;"",""?-00;"",""?00;"", //"""),"'","""")</f>
        <v>081, 19400305, 13.45, 7480, 00,  260, 00</v>
      </c>
    </row>
    <row r="196" spans="1:1" x14ac:dyDescent="0.25">
      <c r="A196" s="25" t="str">
        <f ca="1">TEXT(Overig!A196,"000\,")&amp;TEXT(Overig!B196,"?00000000")&amp;TEXT(Overig!C196,""", ""@")&amp;SUBSTITUTE(TEXT(IF(ISTEXT(Overig!D196),Overig!D196,10*Overig!D196),""",""????0;"",""???-0;"",""????0;"", ////"""),"'","""")&amp;SUBSTITUTE(TEXT(Overig!E196,""",""?00;"",""?-00;"",""?00;"", //"""),"'","""")&amp;SUBSTITUTE(TEXT(IF(ISTEXT(Overig!F196),Overig!F196,10*Overig!F196),""",""????0;"",""???-0;"",""????0;"", ////"""),"'","""")&amp;SUBSTITUTE(TEXT(Overig!G196,""",""?00;"",""?-00;"",""?00;"", //"""),"'","""")</f>
        <v>081, 19400305, 19.45, 7470, 00,  250, 00</v>
      </c>
    </row>
    <row r="197" spans="1:1" x14ac:dyDescent="0.25">
      <c r="A197" s="25" t="str">
        <f ca="1">TEXT(Overig!A197,"000\,")&amp;TEXT(Overig!B197,"?00000000")&amp;TEXT(Overig!C197,""", ""@")&amp;SUBSTITUTE(TEXT(IF(ISTEXT(Overig!D197),Overig!D197,10*Overig!D197),""",""????0;"",""???-0;"",""????0;"", ////"""),"'","""")&amp;SUBSTITUTE(TEXT(Overig!E197,""",""?00;"",""?-00;"",""?00;"", //"""),"'","""")&amp;SUBSTITUTE(TEXT(IF(ISTEXT(Overig!F197),Overig!F197,10*Overig!F197),""",""????0;"",""???-0;"",""????0;"", ////"""),"'","""")&amp;SUBSTITUTE(TEXT(Overig!G197,""",""?00;"",""?-00;"",""?00;"", //"""),"'","""")</f>
        <v>081, 19400306, 07.45, 7480, 00,  240, 00</v>
      </c>
    </row>
    <row r="198" spans="1:1" x14ac:dyDescent="0.25">
      <c r="A198" s="25" t="str">
        <f ca="1">TEXT(Overig!A198,"000\,")&amp;TEXT(Overig!B198,"?00000000")&amp;TEXT(Overig!C198,""", ""@")&amp;SUBSTITUTE(TEXT(IF(ISTEXT(Overig!D198),Overig!D198,10*Overig!D198),""",""????0;"",""???-0;"",""????0;"", ////"""),"'","""")&amp;SUBSTITUTE(TEXT(Overig!E198,""",""?00;"",""?-00;"",""?00;"", //"""),"'","""")&amp;SUBSTITUTE(TEXT(IF(ISTEXT(Overig!F198),Overig!F198,10*Overig!F198),""",""????0;"",""???-0;"",""????0;"", ////"""),"'","""")&amp;SUBSTITUTE(TEXT(Overig!G198,""",""?00;"",""?-00;"",""?00;"", //"""),"'","""")</f>
        <v>081, 19400306, 13.45, 7460, 00,  280, 00</v>
      </c>
    </row>
    <row r="199" spans="1:1" x14ac:dyDescent="0.25">
      <c r="A199" s="25" t="str">
        <f ca="1">TEXT(Overig!A199,"000\,")&amp;TEXT(Overig!B199,"?00000000")&amp;TEXT(Overig!C199,""", ""@")&amp;SUBSTITUTE(TEXT(IF(ISTEXT(Overig!D199),Overig!D199,10*Overig!D199),""",""????0;"",""???-0;"",""????0;"", ////"""),"'","""")&amp;SUBSTITUTE(TEXT(Overig!E199,""",""?00;"",""?-00;"",""?00;"", //"""),"'","""")&amp;SUBSTITUTE(TEXT(IF(ISTEXT(Overig!F199),Overig!F199,10*Overig!F199),""",""????0;"",""???-0;"",""????0;"", ////"""),"'","""")&amp;SUBSTITUTE(TEXT(Overig!G199,""",""?00;"",""?-00;"",""?00;"", //"""),"'","""")</f>
        <v>081, 19400306, 19.45, 7450, 00,  270, 00</v>
      </c>
    </row>
    <row r="200" spans="1:1" x14ac:dyDescent="0.25">
      <c r="A200" s="25" t="str">
        <f ca="1">TEXT(Overig!A200,"000\,")&amp;TEXT(Overig!B200,"?00000000")&amp;TEXT(Overig!C200,""", ""@")&amp;SUBSTITUTE(TEXT(IF(ISTEXT(Overig!D200),Overig!D200,10*Overig!D200),""",""????0;"",""???-0;"",""????0;"", ////"""),"'","""")&amp;SUBSTITUTE(TEXT(Overig!E200,""",""?00;"",""?-00;"",""?00;"", //"""),"'","""")&amp;SUBSTITUTE(TEXT(IF(ISTEXT(Overig!F200),Overig!F200,10*Overig!F200),""",""????0;"",""???-0;"",""????0;"", ////"""),"'","""")&amp;SUBSTITUTE(TEXT(Overig!G200,""",""?00;"",""?-00;"",""?00;"", //"""),"'","""")</f>
        <v>081, 19400307, 07.45, 7460, 00,  260, 00</v>
      </c>
    </row>
    <row r="201" spans="1:1" x14ac:dyDescent="0.25">
      <c r="A201" s="25" t="str">
        <f ca="1">TEXT(Overig!A201,"000\,")&amp;TEXT(Overig!B201,"?00000000")&amp;TEXT(Overig!C201,""", ""@")&amp;SUBSTITUTE(TEXT(IF(ISTEXT(Overig!D201),Overig!D201,10*Overig!D201),""",""????0;"",""???-0;"",""????0;"", ////"""),"'","""")&amp;SUBSTITUTE(TEXT(Overig!E201,""",""?00;"",""?-00;"",""?00;"", //"""),"'","""")&amp;SUBSTITUTE(TEXT(IF(ISTEXT(Overig!F201),Overig!F201,10*Overig!F201),""",""????0;"",""???-0;"",""????0;"", ////"""),"'","""")&amp;SUBSTITUTE(TEXT(Overig!G201,""",""?00;"",""?-00;"",""?00;"", //"""),"'","""")</f>
        <v>081, 19400307, 13.45, 7470, 00,  280, 00</v>
      </c>
    </row>
    <row r="202" spans="1:1" x14ac:dyDescent="0.25">
      <c r="A202" s="25" t="str">
        <f ca="1">TEXT(Overig!A202,"000\,")&amp;TEXT(Overig!B202,"?00000000")&amp;TEXT(Overig!C202,""", ""@")&amp;SUBSTITUTE(TEXT(IF(ISTEXT(Overig!D202),Overig!D202,10*Overig!D202),""",""????0;"",""???-0;"",""????0;"", ////"""),"'","""")&amp;SUBSTITUTE(TEXT(Overig!E202,""",""?00;"",""?-00;"",""?00;"", //"""),"'","""")&amp;SUBSTITUTE(TEXT(IF(ISTEXT(Overig!F202),Overig!F202,10*Overig!F202),""",""????0;"",""???-0;"",""????0;"", ////"""),"'","""")&amp;SUBSTITUTE(TEXT(Overig!G202,""",""?00;"",""?-00;"",""?00;"", //"""),"'","""")</f>
        <v>081, 19400307, 19.45, 7460, 00,  270, 00</v>
      </c>
    </row>
    <row r="203" spans="1:1" x14ac:dyDescent="0.25">
      <c r="A203" s="25" t="str">
        <f ca="1">TEXT(Overig!A203,"000\,")&amp;TEXT(Overig!B203,"?00000000")&amp;TEXT(Overig!C203,""", ""@")&amp;SUBSTITUTE(TEXT(IF(ISTEXT(Overig!D203),Overig!D203,10*Overig!D203),""",""????0;"",""???-0;"",""????0;"", ////"""),"'","""")&amp;SUBSTITUTE(TEXT(Overig!E203,""",""?00;"",""?-00;"",""?00;"", //"""),"'","""")&amp;SUBSTITUTE(TEXT(IF(ISTEXT(Overig!F203),Overig!F203,10*Overig!F203),""",""????0;"",""???-0;"",""????0;"", ////"""),"'","""")&amp;SUBSTITUTE(TEXT(Overig!G203,""",""?00;"",""?-00;"",""?00;"", //"""),"'","""")</f>
        <v>081, 19400308, 07.45, 7460, 00,  260, 00</v>
      </c>
    </row>
    <row r="204" spans="1:1" x14ac:dyDescent="0.25">
      <c r="A204" s="25" t="str">
        <f ca="1">TEXT(Overig!A204,"000\,")&amp;TEXT(Overig!B204,"?00000000")&amp;TEXT(Overig!C204,""", ""@")&amp;SUBSTITUTE(TEXT(IF(ISTEXT(Overig!D204),Overig!D204,10*Overig!D204),""",""????0;"",""???-0;"",""????0;"", ////"""),"'","""")&amp;SUBSTITUTE(TEXT(Overig!E204,""",""?00;"",""?-00;"",""?00;"", //"""),"'","""")&amp;SUBSTITUTE(TEXT(IF(ISTEXT(Overig!F204),Overig!F204,10*Overig!F204),""",""????0;"",""???-0;"",""????0;"", ////"""),"'","""")&amp;SUBSTITUTE(TEXT(Overig!G204,""",""?00;"",""?-00;"",""?00;"", //"""),"'","""")</f>
        <v>081, 19400308, 13.45, 7450, 00,  280, 00</v>
      </c>
    </row>
    <row r="205" spans="1:1" x14ac:dyDescent="0.25">
      <c r="A205" s="25" t="str">
        <f ca="1">TEXT(Overig!A205,"000\,")&amp;TEXT(Overig!B205,"?00000000")&amp;TEXT(Overig!C205,""", ""@")&amp;SUBSTITUTE(TEXT(IF(ISTEXT(Overig!D205),Overig!D205,10*Overig!D205),""",""????0;"",""???-0;"",""????0;"", ////"""),"'","""")&amp;SUBSTITUTE(TEXT(Overig!E205,""",""?00;"",""?-00;"",""?00;"", //"""),"'","""")&amp;SUBSTITUTE(TEXT(IF(ISTEXT(Overig!F205),Overig!F205,10*Overig!F205),""",""????0;"",""???-0;"",""????0;"", ////"""),"'","""")&amp;SUBSTITUTE(TEXT(Overig!G205,""",""?00;"",""?-00;"",""?00;"", //"""),"'","""")</f>
        <v>081, 19400308, 19.45, 7450, 00,  270, 00</v>
      </c>
    </row>
    <row r="206" spans="1:1" x14ac:dyDescent="0.25">
      <c r="A206" s="25" t="str">
        <f ca="1">TEXT(Overig!A206,"000\,")&amp;TEXT(Overig!B206,"?00000000")&amp;TEXT(Overig!C206,""", ""@")&amp;SUBSTITUTE(TEXT(IF(ISTEXT(Overig!D206),Overig!D206,10*Overig!D206),""",""????0;"",""???-0;"",""????0;"", ////"""),"'","""")&amp;SUBSTITUTE(TEXT(Overig!E206,""",""?00;"",""?-00;"",""?00;"", //"""),"'","""")&amp;SUBSTITUTE(TEXT(IF(ISTEXT(Overig!F206),Overig!F206,10*Overig!F206),""",""????0;"",""???-0;"",""????0;"", ////"""),"'","""")&amp;SUBSTITUTE(TEXT(Overig!G206,""",""?00;"",""?-00;"",""?00;"", //"""),"'","""")</f>
        <v>081, 19400309, 07.45, 7460, 00,  260, 00</v>
      </c>
    </row>
    <row r="207" spans="1:1" x14ac:dyDescent="0.25">
      <c r="A207" s="25" t="str">
        <f ca="1">TEXT(Overig!A207,"000\,")&amp;TEXT(Overig!B207,"?00000000")&amp;TEXT(Overig!C207,""", ""@")&amp;SUBSTITUTE(TEXT(IF(ISTEXT(Overig!D207),Overig!D207,10*Overig!D207),""",""????0;"",""???-0;"",""????0;"", ////"""),"'","""")&amp;SUBSTITUTE(TEXT(Overig!E207,""",""?00;"",""?-00;"",""?00;"", //"""),"'","""")&amp;SUBSTITUTE(TEXT(IF(ISTEXT(Overig!F207),Overig!F207,10*Overig!F207),""",""????0;"",""???-0;"",""????0;"", ////"""),"'","""")&amp;SUBSTITUTE(TEXT(Overig!G207,""",""?00;"",""?-00;"",""?00;"", //"""),"'","""")</f>
        <v>081, 19400309, 13.45, 7460, 00,  280, 00</v>
      </c>
    </row>
    <row r="208" spans="1:1" x14ac:dyDescent="0.25">
      <c r="A208" s="25" t="str">
        <f ca="1">TEXT(Overig!A208,"000\,")&amp;TEXT(Overig!B208,"?00000000")&amp;TEXT(Overig!C208,""", ""@")&amp;SUBSTITUTE(TEXT(IF(ISTEXT(Overig!D208),Overig!D208,10*Overig!D208),""",""????0;"",""???-0;"",""????0;"", ////"""),"'","""")&amp;SUBSTITUTE(TEXT(Overig!E208,""",""?00;"",""?-00;"",""?00;"", //"""),"'","""")&amp;SUBSTITUTE(TEXT(IF(ISTEXT(Overig!F208),Overig!F208,10*Overig!F208),""",""????0;"",""???-0;"",""????0;"", ////"""),"'","""")&amp;SUBSTITUTE(TEXT(Overig!G208,""",""?00;"",""?-00;"",""?00;"", //"""),"'","""")</f>
        <v>081, 19400309, 19.45, 7460, 00,  270, 00</v>
      </c>
    </row>
    <row r="209" spans="1:1" x14ac:dyDescent="0.25">
      <c r="A209" s="25" t="str">
        <f ca="1">TEXT(Overig!A209,"000\,")&amp;TEXT(Overig!B209,"?00000000")&amp;TEXT(Overig!C209,""", ""@")&amp;SUBSTITUTE(TEXT(IF(ISTEXT(Overig!D209),Overig!D209,10*Overig!D209),""",""????0;"",""???-0;"",""????0;"", ////"""),"'","""")&amp;SUBSTITUTE(TEXT(Overig!E209,""",""?00;"",""?-00;"",""?00;"", //"""),"'","""")&amp;SUBSTITUTE(TEXT(IF(ISTEXT(Overig!F209),Overig!F209,10*Overig!F209),""",""????0;"",""???-0;"",""????0;"", ////"""),"'","""")&amp;SUBSTITUTE(TEXT(Overig!G209,""",""?00;"",""?-00;"",""?00;"", //"""),"'","""")</f>
        <v>081, 19400310, 07.45, 7480, 00,  260, 00</v>
      </c>
    </row>
    <row r="210" spans="1:1" x14ac:dyDescent="0.25">
      <c r="A210" s="25" t="str">
        <f ca="1">TEXT(Overig!A210,"000\,")&amp;TEXT(Overig!B210,"?00000000")&amp;TEXT(Overig!C210,""", ""@")&amp;SUBSTITUTE(TEXT(IF(ISTEXT(Overig!D210),Overig!D210,10*Overig!D210),""",""????0;"",""???-0;"",""????0;"", ////"""),"'","""")&amp;SUBSTITUTE(TEXT(Overig!E210,""",""?00;"",""?-00;"",""?00;"", //"""),"'","""")&amp;SUBSTITUTE(TEXT(IF(ISTEXT(Overig!F210),Overig!F210,10*Overig!F210),""",""????0;"",""???-0;"",""????0;"", ////"""),"'","""")&amp;SUBSTITUTE(TEXT(Overig!G210,""",""?00;"",""?-00;"",""?00;"", //"""),"'","""")</f>
        <v>081, 19400310, 13.45, 7480, 00,  280, 00</v>
      </c>
    </row>
    <row r="211" spans="1:1" x14ac:dyDescent="0.25">
      <c r="A211" s="25" t="str">
        <f ca="1">TEXT(Overig!A211,"000\,")&amp;TEXT(Overig!B211,"?00000000")&amp;TEXT(Overig!C211,""", ""@")&amp;SUBSTITUTE(TEXT(IF(ISTEXT(Overig!D211),Overig!D211,10*Overig!D211),""",""????0;"",""???-0;"",""????0;"", ////"""),"'","""")&amp;SUBSTITUTE(TEXT(Overig!E211,""",""?00;"",""?-00;"",""?00;"", //"""),"'","""")&amp;SUBSTITUTE(TEXT(IF(ISTEXT(Overig!F211),Overig!F211,10*Overig!F211),""",""????0;"",""???-0;"",""????0;"", ////"""),"'","""")&amp;SUBSTITUTE(TEXT(Overig!G211,""",""?00;"",""?-00;"",""?00;"", //"""),"'","""")</f>
        <v>081, 19400310, 19.45, 7480, 00,  270, 00</v>
      </c>
    </row>
    <row r="212" spans="1:1" x14ac:dyDescent="0.25">
      <c r="A212" s="25" t="str">
        <f ca="1">TEXT(Overig!A212,"000\,")&amp;TEXT(Overig!B212,"?00000000")&amp;TEXT(Overig!C212,""", ""@")&amp;SUBSTITUTE(TEXT(IF(ISTEXT(Overig!D212),Overig!D212,10*Overig!D212),""",""????0;"",""???-0;"",""????0;"", ////"""),"'","""")&amp;SUBSTITUTE(TEXT(Overig!E212,""",""?00;"",""?-00;"",""?00;"", //"""),"'","""")&amp;SUBSTITUTE(TEXT(IF(ISTEXT(Overig!F212),Overig!F212,10*Overig!F212),""",""????0;"",""???-0;"",""????0;"", ////"""),"'","""")&amp;SUBSTITUTE(TEXT(Overig!G212,""",""?00;"",""?-00;"",""?00;"", //"""),"'","""")</f>
        <v>081, 19400311, 07.45, 7480, 00,  260, 00</v>
      </c>
    </row>
    <row r="213" spans="1:1" x14ac:dyDescent="0.25">
      <c r="A213" s="25" t="str">
        <f ca="1">TEXT(Overig!A213,"000\,")&amp;TEXT(Overig!B213,"?00000000")&amp;TEXT(Overig!C213,""", ""@")&amp;SUBSTITUTE(TEXT(IF(ISTEXT(Overig!D213),Overig!D213,10*Overig!D213),""",""????0;"",""???-0;"",""????0;"", ////"""),"'","""")&amp;SUBSTITUTE(TEXT(Overig!E213,""",""?00;"",""?-00;"",""?00;"", //"""),"'","""")&amp;SUBSTITUTE(TEXT(IF(ISTEXT(Overig!F213),Overig!F213,10*Overig!F213),""",""????0;"",""???-0;"",""????0;"", ////"""),"'","""")&amp;SUBSTITUTE(TEXT(Overig!G213,""",""?00;"",""?-00;"",""?00;"", //"""),"'","""")</f>
        <v>081, 19400311, 13.45, 7480, 00,  260, 00</v>
      </c>
    </row>
    <row r="214" spans="1:1" x14ac:dyDescent="0.25">
      <c r="A214" s="25" t="str">
        <f ca="1">TEXT(Overig!A214,"000\,")&amp;TEXT(Overig!B214,"?00000000")&amp;TEXT(Overig!C214,""", ""@")&amp;SUBSTITUTE(TEXT(IF(ISTEXT(Overig!D214),Overig!D214,10*Overig!D214),""",""????0;"",""???-0;"",""????0;"", ////"""),"'","""")&amp;SUBSTITUTE(TEXT(Overig!E214,""",""?00;"",""?-00;"",""?00;"", //"""),"'","""")&amp;SUBSTITUTE(TEXT(IF(ISTEXT(Overig!F214),Overig!F214,10*Overig!F214),""",""????0;"",""???-0;"",""????0;"", ////"""),"'","""")&amp;SUBSTITUTE(TEXT(Overig!G214,""",""?00;"",""?-00;"",""?00;"", //"""),"'","""")</f>
        <v>081, 19400311, 19.45, 7490, 00,  250, 00</v>
      </c>
    </row>
    <row r="215" spans="1:1" x14ac:dyDescent="0.25">
      <c r="A215" s="25" t="str">
        <f ca="1">TEXT(Overig!A215,"000\,")&amp;TEXT(Overig!B215,"?00000000")&amp;TEXT(Overig!C215,""", ""@")&amp;SUBSTITUTE(TEXT(IF(ISTEXT(Overig!D215),Overig!D215,10*Overig!D215),""",""????0;"",""???-0;"",""????0;"", ////"""),"'","""")&amp;SUBSTITUTE(TEXT(Overig!E215,""",""?00;"",""?-00;"",""?00;"", //"""),"'","""")&amp;SUBSTITUTE(TEXT(IF(ISTEXT(Overig!F215),Overig!F215,10*Overig!F215),""",""????0;"",""???-0;"",""????0;"", ////"""),"'","""")&amp;SUBSTITUTE(TEXT(Overig!G215,""",""?00;"",""?-00;"",""?00;"", //"""),"'","""")</f>
        <v>081, 19400312, 07.45, 7490, 00,  240, 00</v>
      </c>
    </row>
    <row r="216" spans="1:1" x14ac:dyDescent="0.25">
      <c r="A216" s="25" t="str">
        <f ca="1">TEXT(Overig!A216,"000\,")&amp;TEXT(Overig!B216,"?00000000")&amp;TEXT(Overig!C216,""", ""@")&amp;SUBSTITUTE(TEXT(IF(ISTEXT(Overig!D216),Overig!D216,10*Overig!D216),""",""????0;"",""???-0;"",""????0;"", ////"""),"'","""")&amp;SUBSTITUTE(TEXT(Overig!E216,""",""?00;"",""?-00;"",""?00;"", //"""),"'","""")&amp;SUBSTITUTE(TEXT(IF(ISTEXT(Overig!F216),Overig!F216,10*Overig!F216),""",""????0;"",""???-0;"",""????0;"", ////"""),"'","""")&amp;SUBSTITUTE(TEXT(Overig!G216,""",""?00;"",""?-00;"",""?00;"", //"""),"'","""")</f>
        <v>081, 19400312, 13.45, 7490, 00,  260, 00</v>
      </c>
    </row>
    <row r="217" spans="1:1" x14ac:dyDescent="0.25">
      <c r="A217" s="25" t="str">
        <f ca="1">TEXT(Overig!A217,"000\,")&amp;TEXT(Overig!B217,"?00000000")&amp;TEXT(Overig!C217,""", ""@")&amp;SUBSTITUTE(TEXT(IF(ISTEXT(Overig!D217),Overig!D217,10*Overig!D217),""",""????0;"",""???-0;"",""????0;"", ////"""),"'","""")&amp;SUBSTITUTE(TEXT(Overig!E217,""",""?00;"",""?-00;"",""?00;"", //"""),"'","""")&amp;SUBSTITUTE(TEXT(IF(ISTEXT(Overig!F217),Overig!F217,10*Overig!F217),""",""????0;"",""???-0;"",""????0;"", ////"""),"'","""")&amp;SUBSTITUTE(TEXT(Overig!G217,""",""?00;"",""?-00;"",""?00;"", //"""),"'","""")</f>
        <v>081, 19400312, 19.45, 7490, 00,  260, 00</v>
      </c>
    </row>
    <row r="218" spans="1:1" x14ac:dyDescent="0.25">
      <c r="A218" s="25" t="str">
        <f ca="1">TEXT(Overig!A218,"000\,")&amp;TEXT(Overig!B218,"?00000000")&amp;TEXT(Overig!C218,""", ""@")&amp;SUBSTITUTE(TEXT(IF(ISTEXT(Overig!D218),Overig!D218,10*Overig!D218),""",""????0;"",""???-0;"",""????0;"", ////"""),"'","""")&amp;SUBSTITUTE(TEXT(Overig!E218,""",""?00;"",""?-00;"",""?00;"", //"""),"'","""")&amp;SUBSTITUTE(TEXT(IF(ISTEXT(Overig!F218),Overig!F218,10*Overig!F218),""",""????0;"",""???-0;"",""????0;"", ////"""),"'","""")&amp;SUBSTITUTE(TEXT(Overig!G218,""",""?00;"",""?-00;"",""?00;"", //"""),"'","""")</f>
        <v>081, 19400313, 07.45, 7490, 00,  240, 00</v>
      </c>
    </row>
    <row r="219" spans="1:1" x14ac:dyDescent="0.25">
      <c r="A219" s="25" t="str">
        <f ca="1">TEXT(Overig!A219,"000\,")&amp;TEXT(Overig!B219,"?00000000")&amp;TEXT(Overig!C219,""", ""@")&amp;SUBSTITUTE(TEXT(IF(ISTEXT(Overig!D219),Overig!D219,10*Overig!D219),""",""????0;"",""???-0;"",""????0;"", ////"""),"'","""")&amp;SUBSTITUTE(TEXT(Overig!E219,""",""?00;"",""?-00;"",""?00;"", //"""),"'","""")&amp;SUBSTITUTE(TEXT(IF(ISTEXT(Overig!F219),Overig!F219,10*Overig!F219),""",""????0;"",""???-0;"",""????0;"", ////"""),"'","""")&amp;SUBSTITUTE(TEXT(Overig!G219,""",""?00;"",""?-00;"",""?00;"", //"""),"'","""")</f>
        <v>081, 19400313, 13.45, 7490, 00,  270, 00</v>
      </c>
    </row>
    <row r="220" spans="1:1" x14ac:dyDescent="0.25">
      <c r="A220" s="25" t="str">
        <f ca="1">TEXT(Overig!A220,"000\,")&amp;TEXT(Overig!B220,"?00000000")&amp;TEXT(Overig!C220,""", ""@")&amp;SUBSTITUTE(TEXT(IF(ISTEXT(Overig!D220),Overig!D220,10*Overig!D220),""",""????0;"",""???-0;"",""????0;"", ////"""),"'","""")&amp;SUBSTITUTE(TEXT(Overig!E220,""",""?00;"",""?-00;"",""?00;"", //"""),"'","""")&amp;SUBSTITUTE(TEXT(IF(ISTEXT(Overig!F220),Overig!F220,10*Overig!F220),""",""????0;"",""???-0;"",""????0;"", ////"""),"'","""")&amp;SUBSTITUTE(TEXT(Overig!G220,""",""?00;"",""?-00;"",""?00;"", //"""),"'","""")</f>
        <v>081, 19400313, 19.45, 7490, 00,  260, 00</v>
      </c>
    </row>
    <row r="221" spans="1:1" x14ac:dyDescent="0.25">
      <c r="A221" s="25" t="str">
        <f ca="1">TEXT(Overig!A221,"000\,")&amp;TEXT(Overig!B221,"?00000000")&amp;TEXT(Overig!C221,""", ""@")&amp;SUBSTITUTE(TEXT(IF(ISTEXT(Overig!D221),Overig!D221,10*Overig!D221),""",""????0;"",""???-0;"",""????0;"", ////"""),"'","""")&amp;SUBSTITUTE(TEXT(Overig!E221,""",""?00;"",""?-00;"",""?00;"", //"""),"'","""")&amp;SUBSTITUTE(TEXT(IF(ISTEXT(Overig!F221),Overig!F221,10*Overig!F221),""",""????0;"",""???-0;"",""????0;"", ////"""),"'","""")&amp;SUBSTITUTE(TEXT(Overig!G221,""",""?00;"",""?-00;"",""?00;"", //"""),"'","""")</f>
        <v>081, 19400314, 07.45, 7490, 00,  240, 00</v>
      </c>
    </row>
    <row r="222" spans="1:1" x14ac:dyDescent="0.25">
      <c r="A222" s="25" t="str">
        <f ca="1">TEXT(Overig!A222,"000\,")&amp;TEXT(Overig!B222,"?00000000")&amp;TEXT(Overig!C222,""", ""@")&amp;SUBSTITUTE(TEXT(IF(ISTEXT(Overig!D222),Overig!D222,10*Overig!D222),""",""????0;"",""???-0;"",""????0;"", ////"""),"'","""")&amp;SUBSTITUTE(TEXT(Overig!E222,""",""?00;"",""?-00;"",""?00;"", //"""),"'","""")&amp;SUBSTITUTE(TEXT(IF(ISTEXT(Overig!F222),Overig!F222,10*Overig!F222),""",""????0;"",""???-0;"",""????0;"", ////"""),"'","""")&amp;SUBSTITUTE(TEXT(Overig!G222,""",""?00;"",""?-00;"",""?00;"", //"""),"'","""")</f>
        <v>081, 19400314, 13.45, 7490, 00,  260, 00</v>
      </c>
    </row>
    <row r="223" spans="1:1" x14ac:dyDescent="0.25">
      <c r="A223" s="25" t="str">
        <f ca="1">TEXT(Overig!A223,"000\,")&amp;TEXT(Overig!B223,"?00000000")&amp;TEXT(Overig!C223,""", ""@")&amp;SUBSTITUTE(TEXT(IF(ISTEXT(Overig!D223),Overig!D223,10*Overig!D223),""",""????0;"",""???-0;"",""????0;"", ////"""),"'","""")&amp;SUBSTITUTE(TEXT(Overig!E223,""",""?00;"",""?-00;"",""?00;"", //"""),"'","""")&amp;SUBSTITUTE(TEXT(IF(ISTEXT(Overig!F223),Overig!F223,10*Overig!F223),""",""????0;"",""???-0;"",""????0;"", ////"""),"'","""")&amp;SUBSTITUTE(TEXT(Overig!G223,""",""?00;"",""?-00;"",""?00;"", //"""),"'","""")</f>
        <v>081, 19400314, 19.45, 7490, 00,  250, 00</v>
      </c>
    </row>
    <row r="224" spans="1:1" x14ac:dyDescent="0.25">
      <c r="A224" s="25" t="str">
        <f ca="1">TEXT(Overig!A224,"000\,")&amp;TEXT(Overig!B224,"?00000000")&amp;TEXT(Overig!C224,""", ""@")&amp;SUBSTITUTE(TEXT(IF(ISTEXT(Overig!D224),Overig!D224,10*Overig!D224),""",""????0;"",""???-0;"",""????0;"", ////"""),"'","""")&amp;SUBSTITUTE(TEXT(Overig!E224,""",""?00;"",""?-00;"",""?00;"", //"""),"'","""")&amp;SUBSTITUTE(TEXT(IF(ISTEXT(Overig!F224),Overig!F224,10*Overig!F224),""",""????0;"",""???-0;"",""????0;"", ////"""),"'","""")&amp;SUBSTITUTE(TEXT(Overig!G224,""",""?00;"",""?-00;"",""?00;"", //"""),"'","""")</f>
        <v>081, 19400315, 07.45, 7490, 00,  240, 00</v>
      </c>
    </row>
    <row r="225" spans="1:1" x14ac:dyDescent="0.25">
      <c r="A225" s="25" t="str">
        <f ca="1">TEXT(Overig!A225,"000\,")&amp;TEXT(Overig!B225,"?00000000")&amp;TEXT(Overig!C225,""", ""@")&amp;SUBSTITUTE(TEXT(IF(ISTEXT(Overig!D225),Overig!D225,10*Overig!D225),""",""????0;"",""???-0;"",""????0;"", ////"""),"'","""")&amp;SUBSTITUTE(TEXT(Overig!E225,""",""?00;"",""?-00;"",""?00;"", //"""),"'","""")&amp;SUBSTITUTE(TEXT(IF(ISTEXT(Overig!F225),Overig!F225,10*Overig!F225),""",""????0;"",""???-0;"",""????0;"", ////"""),"'","""")&amp;SUBSTITUTE(TEXT(Overig!G225,""",""?00;"",""?-00;"",""?00;"", //"""),"'","""")</f>
        <v>081, 19400315, 13.45, 7490, 00,  260, 00</v>
      </c>
    </row>
    <row r="226" spans="1:1" x14ac:dyDescent="0.25">
      <c r="A226" s="25" t="str">
        <f ca="1">TEXT(Overig!A226,"000\,")&amp;TEXT(Overig!B226,"?00000000")&amp;TEXT(Overig!C226,""", ""@")&amp;SUBSTITUTE(TEXT(IF(ISTEXT(Overig!D226),Overig!D226,10*Overig!D226),""",""????0;"",""???-0;"",""????0;"", ////"""),"'","""")&amp;SUBSTITUTE(TEXT(Overig!E226,""",""?00;"",""?-00;"",""?00;"", //"""),"'","""")&amp;SUBSTITUTE(TEXT(IF(ISTEXT(Overig!F226),Overig!F226,10*Overig!F226),""",""????0;"",""???-0;"",""????0;"", ////"""),"'","""")&amp;SUBSTITUTE(TEXT(Overig!G226,""",""?00;"",""?-00;"",""?00;"", //"""),"'","""")</f>
        <v>081, 19400315, 19.45, 7490, 00,  250, 00</v>
      </c>
    </row>
    <row r="227" spans="1:1" x14ac:dyDescent="0.25">
      <c r="A227" s="25" t="str">
        <f ca="1">TEXT(Overig!A227,"000\,")&amp;TEXT(Overig!B227,"?00000000")&amp;TEXT(Overig!C227,""", ""@")&amp;SUBSTITUTE(TEXT(IF(ISTEXT(Overig!D227),Overig!D227,10*Overig!D227),""",""????0;"",""???-0;"",""????0;"", ////"""),"'","""")&amp;SUBSTITUTE(TEXT(Overig!E227,""",""?00;"",""?-00;"",""?00;"", //"""),"'","""")&amp;SUBSTITUTE(TEXT(IF(ISTEXT(Overig!F227),Overig!F227,10*Overig!F227),""",""????0;"",""???-0;"",""????0;"", ////"""),"'","""")&amp;SUBSTITUTE(TEXT(Overig!G227,""",""?00;"",""?-00;"",""?00;"", //"""),"'","""")</f>
        <v>081, 19400316, 07.45, 7490, 00,  240, 00</v>
      </c>
    </row>
    <row r="228" spans="1:1" x14ac:dyDescent="0.25">
      <c r="A228" s="25" t="str">
        <f ca="1">TEXT(Overig!A228,"000\,")&amp;TEXT(Overig!B228,"?00000000")&amp;TEXT(Overig!C228,""", ""@")&amp;SUBSTITUTE(TEXT(IF(ISTEXT(Overig!D228),Overig!D228,10*Overig!D228),""",""????0;"",""???-0;"",""????0;"", ////"""),"'","""")&amp;SUBSTITUTE(TEXT(Overig!E228,""",""?00;"",""?-00;"",""?00;"", //"""),"'","""")&amp;SUBSTITUTE(TEXT(IF(ISTEXT(Overig!F228),Overig!F228,10*Overig!F228),""",""????0;"",""???-0;"",""????0;"", ////"""),"'","""")&amp;SUBSTITUTE(TEXT(Overig!G228,""",""?00;"",""?-00;"",""?00;"", //"""),"'","""")</f>
        <v>081, 19400316, 13.45, 7490, 00,  260, 00</v>
      </c>
    </row>
    <row r="229" spans="1:1" x14ac:dyDescent="0.25">
      <c r="A229" s="25" t="str">
        <f ca="1">TEXT(Overig!A229,"000\,")&amp;TEXT(Overig!B229,"?00000000")&amp;TEXT(Overig!C229,""", ""@")&amp;SUBSTITUTE(TEXT(IF(ISTEXT(Overig!D229),Overig!D229,10*Overig!D229),""",""????0;"",""???-0;"",""????0;"", ////"""),"'","""")&amp;SUBSTITUTE(TEXT(Overig!E229,""",""?00;"",""?-00;"",""?00;"", //"""),"'","""")&amp;SUBSTITUTE(TEXT(IF(ISTEXT(Overig!F229),Overig!F229,10*Overig!F229),""",""????0;"",""???-0;"",""????0;"", ////"""),"'","""")&amp;SUBSTITUTE(TEXT(Overig!G229,""",""?00;"",""?-00;"",""?00;"", //"""),"'","""")</f>
        <v>081, 19400316, 19.45, 7500, 00,  250, 00</v>
      </c>
    </row>
    <row r="230" spans="1:1" x14ac:dyDescent="0.25">
      <c r="A230" s="25" t="str">
        <f ca="1">TEXT(Overig!A230,"000\,")&amp;TEXT(Overig!B230,"?00000000")&amp;TEXT(Overig!C230,""", ""@")&amp;SUBSTITUTE(TEXT(IF(ISTEXT(Overig!D230),Overig!D230,10*Overig!D230),""",""????0;"",""???-0;"",""????0;"", ////"""),"'","""")&amp;SUBSTITUTE(TEXT(Overig!E230,""",""?00;"",""?-00;"",""?00;"", //"""),"'","""")&amp;SUBSTITUTE(TEXT(IF(ISTEXT(Overig!F230),Overig!F230,10*Overig!F230),""",""????0;"",""???-0;"",""????0;"", ////"""),"'","""")&amp;SUBSTITUTE(TEXT(Overig!G230,""",""?00;"",""?-00;"",""?00;"", //"""),"'","""")</f>
        <v>081, 19400317, 07.45, 7510, 00,  240, 00</v>
      </c>
    </row>
    <row r="231" spans="1:1" x14ac:dyDescent="0.25">
      <c r="A231" s="25" t="str">
        <f ca="1">TEXT(Overig!A231,"000\,")&amp;TEXT(Overig!B231,"?00000000")&amp;TEXT(Overig!C231,""", ""@")&amp;SUBSTITUTE(TEXT(IF(ISTEXT(Overig!D231),Overig!D231,10*Overig!D231),""",""????0;"",""???-0;"",""????0;"", ////"""),"'","""")&amp;SUBSTITUTE(TEXT(Overig!E231,""",""?00;"",""?-00;"",""?00;"", //"""),"'","""")&amp;SUBSTITUTE(TEXT(IF(ISTEXT(Overig!F231),Overig!F231,10*Overig!F231),""",""????0;"",""???-0;"",""????0;"", ////"""),"'","""")&amp;SUBSTITUTE(TEXT(Overig!G231,""",""?00;"",""?-00;"",""?00;"", //"""),"'","""")</f>
        <v>081, 19400317, 13.45, 7500, 00,  260, 00</v>
      </c>
    </row>
    <row r="232" spans="1:1" x14ac:dyDescent="0.25">
      <c r="A232" s="25" t="str">
        <f ca="1">TEXT(Overig!A232,"000\,")&amp;TEXT(Overig!B232,"?00000000")&amp;TEXT(Overig!C232,""", ""@")&amp;SUBSTITUTE(TEXT(IF(ISTEXT(Overig!D232),Overig!D232,10*Overig!D232),""",""????0;"",""???-0;"",""????0;"", ////"""),"'","""")&amp;SUBSTITUTE(TEXT(Overig!E232,""",""?00;"",""?-00;"",""?00;"", //"""),"'","""")&amp;SUBSTITUTE(TEXT(IF(ISTEXT(Overig!F232),Overig!F232,10*Overig!F232),""",""????0;"",""???-0;"",""????0;"", ////"""),"'","""")&amp;SUBSTITUTE(TEXT(Overig!G232,""",""?00;"",""?-00;"",""?00;"", //"""),"'","""")</f>
        <v>081, 19400317, 19.45, 7510, 00,  250, 00</v>
      </c>
    </row>
    <row r="233" spans="1:1" x14ac:dyDescent="0.25">
      <c r="A233" s="25" t="str">
        <f ca="1">TEXT(Overig!A233,"000\,")&amp;TEXT(Overig!B233,"?00000000")&amp;TEXT(Overig!C233,""", ""@")&amp;SUBSTITUTE(TEXT(IF(ISTEXT(Overig!D233),Overig!D233,10*Overig!D233),""",""????0;"",""???-0;"",""????0;"", ////"""),"'","""")&amp;SUBSTITUTE(TEXT(Overig!E233,""",""?00;"",""?-00;"",""?00;"", //"""),"'","""")&amp;SUBSTITUTE(TEXT(IF(ISTEXT(Overig!F233),Overig!F233,10*Overig!F233),""",""????0;"",""???-0;"",""????0;"", ////"""),"'","""")&amp;SUBSTITUTE(TEXT(Overig!G233,""",""?00;"",""?-00;"",""?00;"", //"""),"'","""")</f>
        <v>081, 19400318, 07.45, 7510, 00,  250, 00</v>
      </c>
    </row>
    <row r="234" spans="1:1" x14ac:dyDescent="0.25">
      <c r="A234" s="25" t="str">
        <f ca="1">TEXT(Overig!A234,"000\,")&amp;TEXT(Overig!B234,"?00000000")&amp;TEXT(Overig!C234,""", ""@")&amp;SUBSTITUTE(TEXT(IF(ISTEXT(Overig!D234),Overig!D234,10*Overig!D234),""",""????0;"",""???-0;"",""????0;"", ////"""),"'","""")&amp;SUBSTITUTE(TEXT(Overig!E234,""",""?00;"",""?-00;"",""?00;"", //"""),"'","""")&amp;SUBSTITUTE(TEXT(IF(ISTEXT(Overig!F234),Overig!F234,10*Overig!F234),""",""????0;"",""???-0;"",""????0;"", ////"""),"'","""")&amp;SUBSTITUTE(TEXT(Overig!G234,""",""?00;"",""?-00;"",""?00;"", //"""),"'","""")</f>
        <v>081, 19400318, 13.45, 7490, 00,  270, 00</v>
      </c>
    </row>
    <row r="235" spans="1:1" x14ac:dyDescent="0.25">
      <c r="A235" s="25" t="str">
        <f ca="1">TEXT(Overig!A235,"000\,")&amp;TEXT(Overig!B235,"?00000000")&amp;TEXT(Overig!C235,""", ""@")&amp;SUBSTITUTE(TEXT(IF(ISTEXT(Overig!D235),Overig!D235,10*Overig!D235),""",""????0;"",""???-0;"",""????0;"", ////"""),"'","""")&amp;SUBSTITUTE(TEXT(Overig!E235,""",""?00;"",""?-00;"",""?00;"", //"""),"'","""")&amp;SUBSTITUTE(TEXT(IF(ISTEXT(Overig!F235),Overig!F235,10*Overig!F235),""",""????0;"",""???-0;"",""????0;"", ////"""),"'","""")&amp;SUBSTITUTE(TEXT(Overig!G235,""",""?00;"",""?-00;"",""?00;"", //"""),"'","""")</f>
        <v>081, 19400318, 19.45, 7490, 00,  260, 00</v>
      </c>
    </row>
    <row r="236" spans="1:1" x14ac:dyDescent="0.25">
      <c r="A236" s="25" t="str">
        <f ca="1">TEXT(Overig!A236,"000\,")&amp;TEXT(Overig!B236,"?00000000")&amp;TEXT(Overig!C236,""", ""@")&amp;SUBSTITUTE(TEXT(IF(ISTEXT(Overig!D236),Overig!D236,10*Overig!D236),""",""????0;"",""???-0;"",""????0;"", ////"""),"'","""")&amp;SUBSTITUTE(TEXT(Overig!E236,""",""?00;"",""?-00;"",""?00;"", //"""),"'","""")&amp;SUBSTITUTE(TEXT(IF(ISTEXT(Overig!F236),Overig!F236,10*Overig!F236),""",""????0;"",""???-0;"",""????0;"", ////"""),"'","""")&amp;SUBSTITUTE(TEXT(Overig!G236,""",""?00;"",""?-00;"",""?00;"", //"""),"'","""")</f>
        <v>081, 19400319, 07.45, 7490, 00,  260, 00</v>
      </c>
    </row>
    <row r="237" spans="1:1" x14ac:dyDescent="0.25">
      <c r="A237" s="25" t="str">
        <f ca="1">TEXT(Overig!A237,"000\,")&amp;TEXT(Overig!B237,"?00000000")&amp;TEXT(Overig!C237,""", ""@")&amp;SUBSTITUTE(TEXT(IF(ISTEXT(Overig!D237),Overig!D237,10*Overig!D237),""",""????0;"",""???-0;"",""????0;"", ////"""),"'","""")&amp;SUBSTITUTE(TEXT(Overig!E237,""",""?00;"",""?-00;"",""?00;"", //"""),"'","""")&amp;SUBSTITUTE(TEXT(IF(ISTEXT(Overig!F237),Overig!F237,10*Overig!F237),""",""????0;"",""???-0;"",""????0;"", ////"""),"'","""")&amp;SUBSTITUTE(TEXT(Overig!G237,""",""?00;"",""?-00;"",""?00;"", //"""),"'","""")</f>
        <v>081, 19400319, 13.45, 7480, 00,  280, 00</v>
      </c>
    </row>
    <row r="238" spans="1:1" x14ac:dyDescent="0.25">
      <c r="A238" s="25" t="str">
        <f ca="1">TEXT(Overig!A238,"000\,")&amp;TEXT(Overig!B238,"?00000000")&amp;TEXT(Overig!C238,""", ""@")&amp;SUBSTITUTE(TEXT(IF(ISTEXT(Overig!D238),Overig!D238,10*Overig!D238),""",""????0;"",""???-0;"",""????0;"", ////"""),"'","""")&amp;SUBSTITUTE(TEXT(Overig!E238,""",""?00;"",""?-00;"",""?00;"", //"""),"'","""")&amp;SUBSTITUTE(TEXT(IF(ISTEXT(Overig!F238),Overig!F238,10*Overig!F238),""",""????0;"",""???-0;"",""????0;"", ////"""),"'","""")&amp;SUBSTITUTE(TEXT(Overig!G238,""",""?00;"",""?-00;"",""?00;"", //"""),"'","""")</f>
        <v>081, 19400319, 19.45, 7480, 00,  270, 00</v>
      </c>
    </row>
    <row r="239" spans="1:1" x14ac:dyDescent="0.25">
      <c r="A239" s="25" t="str">
        <f ca="1">TEXT(Overig!A239,"000\,")&amp;TEXT(Overig!B239,"?00000000")&amp;TEXT(Overig!C239,""", ""@")&amp;SUBSTITUTE(TEXT(IF(ISTEXT(Overig!D239),Overig!D239,10*Overig!D239),""",""????0;"",""???-0;"",""????0;"", ////"""),"'","""")&amp;SUBSTITUTE(TEXT(Overig!E239,""",""?00;"",""?-00;"",""?00;"", //"""),"'","""")&amp;SUBSTITUTE(TEXT(IF(ISTEXT(Overig!F239),Overig!F239,10*Overig!F239),""",""????0;"",""???-0;"",""????0;"", ////"""),"'","""")&amp;SUBSTITUTE(TEXT(Overig!G239,""",""?00;"",""?-00;"",""?00;"", //"""),"'","""")</f>
        <v>081, 19400320, 07.45, 7490, 00,  260, 00</v>
      </c>
    </row>
    <row r="240" spans="1:1" x14ac:dyDescent="0.25">
      <c r="A240" s="25" t="str">
        <f ca="1">TEXT(Overig!A240,"000\,")&amp;TEXT(Overig!B240,"?00000000")&amp;TEXT(Overig!C240,""", ""@")&amp;SUBSTITUTE(TEXT(IF(ISTEXT(Overig!D240),Overig!D240,10*Overig!D240),""",""????0;"",""???-0;"",""????0;"", ////"""),"'","""")&amp;SUBSTITUTE(TEXT(Overig!E240,""",""?00;"",""?-00;"",""?00;"", //"""),"'","""")&amp;SUBSTITUTE(TEXT(IF(ISTEXT(Overig!F240),Overig!F240,10*Overig!F240),""",""????0;"",""???-0;"",""????0;"", ////"""),"'","""")&amp;SUBSTITUTE(TEXT(Overig!G240,""",""?00;"",""?-00;"",""?00;"", //"""),"'","""")</f>
        <v>081, 19400320, 13.45, 7480, 00,  280, 00</v>
      </c>
    </row>
    <row r="241" spans="1:1" x14ac:dyDescent="0.25">
      <c r="A241" s="25" t="str">
        <f ca="1">TEXT(Overig!A241,"000\,")&amp;TEXT(Overig!B241,"?00000000")&amp;TEXT(Overig!C241,""", ""@")&amp;SUBSTITUTE(TEXT(IF(ISTEXT(Overig!D241),Overig!D241,10*Overig!D241),""",""????0;"",""???-0;"",""????0;"", ////"""),"'","""")&amp;SUBSTITUTE(TEXT(Overig!E241,""",""?00;"",""?-00;"",""?00;"", //"""),"'","""")&amp;SUBSTITUTE(TEXT(IF(ISTEXT(Overig!F241),Overig!F241,10*Overig!F241),""",""????0;"",""???-0;"",""????0;"", ////"""),"'","""")&amp;SUBSTITUTE(TEXT(Overig!G241,""",""?00;"",""?-00;"",""?00;"", //"""),"'","""")</f>
        <v>081, 19400320, 19.45, 7490, 00,  270, 00</v>
      </c>
    </row>
    <row r="242" spans="1:1" x14ac:dyDescent="0.25">
      <c r="A242" s="25" t="str">
        <f ca="1">TEXT(Overig!A242,"000\,")&amp;TEXT(Overig!B242,"?00000000")&amp;TEXT(Overig!C242,""", ""@")&amp;SUBSTITUTE(TEXT(IF(ISTEXT(Overig!D242),Overig!D242,10*Overig!D242),""",""????0;"",""???-0;"",""????0;"", ////"""),"'","""")&amp;SUBSTITUTE(TEXT(Overig!E242,""",""?00;"",""?-00;"",""?00;"", //"""),"'","""")&amp;SUBSTITUTE(TEXT(IF(ISTEXT(Overig!F242),Overig!F242,10*Overig!F242),""",""????0;"",""???-0;"",""????0;"", ////"""),"'","""")&amp;SUBSTITUTE(TEXT(Overig!G242,""",""?00;"",""?-00;"",""?00;"", //"""),"'","""")</f>
        <v>081, 19400321, 07.45, 7490, 00,  260, 00</v>
      </c>
    </row>
    <row r="243" spans="1:1" x14ac:dyDescent="0.25">
      <c r="A243" s="25" t="str">
        <f ca="1">TEXT(Overig!A243,"000\,")&amp;TEXT(Overig!B243,"?00000000")&amp;TEXT(Overig!C243,""", ""@")&amp;SUBSTITUTE(TEXT(IF(ISTEXT(Overig!D243),Overig!D243,10*Overig!D243),""",""????0;"",""???-0;"",""????0;"", ////"""),"'","""")&amp;SUBSTITUTE(TEXT(Overig!E243,""",""?00;"",""?-00;"",""?00;"", //"""),"'","""")&amp;SUBSTITUTE(TEXT(IF(ISTEXT(Overig!F243),Overig!F243,10*Overig!F243),""",""????0;"",""???-0;"",""????0;"", ////"""),"'","""")&amp;SUBSTITUTE(TEXT(Overig!G243,""",""?00;"",""?-00;"",""?00;"", //"""),"'","""")</f>
        <v>081, 19400321, 13.45, 7490, 00,  290, 00</v>
      </c>
    </row>
    <row r="244" spans="1:1" x14ac:dyDescent="0.25">
      <c r="A244" s="25" t="str">
        <f ca="1">TEXT(Overig!A244,"000\,")&amp;TEXT(Overig!B244,"?00000000")&amp;TEXT(Overig!C244,""", ""@")&amp;SUBSTITUTE(TEXT(IF(ISTEXT(Overig!D244),Overig!D244,10*Overig!D244),""",""????0;"",""???-0;"",""????0;"", ////"""),"'","""")&amp;SUBSTITUTE(TEXT(Overig!E244,""",""?00;"",""?-00;"",""?00;"", //"""),"'","""")&amp;SUBSTITUTE(TEXT(IF(ISTEXT(Overig!F244),Overig!F244,10*Overig!F244),""",""????0;"",""???-0;"",""????0;"", ////"""),"'","""")&amp;SUBSTITUTE(TEXT(Overig!G244,""",""?00;"",""?-00;"",""?00;"", //"""),"'","""")</f>
        <v>081, 19400321, 19.45, 7490, 00,  280, 00</v>
      </c>
    </row>
    <row r="245" spans="1:1" x14ac:dyDescent="0.25">
      <c r="A245" s="25" t="str">
        <f ca="1">TEXT(Overig!A245,"000\,")&amp;TEXT(Overig!B245,"?00000000")&amp;TEXT(Overig!C245,""", ""@")&amp;SUBSTITUTE(TEXT(IF(ISTEXT(Overig!D245),Overig!D245,10*Overig!D245),""",""????0;"",""???-0;"",""????0;"", ////"""),"'","""")&amp;SUBSTITUTE(TEXT(Overig!E245,""",""?00;"",""?-00;"",""?00;"", //"""),"'","""")&amp;SUBSTITUTE(TEXT(IF(ISTEXT(Overig!F245),Overig!F245,10*Overig!F245),""",""????0;"",""???-0;"",""????0;"", ////"""),"'","""")&amp;SUBSTITUTE(TEXT(Overig!G245,""",""?00;"",""?-00;"",""?00;"", //"""),"'","""")</f>
        <v>081, 19400322, 07.45, 7490, 00,  260, 00</v>
      </c>
    </row>
    <row r="246" spans="1:1" x14ac:dyDescent="0.25">
      <c r="A246" s="25" t="str">
        <f ca="1">TEXT(Overig!A246,"000\,")&amp;TEXT(Overig!B246,"?00000000")&amp;TEXT(Overig!C246,""", ""@")&amp;SUBSTITUTE(TEXT(IF(ISTEXT(Overig!D246),Overig!D246,10*Overig!D246),""",""????0;"",""???-0;"",""????0;"", ////"""),"'","""")&amp;SUBSTITUTE(TEXT(Overig!E246,""",""?00;"",""?-00;"",""?00;"", //"""),"'","""")&amp;SUBSTITUTE(TEXT(IF(ISTEXT(Overig!F246),Overig!F246,10*Overig!F246),""",""????0;"",""???-0;"",""????0;"", ////"""),"'","""")&amp;SUBSTITUTE(TEXT(Overig!G246,""",""?00;"",""?-00;"",""?00;"", //"""),"'","""")</f>
        <v>081, 19400322, 13.45, 7480, 00,  280, 00</v>
      </c>
    </row>
    <row r="247" spans="1:1" x14ac:dyDescent="0.25">
      <c r="A247" s="25" t="str">
        <f ca="1">TEXT(Overig!A247,"000\,")&amp;TEXT(Overig!B247,"?00000000")&amp;TEXT(Overig!C247,""", ""@")&amp;SUBSTITUTE(TEXT(IF(ISTEXT(Overig!D247),Overig!D247,10*Overig!D247),""",""????0;"",""???-0;"",""????0;"", ////"""),"'","""")&amp;SUBSTITUTE(TEXT(Overig!E247,""",""?00;"",""?-00;"",""?00;"", //"""),"'","""")&amp;SUBSTITUTE(TEXT(IF(ISTEXT(Overig!F247),Overig!F247,10*Overig!F247),""",""????0;"",""???-0;"",""????0;"", ////"""),"'","""")&amp;SUBSTITUTE(TEXT(Overig!G247,""",""?00;"",""?-00;"",""?00;"", //"""),"'","""")</f>
        <v>081, 19400322, 19.45, 7480, 00,  260, 00</v>
      </c>
    </row>
    <row r="248" spans="1:1" x14ac:dyDescent="0.25">
      <c r="A248" s="25" t="str">
        <f ca="1">TEXT(Overig!A248,"000\,")&amp;TEXT(Overig!B248,"?00000000")&amp;TEXT(Overig!C248,""", ""@")&amp;SUBSTITUTE(TEXT(IF(ISTEXT(Overig!D248),Overig!D248,10*Overig!D248),""",""????0;"",""???-0;"",""????0;"", ////"""),"'","""")&amp;SUBSTITUTE(TEXT(Overig!E248,""",""?00;"",""?-00;"",""?00;"", //"""),"'","""")&amp;SUBSTITUTE(TEXT(IF(ISTEXT(Overig!F248),Overig!F248,10*Overig!F248),""",""????0;"",""???-0;"",""????0;"", ////"""),"'","""")&amp;SUBSTITUTE(TEXT(Overig!G248,""",""?00;"",""?-00;"",""?00;"", //"""),"'","""")</f>
        <v>081, 19400323, 07.45, 7480, 00,  260, 00</v>
      </c>
    </row>
    <row r="249" spans="1:1" x14ac:dyDescent="0.25">
      <c r="A249" s="25" t="str">
        <f ca="1">TEXT(Overig!A249,"000\,")&amp;TEXT(Overig!B249,"?00000000")&amp;TEXT(Overig!C249,""", ""@")&amp;SUBSTITUTE(TEXT(IF(ISTEXT(Overig!D249),Overig!D249,10*Overig!D249),""",""????0;"",""???-0;"",""????0;"", ////"""),"'","""")&amp;SUBSTITUTE(TEXT(Overig!E249,""",""?00;"",""?-00;"",""?00;"", //"""),"'","""")&amp;SUBSTITUTE(TEXT(IF(ISTEXT(Overig!F249),Overig!F249,10*Overig!F249),""",""????0;"",""???-0;"",""????0;"", ////"""),"'","""")&amp;SUBSTITUTE(TEXT(Overig!G249,""",""?00;"",""?-00;"",""?00;"", //"""),"'","""")</f>
        <v>081, 19400323, 13.45, 7480, 00,  290, 00</v>
      </c>
    </row>
    <row r="250" spans="1:1" x14ac:dyDescent="0.25">
      <c r="A250" s="25" t="str">
        <f ca="1">TEXT(Overig!A250,"000\,")&amp;TEXT(Overig!B250,"?00000000")&amp;TEXT(Overig!C250,""", ""@")&amp;SUBSTITUTE(TEXT(IF(ISTEXT(Overig!D250),Overig!D250,10*Overig!D250),""",""????0;"",""???-0;"",""????0;"", ////"""),"'","""")&amp;SUBSTITUTE(TEXT(Overig!E250,""",""?00;"",""?-00;"",""?00;"", //"""),"'","""")&amp;SUBSTITUTE(TEXT(IF(ISTEXT(Overig!F250),Overig!F250,10*Overig!F250),""",""????0;"",""???-0;"",""????0;"", ////"""),"'","""")&amp;SUBSTITUTE(TEXT(Overig!G250,""",""?00;"",""?-00;"",""?00;"", //"""),"'","""")</f>
        <v>081, 19400323, 19.45, 7480, 00,  280, 00</v>
      </c>
    </row>
    <row r="251" spans="1:1" x14ac:dyDescent="0.25">
      <c r="A251" s="25" t="str">
        <f ca="1">TEXT(Overig!A251,"000\,")&amp;TEXT(Overig!B251,"?00000000")&amp;TEXT(Overig!C251,""", ""@")&amp;SUBSTITUTE(TEXT(IF(ISTEXT(Overig!D251),Overig!D251,10*Overig!D251),""",""????0;"",""???-0;"",""????0;"", ////"""),"'","""")&amp;SUBSTITUTE(TEXT(Overig!E251,""",""?00;"",""?-00;"",""?00;"", //"""),"'","""")&amp;SUBSTITUTE(TEXT(IF(ISTEXT(Overig!F251),Overig!F251,10*Overig!F251),""",""????0;"",""???-0;"",""????0;"", ////"""),"'","""")&amp;SUBSTITUTE(TEXT(Overig!G251,""",""?00;"",""?-00;"",""?00;"", //"""),"'","""")</f>
        <v>081, 19400324, 07.45, 7490, 00,  260, 00</v>
      </c>
    </row>
    <row r="252" spans="1:1" x14ac:dyDescent="0.25">
      <c r="A252" s="25" t="str">
        <f ca="1">TEXT(Overig!A252,"000\,")&amp;TEXT(Overig!B252,"?00000000")&amp;TEXT(Overig!C252,""", ""@")&amp;SUBSTITUTE(TEXT(IF(ISTEXT(Overig!D252),Overig!D252,10*Overig!D252),""",""????0;"",""???-0;"",""????0;"", ////"""),"'","""")&amp;SUBSTITUTE(TEXT(Overig!E252,""",""?00;"",""?-00;"",""?00;"", //"""),"'","""")&amp;SUBSTITUTE(TEXT(IF(ISTEXT(Overig!F252),Overig!F252,10*Overig!F252),""",""????0;"",""???-0;"",""????0;"", ////"""),"'","""")&amp;SUBSTITUTE(TEXT(Overig!G252,""",""?00;"",""?-00;"",""?00;"", //"""),"'","""")</f>
        <v>081, 19400324, 13.45, 7490, 00,  290, 00</v>
      </c>
    </row>
    <row r="253" spans="1:1" x14ac:dyDescent="0.25">
      <c r="A253" s="25" t="str">
        <f ca="1">TEXT(Overig!A253,"000\,")&amp;TEXT(Overig!B253,"?00000000")&amp;TEXT(Overig!C253,""", ""@")&amp;SUBSTITUTE(TEXT(IF(ISTEXT(Overig!D253),Overig!D253,10*Overig!D253),""",""????0;"",""???-0;"",""????0;"", ////"""),"'","""")&amp;SUBSTITUTE(TEXT(Overig!E253,""",""?00;"",""?-00;"",""?00;"", //"""),"'","""")&amp;SUBSTITUTE(TEXT(IF(ISTEXT(Overig!F253),Overig!F253,10*Overig!F253),""",""????0;"",""???-0;"",""????0;"", ////"""),"'","""")&amp;SUBSTITUTE(TEXT(Overig!G253,""",""?00;"",""?-00;"",""?00;"", //"""),"'","""")</f>
        <v>081, 19400324, 19.45, 7480, 00,  280, 00</v>
      </c>
    </row>
    <row r="254" spans="1:1" x14ac:dyDescent="0.25">
      <c r="A254" s="25" t="str">
        <f ca="1">TEXT(Overig!A254,"000\,")&amp;TEXT(Overig!B254,"?00000000")&amp;TEXT(Overig!C254,""", ""@")&amp;SUBSTITUTE(TEXT(IF(ISTEXT(Overig!D254),Overig!D254,10*Overig!D254),""",""????0;"",""???-0;"",""????0;"", ////"""),"'","""")&amp;SUBSTITUTE(TEXT(Overig!E254,""",""?00;"",""?-00;"",""?00;"", //"""),"'","""")&amp;SUBSTITUTE(TEXT(IF(ISTEXT(Overig!F254),Overig!F254,10*Overig!F254),""",""????0;"",""???-0;"",""????0;"", ////"""),"'","""")&amp;SUBSTITUTE(TEXT(Overig!G254,""",""?00;"",""?-00;"",""?00;"", //"""),"'","""")</f>
        <v>081, 19400325, 07.45, 7490, 00,  260, 00</v>
      </c>
    </row>
    <row r="255" spans="1:1" x14ac:dyDescent="0.25">
      <c r="A255" s="25" t="str">
        <f ca="1">TEXT(Overig!A255,"000\,")&amp;TEXT(Overig!B255,"?00000000")&amp;TEXT(Overig!C255,""", ""@")&amp;SUBSTITUTE(TEXT(IF(ISTEXT(Overig!D255),Overig!D255,10*Overig!D255),""",""????0;"",""???-0;"",""????0;"", ////"""),"'","""")&amp;SUBSTITUTE(TEXT(Overig!E255,""",""?00;"",""?-00;"",""?00;"", //"""),"'","""")&amp;SUBSTITUTE(TEXT(IF(ISTEXT(Overig!F255),Overig!F255,10*Overig!F255),""",""????0;"",""???-0;"",""????0;"", ////"""),"'","""")&amp;SUBSTITUTE(TEXT(Overig!G255,""",""?00;"",""?-00;"",""?00;"", //"""),"'","""")</f>
        <v>081, 19400325, 13.45, 7490, 00,  290, 00</v>
      </c>
    </row>
    <row r="256" spans="1:1" x14ac:dyDescent="0.25">
      <c r="A256" s="25" t="str">
        <f ca="1">TEXT(Overig!A256,"000\,")&amp;TEXT(Overig!B256,"?00000000")&amp;TEXT(Overig!C256,""", ""@")&amp;SUBSTITUTE(TEXT(IF(ISTEXT(Overig!D256),Overig!D256,10*Overig!D256),""",""????0;"",""???-0;"",""????0;"", ////"""),"'","""")&amp;SUBSTITUTE(TEXT(Overig!E256,""",""?00;"",""?-00;"",""?00;"", //"""),"'","""")&amp;SUBSTITUTE(TEXT(IF(ISTEXT(Overig!F256),Overig!F256,10*Overig!F256),""",""????0;"",""???-0;"",""????0;"", ////"""),"'","""")&amp;SUBSTITUTE(TEXT(Overig!G256,""",""?00;"",""?-00;"",""?00;"", //"""),"'","""")</f>
        <v>081, 19400325, 19.45, 7490, 00,  280, 00</v>
      </c>
    </row>
    <row r="257" spans="1:1" x14ac:dyDescent="0.25">
      <c r="A257" s="25" t="str">
        <f ca="1">TEXT(Overig!A257,"000\,")&amp;TEXT(Overig!B257,"?00000000")&amp;TEXT(Overig!C257,""", ""@")&amp;SUBSTITUTE(TEXT(IF(ISTEXT(Overig!D257),Overig!D257,10*Overig!D257),""",""????0;"",""???-0;"",""????0;"", ////"""),"'","""")&amp;SUBSTITUTE(TEXT(Overig!E257,""",""?00;"",""?-00;"",""?00;"", //"""),"'","""")&amp;SUBSTITUTE(TEXT(IF(ISTEXT(Overig!F257),Overig!F257,10*Overig!F257),""",""????0;"",""???-0;"",""????0;"", ////"""),"'","""")&amp;SUBSTITUTE(TEXT(Overig!G257,""",""?00;"",""?-00;"",""?00;"", //"""),"'","""")</f>
        <v>081, 19400326, 07.45, 7490, 00,  260, 00</v>
      </c>
    </row>
    <row r="258" spans="1:1" x14ac:dyDescent="0.25">
      <c r="A258" s="25" t="str">
        <f ca="1">TEXT(Overig!A258,"000\,")&amp;TEXT(Overig!B258,"?00000000")&amp;TEXT(Overig!C258,""", ""@")&amp;SUBSTITUTE(TEXT(IF(ISTEXT(Overig!D258),Overig!D258,10*Overig!D258),""",""????0;"",""???-0;"",""????0;"", ////"""),"'","""")&amp;SUBSTITUTE(TEXT(Overig!E258,""",""?00;"",""?-00;"",""?00;"", //"""),"'","""")&amp;SUBSTITUTE(TEXT(IF(ISTEXT(Overig!F258),Overig!F258,10*Overig!F258),""",""????0;"",""???-0;"",""????0;"", ////"""),"'","""")&amp;SUBSTITUTE(TEXT(Overig!G258,""",""?00;"",""?-00;"",""?00;"", //"""),"'","""")</f>
        <v>081, 19400326, 13.45, 7500, 00,  290, 00</v>
      </c>
    </row>
    <row r="259" spans="1:1" x14ac:dyDescent="0.25">
      <c r="A259" s="25" t="str">
        <f ca="1">TEXT(Overig!A259,"000\,")&amp;TEXT(Overig!B259,"?00000000")&amp;TEXT(Overig!C259,""", ""@")&amp;SUBSTITUTE(TEXT(IF(ISTEXT(Overig!D259),Overig!D259,10*Overig!D259),""",""????0;"",""???-0;"",""????0;"", ////"""),"'","""")&amp;SUBSTITUTE(TEXT(Overig!E259,""",""?00;"",""?-00;"",""?00;"", //"""),"'","""")&amp;SUBSTITUTE(TEXT(IF(ISTEXT(Overig!F259),Overig!F259,10*Overig!F259),""",""????0;"",""???-0;"",""????0;"", ////"""),"'","""")&amp;SUBSTITUTE(TEXT(Overig!G259,""",""?00;"",""?-00;"",""?00;"", //"""),"'","""")</f>
        <v>081, 19400326, 19.45, 7500, 00,  270, 00</v>
      </c>
    </row>
    <row r="260" spans="1:1" x14ac:dyDescent="0.25">
      <c r="A260" s="25" t="str">
        <f ca="1">TEXT(Overig!A260,"000\,")&amp;TEXT(Overig!B260,"?00000000")&amp;TEXT(Overig!C260,""", ""@")&amp;SUBSTITUTE(TEXT(IF(ISTEXT(Overig!D260),Overig!D260,10*Overig!D260),""",""????0;"",""???-0;"",""????0;"", ////"""),"'","""")&amp;SUBSTITUTE(TEXT(Overig!E260,""",""?00;"",""?-00;"",""?00;"", //"""),"'","""")&amp;SUBSTITUTE(TEXT(IF(ISTEXT(Overig!F260),Overig!F260,10*Overig!F260),""",""????0;"",""???-0;"",""????0;"", ////"""),"'","""")&amp;SUBSTITUTE(TEXT(Overig!G260,""",""?00;"",""?-00;"",""?00;"", //"""),"'","""")</f>
        <v>081, 19400327, 07.45, 7510, 00,  250, 00</v>
      </c>
    </row>
    <row r="261" spans="1:1" x14ac:dyDescent="0.25">
      <c r="A261" s="25" t="str">
        <f ca="1">TEXT(Overig!A261,"000\,")&amp;TEXT(Overig!B261,"?00000000")&amp;TEXT(Overig!C261,""", ""@")&amp;SUBSTITUTE(TEXT(IF(ISTEXT(Overig!D261),Overig!D261,10*Overig!D261),""",""????0;"",""???-0;"",""????0;"", ////"""),"'","""")&amp;SUBSTITUTE(TEXT(Overig!E261,""",""?00;"",""?-00;"",""?00;"", //"""),"'","""")&amp;SUBSTITUTE(TEXT(IF(ISTEXT(Overig!F261),Overig!F261,10*Overig!F261),""",""????0;"",""???-0;"",""????0;"", ////"""),"'","""")&amp;SUBSTITUTE(TEXT(Overig!G261,""",""?00;"",""?-00;"",""?00;"", //"""),"'","""")</f>
        <v>081, 19400327, 13.45, 7500, 00,  280, 00</v>
      </c>
    </row>
    <row r="262" spans="1:1" x14ac:dyDescent="0.25">
      <c r="A262" s="25" t="str">
        <f ca="1">TEXT(Overig!A262,"000\,")&amp;TEXT(Overig!B262,"?00000000")&amp;TEXT(Overig!C262,""", ""@")&amp;SUBSTITUTE(TEXT(IF(ISTEXT(Overig!D262),Overig!D262,10*Overig!D262),""",""????0;"",""???-0;"",""????0;"", ////"""),"'","""")&amp;SUBSTITUTE(TEXT(Overig!E262,""",""?00;"",""?-00;"",""?00;"", //"""),"'","""")&amp;SUBSTITUTE(TEXT(IF(ISTEXT(Overig!F262),Overig!F262,10*Overig!F262),""",""????0;"",""???-0;"",""????0;"", ////"""),"'","""")&amp;SUBSTITUTE(TEXT(Overig!G262,""",""?00;"",""?-00;"",""?00;"", //"""),"'","""")</f>
        <v>081, 19400327, 19.45, 7500, 00,  270, 00</v>
      </c>
    </row>
    <row r="263" spans="1:1" x14ac:dyDescent="0.25">
      <c r="A263" s="25" t="str">
        <f ca="1">TEXT(Overig!A263,"000\,")&amp;TEXT(Overig!B263,"?00000000")&amp;TEXT(Overig!C263,""", ""@")&amp;SUBSTITUTE(TEXT(IF(ISTEXT(Overig!D263),Overig!D263,10*Overig!D263),""",""????0;"",""???-0;"",""????0;"", ////"""),"'","""")&amp;SUBSTITUTE(TEXT(Overig!E263,""",""?00;"",""?-00;"",""?00;"", //"""),"'","""")&amp;SUBSTITUTE(TEXT(IF(ISTEXT(Overig!F263),Overig!F263,10*Overig!F263),""",""????0;"",""???-0;"",""????0;"", ////"""),"'","""")&amp;SUBSTITUTE(TEXT(Overig!G263,""",""?00;"",""?-00;"",""?00;"", //"""),"'","""")</f>
        <v>081, 19400328, 07.45, 7510, 00,  260, 00</v>
      </c>
    </row>
    <row r="264" spans="1:1" x14ac:dyDescent="0.25">
      <c r="A264" s="25" t="str">
        <f ca="1">TEXT(Overig!A264,"000\,")&amp;TEXT(Overig!B264,"?00000000")&amp;TEXT(Overig!C264,""", ""@")&amp;SUBSTITUTE(TEXT(IF(ISTEXT(Overig!D264),Overig!D264,10*Overig!D264),""",""????0;"",""???-0;"",""????0;"", ////"""),"'","""")&amp;SUBSTITUTE(TEXT(Overig!E264,""",""?00;"",""?-00;"",""?00;"", //"""),"'","""")&amp;SUBSTITUTE(TEXT(IF(ISTEXT(Overig!F264),Overig!F264,10*Overig!F264),""",""????0;"",""???-0;"",""????0;"", ////"""),"'","""")&amp;SUBSTITUTE(TEXT(Overig!G264,""",""?00;"",""?-00;"",""?00;"", //"""),"'","""")</f>
        <v>081, 19400328, 13.45, 7500, 00,  290, 00</v>
      </c>
    </row>
    <row r="265" spans="1:1" x14ac:dyDescent="0.25">
      <c r="A265" s="25" t="str">
        <f ca="1">TEXT(Overig!A265,"000\,")&amp;TEXT(Overig!B265,"?00000000")&amp;TEXT(Overig!C265,""", ""@")&amp;SUBSTITUTE(TEXT(IF(ISTEXT(Overig!D265),Overig!D265,10*Overig!D265),""",""????0;"",""???-0;"",""????0;"", ////"""),"'","""")&amp;SUBSTITUTE(TEXT(Overig!E265,""",""?00;"",""?-00;"",""?00;"", //"""),"'","""")&amp;SUBSTITUTE(TEXT(IF(ISTEXT(Overig!F265),Overig!F265,10*Overig!F265),""",""????0;"",""???-0;"",""????0;"", ////"""),"'","""")&amp;SUBSTITUTE(TEXT(Overig!G265,""",""?00;"",""?-00;"",""?00;"", //"""),"'","""")</f>
        <v>081, 19400328, 19.45, 7500, 00,  270, 00</v>
      </c>
    </row>
    <row r="266" spans="1:1" x14ac:dyDescent="0.25">
      <c r="A266" s="25" t="str">
        <f ca="1">TEXT(Overig!A266,"000\,")&amp;TEXT(Overig!B266,"?00000000")&amp;TEXT(Overig!C266,""", ""@")&amp;SUBSTITUTE(TEXT(IF(ISTEXT(Overig!D266),Overig!D266,10*Overig!D266),""",""????0;"",""???-0;"",""????0;"", ////"""),"'","""")&amp;SUBSTITUTE(TEXT(Overig!E266,""",""?00;"",""?-00;"",""?00;"", //"""),"'","""")&amp;SUBSTITUTE(TEXT(IF(ISTEXT(Overig!F266),Overig!F266,10*Overig!F266),""",""????0;"",""???-0;"",""????0;"", ////"""),"'","""")&amp;SUBSTITUTE(TEXT(Overig!G266,""",""?00;"",""?-00;"",""?00;"", //"""),"'","""")</f>
        <v>081, 19400329, 07.45, 7500, 00,  260, 00</v>
      </c>
    </row>
    <row r="267" spans="1:1" x14ac:dyDescent="0.25">
      <c r="A267" s="25" t="str">
        <f ca="1">TEXT(Overig!A267,"000\,")&amp;TEXT(Overig!B267,"?00000000")&amp;TEXT(Overig!C267,""", ""@")&amp;SUBSTITUTE(TEXT(IF(ISTEXT(Overig!D267),Overig!D267,10*Overig!D267),""",""????0;"",""???-0;"",""????0;"", ////"""),"'","""")&amp;SUBSTITUTE(TEXT(Overig!E267,""",""?00;"",""?-00;"",""?00;"", //"""),"'","""")&amp;SUBSTITUTE(TEXT(IF(ISTEXT(Overig!F267),Overig!F267,10*Overig!F267),""",""????0;"",""???-0;"",""????0;"", ////"""),"'","""")&amp;SUBSTITUTE(TEXT(Overig!G267,""",""?00;"",""?-00;"",""?00;"", //"""),"'","""")</f>
        <v>081, 19400329, 13.45, 7500, 00,  290, 00</v>
      </c>
    </row>
    <row r="268" spans="1:1" x14ac:dyDescent="0.25">
      <c r="A268" s="25" t="str">
        <f ca="1">TEXT(Overig!A268,"000\,")&amp;TEXT(Overig!B268,"?00000000")&amp;TEXT(Overig!C268,""", ""@")&amp;SUBSTITUTE(TEXT(IF(ISTEXT(Overig!D268),Overig!D268,10*Overig!D268),""",""????0;"",""???-0;"",""????0;"", ////"""),"'","""")&amp;SUBSTITUTE(TEXT(Overig!E268,""",""?00;"",""?-00;"",""?00;"", //"""),"'","""")&amp;SUBSTITUTE(TEXT(IF(ISTEXT(Overig!F268),Overig!F268,10*Overig!F268),""",""????0;"",""???-0;"",""????0;"", ////"""),"'","""")&amp;SUBSTITUTE(TEXT(Overig!G268,""",""?00;"",""?-00;"",""?00;"", //"""),"'","""")</f>
        <v>081, 19400329, 19.45, 7500, 00,  270, 00</v>
      </c>
    </row>
    <row r="269" spans="1:1" x14ac:dyDescent="0.25">
      <c r="A269" s="25" t="str">
        <f ca="1">TEXT(Overig!A269,"000\,")&amp;TEXT(Overig!B269,"?00000000")&amp;TEXT(Overig!C269,""", ""@")&amp;SUBSTITUTE(TEXT(IF(ISTEXT(Overig!D269),Overig!D269,10*Overig!D269),""",""????0;"",""???-0;"",""????0;"", ////"""),"'","""")&amp;SUBSTITUTE(TEXT(Overig!E269,""",""?00;"",""?-00;"",""?00;"", //"""),"'","""")&amp;SUBSTITUTE(TEXT(IF(ISTEXT(Overig!F269),Overig!F269,10*Overig!F269),""",""????0;"",""???-0;"",""????0;"", ////"""),"'","""")&amp;SUBSTITUTE(TEXT(Overig!G269,""",""?00;"",""?-00;"",""?00;"", //"""),"'","""")</f>
        <v>081, 19400330, 07.45, 7500, 00,  260, 00</v>
      </c>
    </row>
    <row r="270" spans="1:1" x14ac:dyDescent="0.25">
      <c r="A270" s="25" t="str">
        <f ca="1">TEXT(Overig!A270,"000\,")&amp;TEXT(Overig!B270,"?00000000")&amp;TEXT(Overig!C270,""", ""@")&amp;SUBSTITUTE(TEXT(IF(ISTEXT(Overig!D270),Overig!D270,10*Overig!D270),""",""????0;"",""???-0;"",""????0;"", ////"""),"'","""")&amp;SUBSTITUTE(TEXT(Overig!E270,""",""?00;"",""?-00;"",""?00;"", //"""),"'","""")&amp;SUBSTITUTE(TEXT(IF(ISTEXT(Overig!F270),Overig!F270,10*Overig!F270),""",""????0;"",""???-0;"",""????0;"", ////"""),"'","""")&amp;SUBSTITUTE(TEXT(Overig!G270,""",""?00;"",""?-00;"",""?00;"", //"""),"'","""")</f>
        <v>081, 19400330, 13.45, 7500, 00,  290, 00</v>
      </c>
    </row>
    <row r="271" spans="1:1" x14ac:dyDescent="0.25">
      <c r="A271" s="25" t="str">
        <f ca="1">TEXT(Overig!A271,"000\,")&amp;TEXT(Overig!B271,"?00000000")&amp;TEXT(Overig!C271,""", ""@")&amp;SUBSTITUTE(TEXT(IF(ISTEXT(Overig!D271),Overig!D271,10*Overig!D271),""",""????0;"",""???-0;"",""????0;"", ////"""),"'","""")&amp;SUBSTITUTE(TEXT(Overig!E271,""",""?00;"",""?-00;"",""?00;"", //"""),"'","""")&amp;SUBSTITUTE(TEXT(IF(ISTEXT(Overig!F271),Overig!F271,10*Overig!F271),""",""????0;"",""???-0;"",""????0;"", ////"""),"'","""")&amp;SUBSTITUTE(TEXT(Overig!G271,""",""?00;"",""?-00;"",""?00;"", //"""),"'","""")</f>
        <v>081, 19400330, 19.45, 7500, 00,  260, 00</v>
      </c>
    </row>
    <row r="272" spans="1:1" x14ac:dyDescent="0.25">
      <c r="A272" s="25" t="str">
        <f ca="1">TEXT(Overig!A272,"000\,")&amp;TEXT(Overig!B272,"?00000000")&amp;TEXT(Overig!C272,""", ""@")&amp;SUBSTITUTE(TEXT(IF(ISTEXT(Overig!D272),Overig!D272,10*Overig!D272),""",""????0;"",""???-0;"",""????0;"", ////"""),"'","""")&amp;SUBSTITUTE(TEXT(Overig!E272,""",""?00;"",""?-00;"",""?00;"", //"""),"'","""")&amp;SUBSTITUTE(TEXT(IF(ISTEXT(Overig!F272),Overig!F272,10*Overig!F272),""",""????0;"",""???-0;"",""????0;"", ////"""),"'","""")&amp;SUBSTITUTE(TEXT(Overig!G272,""",""?00;"",""?-00;"",""?00;"", //"""),"'","""")</f>
        <v>081, 19400331, 07.45, 7500, 00,  260, 00</v>
      </c>
    </row>
    <row r="273" spans="1:1" x14ac:dyDescent="0.25">
      <c r="A273" s="25" t="str">
        <f ca="1">TEXT(Overig!A273,"000\,")&amp;TEXT(Overig!B273,"?00000000")&amp;TEXT(Overig!C273,""", ""@")&amp;SUBSTITUTE(TEXT(IF(ISTEXT(Overig!D273),Overig!D273,10*Overig!D273),""",""????0;"",""???-0;"",""????0;"", ////"""),"'","""")&amp;SUBSTITUTE(TEXT(Overig!E273,""",""?00;"",""?-00;"",""?00;"", //"""),"'","""")&amp;SUBSTITUTE(TEXT(IF(ISTEXT(Overig!F273),Overig!F273,10*Overig!F273),""",""????0;"",""???-0;"",""????0;"", ////"""),"'","""")&amp;SUBSTITUTE(TEXT(Overig!G273,""",""?00;"",""?-00;"",""?00;"", //"""),"'","""")</f>
        <v>081, 19400331, 13.45, 7510, 00,  280, 00</v>
      </c>
    </row>
    <row r="274" spans="1:1" x14ac:dyDescent="0.25">
      <c r="A274" s="25" t="str">
        <f ca="1">TEXT(Overig!A274,"000\,")&amp;TEXT(Overig!B274,"?00000000")&amp;TEXT(Overig!C274,""", ""@")&amp;SUBSTITUTE(TEXT(IF(ISTEXT(Overig!D274),Overig!D274,10*Overig!D274),""",""????0;"",""???-0;"",""????0;"", ////"""),"'","""")&amp;SUBSTITUTE(TEXT(Overig!E274,""",""?00;"",""?-00;"",""?00;"", //"""),"'","""")&amp;SUBSTITUTE(TEXT(IF(ISTEXT(Overig!F274),Overig!F274,10*Overig!F274),""",""????0;"",""???-0;"",""????0;"", ////"""),"'","""")&amp;SUBSTITUTE(TEXT(Overig!G274,""",""?00;"",""?-00;"",""?00;"", //"""),"'","""")</f>
        <v>081, 19400331, 19.45, 7500, 00,  260, 00</v>
      </c>
    </row>
    <row r="275" spans="1:1" x14ac:dyDescent="0.25">
      <c r="A275" s="25" t="str">
        <f ca="1">TEXT(Overig!A275,"000\,")&amp;TEXT(Overig!B275,"?00000000")&amp;TEXT(Overig!C275,""", ""@")&amp;SUBSTITUTE(TEXT(IF(ISTEXT(Overig!D275),Overig!D275,10*Overig!D275),""",""????0;"",""???-0;"",""????0;"", ////"""),"'","""")&amp;SUBSTITUTE(TEXT(Overig!E275,""",""?00;"",""?-00;"",""?00;"", //"""),"'","""")&amp;SUBSTITUTE(TEXT(IF(ISTEXT(Overig!F275),Overig!F275,10*Overig!F275),""",""????0;"",""???-0;"",""????0;"", ////"""),"'","""")&amp;SUBSTITUTE(TEXT(Overig!G275,""",""?00;"",""?-00;"",""?00;"", //"""),"'","""")</f>
        <v>081, 19400401, 07.45, 7500, 00,  260, 00</v>
      </c>
    </row>
    <row r="276" spans="1:1" x14ac:dyDescent="0.25">
      <c r="A276" s="25" t="str">
        <f ca="1">TEXT(Overig!A276,"000\,")&amp;TEXT(Overig!B276,"?00000000")&amp;TEXT(Overig!C276,""", ""@")&amp;SUBSTITUTE(TEXT(IF(ISTEXT(Overig!D276),Overig!D276,10*Overig!D276),""",""????0;"",""???-0;"",""????0;"", ////"""),"'","""")&amp;SUBSTITUTE(TEXT(Overig!E276,""",""?00;"",""?-00;"",""?00;"", //"""),"'","""")&amp;SUBSTITUTE(TEXT(IF(ISTEXT(Overig!F276),Overig!F276,10*Overig!F276),""",""????0;"",""???-0;"",""????0;"", ////"""),"'","""")&amp;SUBSTITUTE(TEXT(Overig!G276,""",""?00;"",""?-00;"",""?00;"", //"""),"'","""")</f>
        <v>081, 19400401, 13.45, 7500, 00,  290, 00</v>
      </c>
    </row>
    <row r="277" spans="1:1" x14ac:dyDescent="0.25">
      <c r="A277" s="25" t="str">
        <f ca="1">TEXT(Overig!A277,"000\,")&amp;TEXT(Overig!B277,"?00000000")&amp;TEXT(Overig!C277,""", ""@")&amp;SUBSTITUTE(TEXT(IF(ISTEXT(Overig!D277),Overig!D277,10*Overig!D277),""",""????0;"",""???-0;"",""????0;"", ////"""),"'","""")&amp;SUBSTITUTE(TEXT(Overig!E277,""",""?00;"",""?-00;"",""?00;"", //"""),"'","""")&amp;SUBSTITUTE(TEXT(IF(ISTEXT(Overig!F277),Overig!F277,10*Overig!F277),""",""????0;"",""???-0;"",""????0;"", ////"""),"'","""")&amp;SUBSTITUTE(TEXT(Overig!G277,""",""?00;"",""?-00;"",""?00;"", //"""),"'","""")</f>
        <v>081, 19400401, 19.45, 7500, 00,  270, 00</v>
      </c>
    </row>
    <row r="278" spans="1:1" x14ac:dyDescent="0.25">
      <c r="A278" s="25" t="str">
        <f ca="1">TEXT(Overig!A278,"000\,")&amp;TEXT(Overig!B278,"?00000000")&amp;TEXT(Overig!C278,""", ""@")&amp;SUBSTITUTE(TEXT(IF(ISTEXT(Overig!D278),Overig!D278,10*Overig!D278),""",""????0;"",""???-0;"",""????0;"", ////"""),"'","""")&amp;SUBSTITUTE(TEXT(Overig!E278,""",""?00;"",""?-00;"",""?00;"", //"""),"'","""")&amp;SUBSTITUTE(TEXT(IF(ISTEXT(Overig!F278),Overig!F278,10*Overig!F278),""",""????0;"",""???-0;"",""????0;"", ////"""),"'","""")&amp;SUBSTITUTE(TEXT(Overig!G278,""",""?00;"",""?-00;"",""?00;"", //"""),"'","""")</f>
        <v>081, 19400402, 07.45, 7500, 00,  260, 00</v>
      </c>
    </row>
    <row r="279" spans="1:1" x14ac:dyDescent="0.25">
      <c r="A279" s="25" t="str">
        <f ca="1">TEXT(Overig!A279,"000\,")&amp;TEXT(Overig!B279,"?00000000")&amp;TEXT(Overig!C279,""", ""@")&amp;SUBSTITUTE(TEXT(IF(ISTEXT(Overig!D279),Overig!D279,10*Overig!D279),""",""????0;"",""???-0;"",""????0;"", ////"""),"'","""")&amp;SUBSTITUTE(TEXT(Overig!E279,""",""?00;"",""?-00;"",""?00;"", //"""),"'","""")&amp;SUBSTITUTE(TEXT(IF(ISTEXT(Overig!F279),Overig!F279,10*Overig!F279),""",""????0;"",""???-0;"",""????0;"", ////"""),"'","""")&amp;SUBSTITUTE(TEXT(Overig!G279,""",""?00;"",""?-00;"",""?00;"", //"""),"'","""")</f>
        <v>081, 19400402, 13.45, 7500, 00,  290, 00</v>
      </c>
    </row>
    <row r="280" spans="1:1" x14ac:dyDescent="0.25">
      <c r="A280" s="25" t="str">
        <f ca="1">TEXT(Overig!A280,"000\,")&amp;TEXT(Overig!B280,"?00000000")&amp;TEXT(Overig!C280,""", ""@")&amp;SUBSTITUTE(TEXT(IF(ISTEXT(Overig!D280),Overig!D280,10*Overig!D280),""",""????0;"",""???-0;"",""????0;"", ////"""),"'","""")&amp;SUBSTITUTE(TEXT(Overig!E280,""",""?00;"",""?-00;"",""?00;"", //"""),"'","""")&amp;SUBSTITUTE(TEXT(IF(ISTEXT(Overig!F280),Overig!F280,10*Overig!F280),""",""????0;"",""???-0;"",""????0;"", ////"""),"'","""")&amp;SUBSTITUTE(TEXT(Overig!G280,""",""?00;"",""?-00;"",""?00;"", //"""),"'","""")</f>
        <v>081, 19400402, 19.45, 7500, 00,  270, 00</v>
      </c>
    </row>
    <row r="281" spans="1:1" x14ac:dyDescent="0.25">
      <c r="A281" s="25" t="str">
        <f ca="1">TEXT(Overig!A281,"000\,")&amp;TEXT(Overig!B281,"?00000000")&amp;TEXT(Overig!C281,""", ""@")&amp;SUBSTITUTE(TEXT(IF(ISTEXT(Overig!D281),Overig!D281,10*Overig!D281),""",""????0;"",""???-0;"",""????0;"", ////"""),"'","""")&amp;SUBSTITUTE(TEXT(Overig!E281,""",""?00;"",""?-00;"",""?00;"", //"""),"'","""")&amp;SUBSTITUTE(TEXT(IF(ISTEXT(Overig!F281),Overig!F281,10*Overig!F281),""",""????0;"",""???-0;"",""????0;"", ////"""),"'","""")&amp;SUBSTITUTE(TEXT(Overig!G281,""",""?00;"",""?-00;"",""?00;"", //"""),"'","""")</f>
        <v>081, 19400403, 07.45, 7500, 00,  260, 00</v>
      </c>
    </row>
    <row r="282" spans="1:1" x14ac:dyDescent="0.25">
      <c r="A282" s="25" t="str">
        <f ca="1">TEXT(Overig!A282,"000\,")&amp;TEXT(Overig!B282,"?00000000")&amp;TEXT(Overig!C282,""", ""@")&amp;SUBSTITUTE(TEXT(IF(ISTEXT(Overig!D282),Overig!D282,10*Overig!D282),""",""????0;"",""???-0;"",""????0;"", ////"""),"'","""")&amp;SUBSTITUTE(TEXT(Overig!E282,""",""?00;"",""?-00;"",""?00;"", //"""),"'","""")&amp;SUBSTITUTE(TEXT(IF(ISTEXT(Overig!F282),Overig!F282,10*Overig!F282),""",""????0;"",""???-0;"",""????0;"", ////"""),"'","""")&amp;SUBSTITUTE(TEXT(Overig!G282,""",""?00;"",""?-00;"",""?00;"", //"""),"'","""")</f>
        <v>081, 19400403, 13.45, 7490, 00,  290, 00</v>
      </c>
    </row>
    <row r="283" spans="1:1" x14ac:dyDescent="0.25">
      <c r="A283" s="25" t="str">
        <f ca="1">TEXT(Overig!A283,"000\,")&amp;TEXT(Overig!B283,"?00000000")&amp;TEXT(Overig!C283,""", ""@")&amp;SUBSTITUTE(TEXT(IF(ISTEXT(Overig!D283),Overig!D283,10*Overig!D283),""",""????0;"",""???-0;"",""????0;"", ////"""),"'","""")&amp;SUBSTITUTE(TEXT(Overig!E283,""",""?00;"",""?-00;"",""?00;"", //"""),"'","""")&amp;SUBSTITUTE(TEXT(IF(ISTEXT(Overig!F283),Overig!F283,10*Overig!F283),""",""????0;"",""???-0;"",""????0;"", ////"""),"'","""")&amp;SUBSTITUTE(TEXT(Overig!G283,""",""?00;"",""?-00;"",""?00;"", //"""),"'","""")</f>
        <v>081, 19400403, 19.45, 7490, 00,  270, 00</v>
      </c>
    </row>
    <row r="284" spans="1:1" x14ac:dyDescent="0.25">
      <c r="A284" s="25" t="str">
        <f ca="1">TEXT(Overig!A284,"000\,")&amp;TEXT(Overig!B284,"?00000000")&amp;TEXT(Overig!C284,""", ""@")&amp;SUBSTITUTE(TEXT(IF(ISTEXT(Overig!D284),Overig!D284,10*Overig!D284),""",""????0;"",""???-0;"",""????0;"", ////"""),"'","""")&amp;SUBSTITUTE(TEXT(Overig!E284,""",""?00;"",""?-00;"",""?00;"", //"""),"'","""")&amp;SUBSTITUTE(TEXT(IF(ISTEXT(Overig!F284),Overig!F284,10*Overig!F284),""",""????0;"",""???-0;"",""????0;"", ////"""),"'","""")&amp;SUBSTITUTE(TEXT(Overig!G284,""",""?00;"",""?-00;"",""?00;"", //"""),"'","""")</f>
        <v>081, 19400404, 07.45, 7500, 00,  260, 00</v>
      </c>
    </row>
    <row r="285" spans="1:1" x14ac:dyDescent="0.25">
      <c r="A285" s="25" t="str">
        <f ca="1">TEXT(Overig!A285,"000\,")&amp;TEXT(Overig!B285,"?00000000")&amp;TEXT(Overig!C285,""", ""@")&amp;SUBSTITUTE(TEXT(IF(ISTEXT(Overig!D285),Overig!D285,10*Overig!D285),""",""????0;"",""???-0;"",""????0;"", ////"""),"'","""")&amp;SUBSTITUTE(TEXT(Overig!E285,""",""?00;"",""?-00;"",""?00;"", //"""),"'","""")&amp;SUBSTITUTE(TEXT(IF(ISTEXT(Overig!F285),Overig!F285,10*Overig!F285),""",""????0;"",""???-0;"",""????0;"", ////"""),"'","""")&amp;SUBSTITUTE(TEXT(Overig!G285,""",""?00;"",""?-00;"",""?00;"", //"""),"'","""")</f>
        <v>081, 19400404, 13.45, 7500, 00,  290, 00</v>
      </c>
    </row>
    <row r="286" spans="1:1" x14ac:dyDescent="0.25">
      <c r="A286" s="25" t="str">
        <f ca="1">TEXT(Overig!A286,"000\,")&amp;TEXT(Overig!B286,"?00000000")&amp;TEXT(Overig!C286,""", ""@")&amp;SUBSTITUTE(TEXT(IF(ISTEXT(Overig!D286),Overig!D286,10*Overig!D286),""",""????0;"",""???-0;"",""????0;"", ////"""),"'","""")&amp;SUBSTITUTE(TEXT(Overig!E286,""",""?00;"",""?-00;"",""?00;"", //"""),"'","""")&amp;SUBSTITUTE(TEXT(IF(ISTEXT(Overig!F286),Overig!F286,10*Overig!F286),""",""????0;"",""???-0;"",""????0;"", ////"""),"'","""")&amp;SUBSTITUTE(TEXT(Overig!G286,""",""?00;"",""?-00;"",""?00;"", //"""),"'","""")</f>
        <v>081, 19400404, 19.45, 7500, 00,  270, 00</v>
      </c>
    </row>
    <row r="287" spans="1:1" x14ac:dyDescent="0.25">
      <c r="A287" s="25" t="str">
        <f ca="1">TEXT(Overig!A287,"000\,")&amp;TEXT(Overig!B287,"?00000000")&amp;TEXT(Overig!C287,""", ""@")&amp;SUBSTITUTE(TEXT(IF(ISTEXT(Overig!D287),Overig!D287,10*Overig!D287),""",""????0;"",""???-0;"",""????0;"", ////"""),"'","""")&amp;SUBSTITUTE(TEXT(Overig!E287,""",""?00;"",""?-00;"",""?00;"", //"""),"'","""")&amp;SUBSTITUTE(TEXT(IF(ISTEXT(Overig!F287),Overig!F287,10*Overig!F287),""",""????0;"",""???-0;"",""????0;"", ////"""),"'","""")&amp;SUBSTITUTE(TEXT(Overig!G287,""",""?00;"",""?-00;"",""?00;"", //"""),"'","""")</f>
        <v>081, 19400405, 07.45, 7510, 00,  260, 00</v>
      </c>
    </row>
    <row r="288" spans="1:1" x14ac:dyDescent="0.25">
      <c r="A288" s="25" t="str">
        <f ca="1">TEXT(Overig!A288,"000\,")&amp;TEXT(Overig!B288,"?00000000")&amp;TEXT(Overig!C288,""", ""@")&amp;SUBSTITUTE(TEXT(IF(ISTEXT(Overig!D288),Overig!D288,10*Overig!D288),""",""????0;"",""???-0;"",""????0;"", ////"""),"'","""")&amp;SUBSTITUTE(TEXT(Overig!E288,""",""?00;"",""?-00;"",""?00;"", //"""),"'","""")&amp;SUBSTITUTE(TEXT(IF(ISTEXT(Overig!F288),Overig!F288,10*Overig!F288),""",""????0;"",""???-0;"",""????0;"", ////"""),"'","""")&amp;SUBSTITUTE(TEXT(Overig!G288,""",""?00;"",""?-00;"",""?00;"", //"""),"'","""")</f>
        <v>081, 19400405, 13.45, 7510, 00,  290, 00</v>
      </c>
    </row>
    <row r="289" spans="1:1" x14ac:dyDescent="0.25">
      <c r="A289" s="25" t="str">
        <f ca="1">TEXT(Overig!A289,"000\,")&amp;TEXT(Overig!B289,"?00000000")&amp;TEXT(Overig!C289,""", ""@")&amp;SUBSTITUTE(TEXT(IF(ISTEXT(Overig!D289),Overig!D289,10*Overig!D289),""",""????0;"",""???-0;"",""????0;"", ////"""),"'","""")&amp;SUBSTITUTE(TEXT(Overig!E289,""",""?00;"",""?-00;"",""?00;"", //"""),"'","""")&amp;SUBSTITUTE(TEXT(IF(ISTEXT(Overig!F289),Overig!F289,10*Overig!F289),""",""????0;"",""???-0;"",""????0;"", ////"""),"'","""")&amp;SUBSTITUTE(TEXT(Overig!G289,""",""?00;"",""?-00;"",""?00;"", //"""),"'","""")</f>
        <v>081, 19400405, 19.45, 7510, 00,  270, 00</v>
      </c>
    </row>
    <row r="290" spans="1:1" x14ac:dyDescent="0.25">
      <c r="A290" s="25" t="str">
        <f ca="1">TEXT(Overig!A290,"000\,")&amp;TEXT(Overig!B290,"?00000000")&amp;TEXT(Overig!C290,""", ""@")&amp;SUBSTITUTE(TEXT(IF(ISTEXT(Overig!D290),Overig!D290,10*Overig!D290),""",""????0;"",""???-0;"",""????0;"", ////"""),"'","""")&amp;SUBSTITUTE(TEXT(Overig!E290,""",""?00;"",""?-00;"",""?00;"", //"""),"'","""")&amp;SUBSTITUTE(TEXT(IF(ISTEXT(Overig!F290),Overig!F290,10*Overig!F290),""",""????0;"",""???-0;"",""????0;"", ////"""),"'","""")&amp;SUBSTITUTE(TEXT(Overig!G290,""",""?00;"",""?-00;"",""?00;"", //"""),"'","""")</f>
        <v>081, 19400406, 07.45, 7500, 00,  260, 00</v>
      </c>
    </row>
    <row r="291" spans="1:1" x14ac:dyDescent="0.25">
      <c r="A291" s="25" t="str">
        <f ca="1">TEXT(Overig!A291,"000\,")&amp;TEXT(Overig!B291,"?00000000")&amp;TEXT(Overig!C291,""", ""@")&amp;SUBSTITUTE(TEXT(IF(ISTEXT(Overig!D291),Overig!D291,10*Overig!D291),""",""????0;"",""???-0;"",""????0;"", ////"""),"'","""")&amp;SUBSTITUTE(TEXT(Overig!E291,""",""?00;"",""?-00;"",""?00;"", //"""),"'","""")&amp;SUBSTITUTE(TEXT(IF(ISTEXT(Overig!F291),Overig!F291,10*Overig!F291),""",""????0;"",""???-0;"",""????0;"", ////"""),"'","""")&amp;SUBSTITUTE(TEXT(Overig!G291,""",""?00;"",""?-00;"",""?00;"", //"""),"'","""")</f>
        <v>081, 19400406, 13.45, 7500, 00,  290, 00</v>
      </c>
    </row>
    <row r="292" spans="1:1" x14ac:dyDescent="0.25">
      <c r="A292" s="25" t="str">
        <f ca="1">TEXT(Overig!A292,"000\,")&amp;TEXT(Overig!B292,"?00000000")&amp;TEXT(Overig!C292,""", ""@")&amp;SUBSTITUTE(TEXT(IF(ISTEXT(Overig!D292),Overig!D292,10*Overig!D292),""",""????0;"",""???-0;"",""????0;"", ////"""),"'","""")&amp;SUBSTITUTE(TEXT(Overig!E292,""",""?00;"",""?-00;"",""?00;"", //"""),"'","""")&amp;SUBSTITUTE(TEXT(IF(ISTEXT(Overig!F292),Overig!F292,10*Overig!F292),""",""????0;"",""???-0;"",""????0;"", ////"""),"'","""")&amp;SUBSTITUTE(TEXT(Overig!G292,""",""?00;"",""?-00;"",""?00;"", //"""),"'","""")</f>
        <v>081, 19400406, 19.45, 7500, 00,  270, 00</v>
      </c>
    </row>
    <row r="293" spans="1:1" x14ac:dyDescent="0.25">
      <c r="A293" s="25" t="str">
        <f ca="1">TEXT(Overig!A293,"000\,")&amp;TEXT(Overig!B293,"?00000000")&amp;TEXT(Overig!C293,""", ""@")&amp;SUBSTITUTE(TEXT(IF(ISTEXT(Overig!D293),Overig!D293,10*Overig!D293),""",""????0;"",""???-0;"",""????0;"", ////"""),"'","""")&amp;SUBSTITUTE(TEXT(Overig!E293,""",""?00;"",""?-00;"",""?00;"", //"""),"'","""")&amp;SUBSTITUTE(TEXT(IF(ISTEXT(Overig!F293),Overig!F293,10*Overig!F293),""",""????0;"",""???-0;"",""????0;"", ////"""),"'","""")&amp;SUBSTITUTE(TEXT(Overig!G293,""",""?00;"",""?-00;"",""?00;"", //"""),"'","""")</f>
        <v>081, 19400407, 07.45, 7500, 00,  260, 00</v>
      </c>
    </row>
    <row r="294" spans="1:1" x14ac:dyDescent="0.25">
      <c r="A294" s="25" t="str">
        <f ca="1">TEXT(Overig!A294,"000\,")&amp;TEXT(Overig!B294,"?00000000")&amp;TEXT(Overig!C294,""", ""@")&amp;SUBSTITUTE(TEXT(IF(ISTEXT(Overig!D294),Overig!D294,10*Overig!D294),""",""????0;"",""???-0;"",""????0;"", ////"""),"'","""")&amp;SUBSTITUTE(TEXT(Overig!E294,""",""?00;"",""?-00;"",""?00;"", //"""),"'","""")&amp;SUBSTITUTE(TEXT(IF(ISTEXT(Overig!F294),Overig!F294,10*Overig!F294),""",""????0;"",""???-0;"",""????0;"", ////"""),"'","""")&amp;SUBSTITUTE(TEXT(Overig!G294,""",""?00;"",""?-00;"",""?00;"", //"""),"'","""")</f>
        <v>081, 19400407, 13.45, 7500, 00,  290, 00</v>
      </c>
    </row>
    <row r="295" spans="1:1" x14ac:dyDescent="0.25">
      <c r="A295" s="25" t="str">
        <f ca="1">TEXT(Overig!A295,"000\,")&amp;TEXT(Overig!B295,"?00000000")&amp;TEXT(Overig!C295,""", ""@")&amp;SUBSTITUTE(TEXT(IF(ISTEXT(Overig!D295),Overig!D295,10*Overig!D295),""",""????0;"",""???-0;"",""????0;"", ////"""),"'","""")&amp;SUBSTITUTE(TEXT(Overig!E295,""",""?00;"",""?-00;"",""?00;"", //"""),"'","""")&amp;SUBSTITUTE(TEXT(IF(ISTEXT(Overig!F295),Overig!F295,10*Overig!F295),""",""????0;"",""???-0;"",""????0;"", ////"""),"'","""")&amp;SUBSTITUTE(TEXT(Overig!G295,""",""?00;"",""?-00;"",""?00;"", //"""),"'","""")</f>
        <v>081, 19400407, 19.45, 7500, 00,  270, 00</v>
      </c>
    </row>
    <row r="296" spans="1:1" x14ac:dyDescent="0.25">
      <c r="A296" s="25" t="str">
        <f ca="1">TEXT(Overig!A296,"000\,")&amp;TEXT(Overig!B296,"?00000000")&amp;TEXT(Overig!C296,""", ""@")&amp;SUBSTITUTE(TEXT(IF(ISTEXT(Overig!D296),Overig!D296,10*Overig!D296),""",""????0;"",""???-0;"",""????0;"", ////"""),"'","""")&amp;SUBSTITUTE(TEXT(Overig!E296,""",""?00;"",""?-00;"",""?00;"", //"""),"'","""")&amp;SUBSTITUTE(TEXT(IF(ISTEXT(Overig!F296),Overig!F296,10*Overig!F296),""",""????0;"",""???-0;"",""????0;"", ////"""),"'","""")&amp;SUBSTITUTE(TEXT(Overig!G296,""",""?00;"",""?-00;"",""?00;"", //"""),"'","""")</f>
        <v>081, 19400408, 07.45, 7500, 00,  260, 00</v>
      </c>
    </row>
    <row r="297" spans="1:1" x14ac:dyDescent="0.25">
      <c r="A297" s="25" t="str">
        <f ca="1">TEXT(Overig!A297,"000\,")&amp;TEXT(Overig!B297,"?00000000")&amp;TEXT(Overig!C297,""", ""@")&amp;SUBSTITUTE(TEXT(IF(ISTEXT(Overig!D297),Overig!D297,10*Overig!D297),""",""????0;"",""???-0;"",""????0;"", ////"""),"'","""")&amp;SUBSTITUTE(TEXT(Overig!E297,""",""?00;"",""?-00;"",""?00;"", //"""),"'","""")&amp;SUBSTITUTE(TEXT(IF(ISTEXT(Overig!F297),Overig!F297,10*Overig!F297),""",""????0;"",""???-0;"",""????0;"", ////"""),"'","""")&amp;SUBSTITUTE(TEXT(Overig!G297,""",""?00;"",""?-00;"",""?00;"", //"""),"'","""")</f>
        <v>081, 19400408, 13.45, 7490, 00,  290, 00</v>
      </c>
    </row>
    <row r="298" spans="1:1" x14ac:dyDescent="0.25">
      <c r="A298" s="25" t="str">
        <f ca="1">TEXT(Overig!A298,"000\,")&amp;TEXT(Overig!B298,"?00000000")&amp;TEXT(Overig!C298,""", ""@")&amp;SUBSTITUTE(TEXT(IF(ISTEXT(Overig!D298),Overig!D298,10*Overig!D298),""",""????0;"",""???-0;"",""????0;"", ////"""),"'","""")&amp;SUBSTITUTE(TEXT(Overig!E298,""",""?00;"",""?-00;"",""?00;"", //"""),"'","""")&amp;SUBSTITUTE(TEXT(IF(ISTEXT(Overig!F298),Overig!F298,10*Overig!F298),""",""????0;"",""???-0;"",""????0;"", ////"""),"'","""")&amp;SUBSTITUTE(TEXT(Overig!G298,""",""?00;"",""?-00;"",""?00;"", //"""),"'","""")</f>
        <v>081, 19400408, 19.45, 7500, 00,  270, 00</v>
      </c>
    </row>
    <row r="299" spans="1:1" x14ac:dyDescent="0.25">
      <c r="A299" s="25" t="str">
        <f ca="1">TEXT(Overig!A299,"000\,")&amp;TEXT(Overig!B299,"?00000000")&amp;TEXT(Overig!C299,""", ""@")&amp;SUBSTITUTE(TEXT(IF(ISTEXT(Overig!D299),Overig!D299,10*Overig!D299),""",""????0;"",""???-0;"",""????0;"", ////"""),"'","""")&amp;SUBSTITUTE(TEXT(Overig!E299,""",""?00;"",""?-00;"",""?00;"", //"""),"'","""")&amp;SUBSTITUTE(TEXT(IF(ISTEXT(Overig!F299),Overig!F299,10*Overig!F299),""",""????0;"",""???-0;"",""????0;"", ////"""),"'","""")&amp;SUBSTITUTE(TEXT(Overig!G299,""",""?00;"",""?-00;"",""?00;"", //"""),"'","""")</f>
        <v>081, 19400409, 07.45, 7500, 00,  260, 00</v>
      </c>
    </row>
    <row r="300" spans="1:1" x14ac:dyDescent="0.25">
      <c r="A300" s="25" t="str">
        <f ca="1">TEXT(Overig!A300,"000\,")&amp;TEXT(Overig!B300,"?00000000")&amp;TEXT(Overig!C300,""", ""@")&amp;SUBSTITUTE(TEXT(IF(ISTEXT(Overig!D300),Overig!D300,10*Overig!D300),""",""????0;"",""???-0;"",""????0;"", ////"""),"'","""")&amp;SUBSTITUTE(TEXT(Overig!E300,""",""?00;"",""?-00;"",""?00;"", //"""),"'","""")&amp;SUBSTITUTE(TEXT(IF(ISTEXT(Overig!F300),Overig!F300,10*Overig!F300),""",""????0;"",""???-0;"",""????0;"", ////"""),"'","""")&amp;SUBSTITUTE(TEXT(Overig!G300,""",""?00;"",""?-00;"",""?00;"", //"""),"'","""")</f>
        <v>081, 19400409, 13.45, 7500, 00,  280, 00</v>
      </c>
    </row>
    <row r="301" spans="1:1" x14ac:dyDescent="0.25">
      <c r="A301" s="25" t="str">
        <f ca="1">TEXT(Overig!A301,"000\,")&amp;TEXT(Overig!B301,"?00000000")&amp;TEXT(Overig!C301,""", ""@")&amp;SUBSTITUTE(TEXT(IF(ISTEXT(Overig!D301),Overig!D301,10*Overig!D301),""",""????0;"",""???-0;"",""????0;"", ////"""),"'","""")&amp;SUBSTITUTE(TEXT(Overig!E301,""",""?00;"",""?-00;"",""?00;"", //"""),"'","""")&amp;SUBSTITUTE(TEXT(IF(ISTEXT(Overig!F301),Overig!F301,10*Overig!F301),""",""????0;"",""???-0;"",""????0;"", ////"""),"'","""")&amp;SUBSTITUTE(TEXT(Overig!G301,""",""?00;"",""?-00;"",""?00;"", //"""),"'","""")</f>
        <v>081, 19400409, 19.45, 7500, 00,  270, 00</v>
      </c>
    </row>
    <row r="302" spans="1:1" x14ac:dyDescent="0.25">
      <c r="A302" s="25" t="str">
        <f ca="1">TEXT(Overig!A302,"000\,")&amp;TEXT(Overig!B302,"?00000000")&amp;TEXT(Overig!C302,""", ""@")&amp;SUBSTITUTE(TEXT(IF(ISTEXT(Overig!D302),Overig!D302,10*Overig!D302),""",""????0;"",""???-0;"",""????0;"", ////"""),"'","""")&amp;SUBSTITUTE(TEXT(Overig!E302,""",""?00;"",""?-00;"",""?00;"", //"""),"'","""")&amp;SUBSTITUTE(TEXT(IF(ISTEXT(Overig!F302),Overig!F302,10*Overig!F302),""",""????0;"",""???-0;"",""????0;"", ////"""),"'","""")&amp;SUBSTITUTE(TEXT(Overig!G302,""",""?00;"",""?-00;"",""?00;"", //"""),"'","""")</f>
        <v>081, 19400410, 07.45, 7500, 00,  260, 00</v>
      </c>
    </row>
    <row r="303" spans="1:1" x14ac:dyDescent="0.25">
      <c r="A303" s="25" t="str">
        <f ca="1">TEXT(Overig!A303,"000\,")&amp;TEXT(Overig!B303,"?00000000")&amp;TEXT(Overig!C303,""", ""@")&amp;SUBSTITUTE(TEXT(IF(ISTEXT(Overig!D303),Overig!D303,10*Overig!D303),""",""????0;"",""???-0;"",""????0;"", ////"""),"'","""")&amp;SUBSTITUTE(TEXT(Overig!E303,""",""?00;"",""?-00;"",""?00;"", //"""),"'","""")&amp;SUBSTITUTE(TEXT(IF(ISTEXT(Overig!F303),Overig!F303,10*Overig!F303),""",""????0;"",""???-0;"",""????0;"", ////"""),"'","""")&amp;SUBSTITUTE(TEXT(Overig!G303,""",""?00;"",""?-00;"",""?00;"", //"""),"'","""")</f>
        <v>081, 19400410, 13.45, 7500, 00,  290, 00</v>
      </c>
    </row>
    <row r="304" spans="1:1" x14ac:dyDescent="0.25">
      <c r="A304" s="25" t="str">
        <f ca="1">TEXT(Overig!A304,"000\,")&amp;TEXT(Overig!B304,"?00000000")&amp;TEXT(Overig!C304,""", ""@")&amp;SUBSTITUTE(TEXT(IF(ISTEXT(Overig!D304),Overig!D304,10*Overig!D304),""",""????0;"",""???-0;"",""????0;"", ////"""),"'","""")&amp;SUBSTITUTE(TEXT(Overig!E304,""",""?00;"",""?-00;"",""?00;"", //"""),"'","""")&amp;SUBSTITUTE(TEXT(IF(ISTEXT(Overig!F304),Overig!F304,10*Overig!F304),""",""????0;"",""???-0;"",""????0;"", ////"""),"'","""")&amp;SUBSTITUTE(TEXT(Overig!G304,""",""?00;"",""?-00;"",""?00;"", //"""),"'","""")</f>
        <v>081, 19400410, 19.45, 7500, 00,  270, 00</v>
      </c>
    </row>
    <row r="305" spans="1:1" x14ac:dyDescent="0.25">
      <c r="A305" s="25" t="str">
        <f ca="1">TEXT(Overig!A305,"000\,")&amp;TEXT(Overig!B305,"?00000000")&amp;TEXT(Overig!C305,""", ""@")&amp;SUBSTITUTE(TEXT(IF(ISTEXT(Overig!D305),Overig!D305,10*Overig!D305),""",""????0;"",""???-0;"",""????0;"", ////"""),"'","""")&amp;SUBSTITUTE(TEXT(Overig!E305,""",""?00;"",""?-00;"",""?00;"", //"""),"'","""")&amp;SUBSTITUTE(TEXT(IF(ISTEXT(Overig!F305),Overig!F305,10*Overig!F305),""",""????0;"",""???-0;"",""????0;"", ////"""),"'","""")&amp;SUBSTITUTE(TEXT(Overig!G305,""",""?00;"",""?-00;"",""?00;"", //"""),"'","""")</f>
        <v>081, 19400411, 07.45, 7500, 00,  260, 00</v>
      </c>
    </row>
    <row r="306" spans="1:1" x14ac:dyDescent="0.25">
      <c r="A306" s="25" t="str">
        <f ca="1">TEXT(Overig!A306,"000\,")&amp;TEXT(Overig!B306,"?00000000")&amp;TEXT(Overig!C306,""", ""@")&amp;SUBSTITUTE(TEXT(IF(ISTEXT(Overig!D306),Overig!D306,10*Overig!D306),""",""????0;"",""???-0;"",""????0;"", ////"""),"'","""")&amp;SUBSTITUTE(TEXT(Overig!E306,""",""?00;"",""?-00;"",""?00;"", //"""),"'","""")&amp;SUBSTITUTE(TEXT(IF(ISTEXT(Overig!F306),Overig!F306,10*Overig!F306),""",""????0;"",""???-0;"",""????0;"", ////"""),"'","""")&amp;SUBSTITUTE(TEXT(Overig!G306,""",""?00;"",""?-00;"",""?00;"", //"""),"'","""")</f>
        <v>081, 19400411, 13.45, 7500, 00,  290, 00</v>
      </c>
    </row>
    <row r="307" spans="1:1" x14ac:dyDescent="0.25">
      <c r="A307" s="25" t="str">
        <f ca="1">TEXT(Overig!A307,"000\,")&amp;TEXT(Overig!B307,"?00000000")&amp;TEXT(Overig!C307,""", ""@")&amp;SUBSTITUTE(TEXT(IF(ISTEXT(Overig!D307),Overig!D307,10*Overig!D307),""",""????0;"",""???-0;"",""????0;"", ////"""),"'","""")&amp;SUBSTITUTE(TEXT(Overig!E307,""",""?00;"",""?-00;"",""?00;"", //"""),"'","""")&amp;SUBSTITUTE(TEXT(IF(ISTEXT(Overig!F307),Overig!F307,10*Overig!F307),""",""????0;"",""???-0;"",""????0;"", ////"""),"'","""")&amp;SUBSTITUTE(TEXT(Overig!G307,""",""?00;"",""?-00;"",""?00;"", //"""),"'","""")</f>
        <v>081, 19400411, 19.45, 7500, 00,  270, 00</v>
      </c>
    </row>
    <row r="308" spans="1:1" x14ac:dyDescent="0.25">
      <c r="A308" s="25" t="str">
        <f ca="1">TEXT(Overig!A308,"000\,")&amp;TEXT(Overig!B308,"?00000000")&amp;TEXT(Overig!C308,""", ""@")&amp;SUBSTITUTE(TEXT(IF(ISTEXT(Overig!D308),Overig!D308,10*Overig!D308),""",""????0;"",""???-0;"",""????0;"", ////"""),"'","""")&amp;SUBSTITUTE(TEXT(Overig!E308,""",""?00;"",""?-00;"",""?00;"", //"""),"'","""")&amp;SUBSTITUTE(TEXT(IF(ISTEXT(Overig!F308),Overig!F308,10*Overig!F308),""",""????0;"",""???-0;"",""????0;"", ////"""),"'","""")&amp;SUBSTITUTE(TEXT(Overig!G308,""",""?00;"",""?-00;"",""?00;"", //"""),"'","""")</f>
        <v>081, 19400412, 07.45, 7500, 00,  260, 00</v>
      </c>
    </row>
    <row r="309" spans="1:1" x14ac:dyDescent="0.25">
      <c r="A309" s="25" t="str">
        <f ca="1">TEXT(Overig!A309,"000\,")&amp;TEXT(Overig!B309,"?00000000")&amp;TEXT(Overig!C309,""", ""@")&amp;SUBSTITUTE(TEXT(IF(ISTEXT(Overig!D309),Overig!D309,10*Overig!D309),""",""????0;"",""???-0;"",""????0;"", ////"""),"'","""")&amp;SUBSTITUTE(TEXT(Overig!E309,""",""?00;"",""?-00;"",""?00;"", //"""),"'","""")&amp;SUBSTITUTE(TEXT(IF(ISTEXT(Overig!F309),Overig!F309,10*Overig!F309),""",""????0;"",""???-0;"",""????0;"", ////"""),"'","""")&amp;SUBSTITUTE(TEXT(Overig!G309,""",""?00;"",""?-00;"",""?00;"", //"""),"'","""")</f>
        <v>081, 19400412, 13.45, 7500, 00,  290, 00</v>
      </c>
    </row>
    <row r="310" spans="1:1" x14ac:dyDescent="0.25">
      <c r="A310" s="25" t="str">
        <f ca="1">TEXT(Overig!A310,"000\,")&amp;TEXT(Overig!B310,"?00000000")&amp;TEXT(Overig!C310,""", ""@")&amp;SUBSTITUTE(TEXT(IF(ISTEXT(Overig!D310),Overig!D310,10*Overig!D310),""",""????0;"",""???-0;"",""????0;"", ////"""),"'","""")&amp;SUBSTITUTE(TEXT(Overig!E310,""",""?00;"",""?-00;"",""?00;"", //"""),"'","""")&amp;SUBSTITUTE(TEXT(IF(ISTEXT(Overig!F310),Overig!F310,10*Overig!F310),""",""????0;"",""???-0;"",""????0;"", ////"""),"'","""")&amp;SUBSTITUTE(TEXT(Overig!G310,""",""?00;"",""?-00;"",""?00;"", //"""),"'","""")</f>
        <v>081, 19400412, 19.45, 7490, 00,  270, 00</v>
      </c>
    </row>
    <row r="311" spans="1:1" x14ac:dyDescent="0.25">
      <c r="A311" s="25" t="str">
        <f ca="1">TEXT(Overig!A311,"000\,")&amp;TEXT(Overig!B311,"?00000000")&amp;TEXT(Overig!C311,""", ""@")&amp;SUBSTITUTE(TEXT(IF(ISTEXT(Overig!D311),Overig!D311,10*Overig!D311),""",""????0;"",""???-0;"",""????0;"", ////"""),"'","""")&amp;SUBSTITUTE(TEXT(Overig!E311,""",""?00;"",""?-00;"",""?00;"", //"""),"'","""")&amp;SUBSTITUTE(TEXT(IF(ISTEXT(Overig!F311),Overig!F311,10*Overig!F311),""",""????0;"",""???-0;"",""????0;"", ////"""),"'","""")&amp;SUBSTITUTE(TEXT(Overig!G311,""",""?00;"",""?-00;"",""?00;"", //"""),"'","""")</f>
        <v>081, 19400413, 07.45, 7490, 00,  260, 00</v>
      </c>
    </row>
    <row r="312" spans="1:1" x14ac:dyDescent="0.25">
      <c r="A312" s="25" t="str">
        <f ca="1">TEXT(Overig!A312,"000\,")&amp;TEXT(Overig!B312,"?00000000")&amp;TEXT(Overig!C312,""", ""@")&amp;SUBSTITUTE(TEXT(IF(ISTEXT(Overig!D312),Overig!D312,10*Overig!D312),""",""????0;"",""???-0;"",""????0;"", ////"""),"'","""")&amp;SUBSTITUTE(TEXT(Overig!E312,""",""?00;"",""?-00;"",""?00;"", //"""),"'","""")&amp;SUBSTITUTE(TEXT(IF(ISTEXT(Overig!F312),Overig!F312,10*Overig!F312),""",""????0;"",""???-0;"",""????0;"", ////"""),"'","""")&amp;SUBSTITUTE(TEXT(Overig!G312,""",""?00;"",""?-00;"",""?00;"", //"""),"'","""")</f>
        <v>081, 19400413, 13.45, 7490, 00,  290, 00</v>
      </c>
    </row>
    <row r="313" spans="1:1" x14ac:dyDescent="0.25">
      <c r="A313" s="25" t="str">
        <f ca="1">TEXT(Overig!A313,"000\,")&amp;TEXT(Overig!B313,"?00000000")&amp;TEXT(Overig!C313,""", ""@")&amp;SUBSTITUTE(TEXT(IF(ISTEXT(Overig!D313),Overig!D313,10*Overig!D313),""",""????0;"",""???-0;"",""????0;"", ////"""),"'","""")&amp;SUBSTITUTE(TEXT(Overig!E313,""",""?00;"",""?-00;"",""?00;"", //"""),"'","""")&amp;SUBSTITUTE(TEXT(IF(ISTEXT(Overig!F313),Overig!F313,10*Overig!F313),""",""????0;"",""???-0;"",""????0;"", ////"""),"'","""")&amp;SUBSTITUTE(TEXT(Overig!G313,""",""?00;"",""?-00;"",""?00;"", //"""),"'","""")</f>
        <v>081, 19400413, 19.45, 7490, 00,  270, 00</v>
      </c>
    </row>
    <row r="314" spans="1:1" x14ac:dyDescent="0.25">
      <c r="A314" s="25" t="str">
        <f ca="1">TEXT(Overig!A314,"000\,")&amp;TEXT(Overig!B314,"?00000000")&amp;TEXT(Overig!C314,""", ""@")&amp;SUBSTITUTE(TEXT(IF(ISTEXT(Overig!D314),Overig!D314,10*Overig!D314),""",""????0;"",""???-0;"",""????0;"", ////"""),"'","""")&amp;SUBSTITUTE(TEXT(Overig!E314,""",""?00;"",""?-00;"",""?00;"", //"""),"'","""")&amp;SUBSTITUTE(TEXT(IF(ISTEXT(Overig!F314),Overig!F314,10*Overig!F314),""",""????0;"",""???-0;"",""????0;"", ////"""),"'","""")&amp;SUBSTITUTE(TEXT(Overig!G314,""",""?00;"",""?-00;"",""?00;"", //"""),"'","""")</f>
        <v>081, 19400414, 07.45, 7480, 00,  260, 00</v>
      </c>
    </row>
    <row r="315" spans="1:1" x14ac:dyDescent="0.25">
      <c r="A315" s="25" t="str">
        <f ca="1">TEXT(Overig!A315,"000\,")&amp;TEXT(Overig!B315,"?00000000")&amp;TEXT(Overig!C315,""", ""@")&amp;SUBSTITUTE(TEXT(IF(ISTEXT(Overig!D315),Overig!D315,10*Overig!D315),""",""????0;"",""???-0;"",""????0;"", ////"""),"'","""")&amp;SUBSTITUTE(TEXT(Overig!E315,""",""?00;"",""?-00;"",""?00;"", //"""),"'","""")&amp;SUBSTITUTE(TEXT(IF(ISTEXT(Overig!F315),Overig!F315,10*Overig!F315),""",""????0;"",""???-0;"",""????0;"", ////"""),"'","""")&amp;SUBSTITUTE(TEXT(Overig!G315,""",""?00;"",""?-00;"",""?00;"", //"""),"'","""")</f>
        <v>081, 19400414, 13.45, 7480, 00,  290, 00</v>
      </c>
    </row>
    <row r="316" spans="1:1" x14ac:dyDescent="0.25">
      <c r="A316" s="25" t="str">
        <f ca="1">TEXT(Overig!A316,"000\,")&amp;TEXT(Overig!B316,"?00000000")&amp;TEXT(Overig!C316,""", ""@")&amp;SUBSTITUTE(TEXT(IF(ISTEXT(Overig!D316),Overig!D316,10*Overig!D316),""",""????0;"",""???-0;"",""????0;"", ////"""),"'","""")&amp;SUBSTITUTE(TEXT(Overig!E316,""",""?00;"",""?-00;"",""?00;"", //"""),"'","""")&amp;SUBSTITUTE(TEXT(IF(ISTEXT(Overig!F316),Overig!F316,10*Overig!F316),""",""????0;"",""???-0;"",""????0;"", ////"""),"'","""")&amp;SUBSTITUTE(TEXT(Overig!G316,""",""?00;"",""?-00;"",""?00;"", //"""),"'","""")</f>
        <v>081, 19400414, 19.45, 7480, 00,  270, 00</v>
      </c>
    </row>
    <row r="317" spans="1:1" x14ac:dyDescent="0.25">
      <c r="A317" s="25" t="str">
        <f ca="1">TEXT(Overig!A317,"000\,")&amp;TEXT(Overig!B317,"?00000000")&amp;TEXT(Overig!C317,""", ""@")&amp;SUBSTITUTE(TEXT(IF(ISTEXT(Overig!D317),Overig!D317,10*Overig!D317),""",""????0;"",""???-0;"",""????0;"", ////"""),"'","""")&amp;SUBSTITUTE(TEXT(Overig!E317,""",""?00;"",""?-00;"",""?00;"", //"""),"'","""")&amp;SUBSTITUTE(TEXT(IF(ISTEXT(Overig!F317),Overig!F317,10*Overig!F317),""",""????0;"",""???-0;"",""????0;"", ////"""),"'","""")&amp;SUBSTITUTE(TEXT(Overig!G317,""",""?00;"",""?-00;"",""?00;"", //"""),"'","""")</f>
        <v>081, 19400415, 07.45, 7480, 00,  260, 00</v>
      </c>
    </row>
    <row r="318" spans="1:1" x14ac:dyDescent="0.25">
      <c r="A318" s="25" t="str">
        <f ca="1">TEXT(Overig!A318,"000\,")&amp;TEXT(Overig!B318,"?00000000")&amp;TEXT(Overig!C318,""", ""@")&amp;SUBSTITUTE(TEXT(IF(ISTEXT(Overig!D318),Overig!D318,10*Overig!D318),""",""????0;"",""???-0;"",""????0;"", ////"""),"'","""")&amp;SUBSTITUTE(TEXT(Overig!E318,""",""?00;"",""?-00;"",""?00;"", //"""),"'","""")&amp;SUBSTITUTE(TEXT(IF(ISTEXT(Overig!F318),Overig!F318,10*Overig!F318),""",""????0;"",""???-0;"",""????0;"", ////"""),"'","""")&amp;SUBSTITUTE(TEXT(Overig!G318,""",""?00;"",""?-00;"",""?00;"", //"""),"'","""")</f>
        <v>081, 19400415, 13.45, 7480, 00,  290, 00</v>
      </c>
    </row>
    <row r="319" spans="1:1" x14ac:dyDescent="0.25">
      <c r="A319" s="25" t="str">
        <f ca="1">TEXT(Overig!A319,"000\,")&amp;TEXT(Overig!B319,"?00000000")&amp;TEXT(Overig!C319,""", ""@")&amp;SUBSTITUTE(TEXT(IF(ISTEXT(Overig!D319),Overig!D319,10*Overig!D319),""",""????0;"",""???-0;"",""????0;"", ////"""),"'","""")&amp;SUBSTITUTE(TEXT(Overig!E319,""",""?00;"",""?-00;"",""?00;"", //"""),"'","""")&amp;SUBSTITUTE(TEXT(IF(ISTEXT(Overig!F319),Overig!F319,10*Overig!F319),""",""????0;"",""???-0;"",""????0;"", ////"""),"'","""")&amp;SUBSTITUTE(TEXT(Overig!G319,""",""?00;"",""?-00;"",""?00;"", //"""),"'","""")</f>
        <v>081, 19400415, 19.45, 7480, 00,  270, 00</v>
      </c>
    </row>
    <row r="320" spans="1:1" x14ac:dyDescent="0.25">
      <c r="A320" s="25" t="str">
        <f ca="1">TEXT(Overig!A320,"000\,")&amp;TEXT(Overig!B320,"?00000000")&amp;TEXT(Overig!C320,""", ""@")&amp;SUBSTITUTE(TEXT(IF(ISTEXT(Overig!D320),Overig!D320,10*Overig!D320),""",""????0;"",""???-0;"",""????0;"", ////"""),"'","""")&amp;SUBSTITUTE(TEXT(Overig!E320,""",""?00;"",""?-00;"",""?00;"", //"""),"'","""")&amp;SUBSTITUTE(TEXT(IF(ISTEXT(Overig!F320),Overig!F320,10*Overig!F320),""",""????0;"",""???-0;"",""????0;"", ////"""),"'","""")&amp;SUBSTITUTE(TEXT(Overig!G320,""",""?00;"",""?-00;"",""?00;"", //"""),"'","""")</f>
        <v>081, 19400416, 07.45, 7490, 00,  260, 00</v>
      </c>
    </row>
    <row r="321" spans="1:1" x14ac:dyDescent="0.25">
      <c r="A321" s="25" t="str">
        <f ca="1">TEXT(Overig!A321,"000\,")&amp;TEXT(Overig!B321,"?00000000")&amp;TEXT(Overig!C321,""", ""@")&amp;SUBSTITUTE(TEXT(IF(ISTEXT(Overig!D321),Overig!D321,10*Overig!D321),""",""????0;"",""???-0;"",""????0;"", ////"""),"'","""")&amp;SUBSTITUTE(TEXT(Overig!E321,""",""?00;"",""?-00;"",""?00;"", //"""),"'","""")&amp;SUBSTITUTE(TEXT(IF(ISTEXT(Overig!F321),Overig!F321,10*Overig!F321),""",""????0;"",""???-0;"",""????0;"", ////"""),"'","""")&amp;SUBSTITUTE(TEXT(Overig!G321,""",""?00;"",""?-00;"",""?00;"", //"""),"'","""")</f>
        <v>081, 19400416, 13.45, 7490, 00,  290, 00</v>
      </c>
    </row>
    <row r="322" spans="1:1" x14ac:dyDescent="0.25">
      <c r="A322" s="25" t="str">
        <f ca="1">TEXT(Overig!A322,"000\,")&amp;TEXT(Overig!B322,"?00000000")&amp;TEXT(Overig!C322,""", ""@")&amp;SUBSTITUTE(TEXT(IF(ISTEXT(Overig!D322),Overig!D322,10*Overig!D322),""",""????0;"",""???-0;"",""????0;"", ////"""),"'","""")&amp;SUBSTITUTE(TEXT(Overig!E322,""",""?00;"",""?-00;"",""?00;"", //"""),"'","""")&amp;SUBSTITUTE(TEXT(IF(ISTEXT(Overig!F322),Overig!F322,10*Overig!F322),""",""????0;"",""???-0;"",""????0;"", ////"""),"'","""")&amp;SUBSTITUTE(TEXT(Overig!G322,""",""?00;"",""?-00;"",""?00;"", //"""),"'","""")</f>
        <v>081, 19400416, 19.45, 7480, 00,  270, 00</v>
      </c>
    </row>
    <row r="323" spans="1:1" x14ac:dyDescent="0.25">
      <c r="A323" s="25" t="str">
        <f ca="1">TEXT(Overig!A323,"000\,")&amp;TEXT(Overig!B323,"?00000000")&amp;TEXT(Overig!C323,""", ""@")&amp;SUBSTITUTE(TEXT(IF(ISTEXT(Overig!D323),Overig!D323,10*Overig!D323),""",""????0;"",""???-0;"",""????0;"", ////"""),"'","""")&amp;SUBSTITUTE(TEXT(Overig!E323,""",""?00;"",""?-00;"",""?00;"", //"""),"'","""")&amp;SUBSTITUTE(TEXT(IF(ISTEXT(Overig!F323),Overig!F323,10*Overig!F323),""",""????0;"",""???-0;"",""????0;"", ////"""),"'","""")&amp;SUBSTITUTE(TEXT(Overig!G323,""",""?00;"",""?-00;"",""?00;"", //"""),"'","""")</f>
        <v>081, 19400417, 07.45, 7480, 00,  260, 00</v>
      </c>
    </row>
    <row r="324" spans="1:1" x14ac:dyDescent="0.25">
      <c r="A324" s="25" t="str">
        <f ca="1">TEXT(Overig!A324,"000\,")&amp;TEXT(Overig!B324,"?00000000")&amp;TEXT(Overig!C324,""", ""@")&amp;SUBSTITUTE(TEXT(IF(ISTEXT(Overig!D324),Overig!D324,10*Overig!D324),""",""????0;"",""???-0;"",""????0;"", ////"""),"'","""")&amp;SUBSTITUTE(TEXT(Overig!E324,""",""?00;"",""?-00;"",""?00;"", //"""),"'","""")&amp;SUBSTITUTE(TEXT(IF(ISTEXT(Overig!F324),Overig!F324,10*Overig!F324),""",""????0;"",""???-0;"",""????0;"", ////"""),"'","""")&amp;SUBSTITUTE(TEXT(Overig!G324,""",""?00;"",""?-00;"",""?00;"", //"""),"'","""")</f>
        <v>081, 19400417, 13.45, 7470, 00,  290, 00</v>
      </c>
    </row>
    <row r="325" spans="1:1" x14ac:dyDescent="0.25">
      <c r="A325" s="25" t="str">
        <f ca="1">TEXT(Overig!A325,"000\,")&amp;TEXT(Overig!B325,"?00000000")&amp;TEXT(Overig!C325,""", ""@")&amp;SUBSTITUTE(TEXT(IF(ISTEXT(Overig!D325),Overig!D325,10*Overig!D325),""",""????0;"",""???-0;"",""????0;"", ////"""),"'","""")&amp;SUBSTITUTE(TEXT(Overig!E325,""",""?00;"",""?-00;"",""?00;"", //"""),"'","""")&amp;SUBSTITUTE(TEXT(IF(ISTEXT(Overig!F325),Overig!F325,10*Overig!F325),""",""????0;"",""???-0;"",""????0;"", ////"""),"'","""")&amp;SUBSTITUTE(TEXT(Overig!G325,""",""?00;"",""?-00;"",""?00;"", //"""),"'","""")</f>
        <v>081, 19400417, 19.45, 7470, 00,  270, 00</v>
      </c>
    </row>
    <row r="326" spans="1:1" x14ac:dyDescent="0.25">
      <c r="A326" s="25" t="str">
        <f ca="1">TEXT(Overig!A326,"000\,")&amp;TEXT(Overig!B326,"?00000000")&amp;TEXT(Overig!C326,""", ""@")&amp;SUBSTITUTE(TEXT(IF(ISTEXT(Overig!D326),Overig!D326,10*Overig!D326),""",""????0;"",""???-0;"",""????0;"", ////"""),"'","""")&amp;SUBSTITUTE(TEXT(Overig!E326,""",""?00;"",""?-00;"",""?00;"", //"""),"'","""")&amp;SUBSTITUTE(TEXT(IF(ISTEXT(Overig!F326),Overig!F326,10*Overig!F326),""",""????0;"",""???-0;"",""????0;"", ////"""),"'","""")&amp;SUBSTITUTE(TEXT(Overig!G326,""",""?00;"",""?-00;"",""?00;"", //"""),"'","""")</f>
        <v>081, 19400418, 07.45, 7470, 00,  260, 00</v>
      </c>
    </row>
    <row r="327" spans="1:1" x14ac:dyDescent="0.25">
      <c r="A327" s="25" t="str">
        <f ca="1">TEXT(Overig!A327,"000\,")&amp;TEXT(Overig!B327,"?00000000")&amp;TEXT(Overig!C327,""", ""@")&amp;SUBSTITUTE(TEXT(IF(ISTEXT(Overig!D327),Overig!D327,10*Overig!D327),""",""????0;"",""???-0;"",""????0;"", ////"""),"'","""")&amp;SUBSTITUTE(TEXT(Overig!E327,""",""?00;"",""?-00;"",""?00;"", //"""),"'","""")&amp;SUBSTITUTE(TEXT(IF(ISTEXT(Overig!F327),Overig!F327,10*Overig!F327),""",""????0;"",""???-0;"",""????0;"", ////"""),"'","""")&amp;SUBSTITUTE(TEXT(Overig!G327,""",""?00;"",""?-00;"",""?00;"", //"""),"'","""")</f>
        <v>081, 19400418, 13.45, 7470, 00,  300, 00</v>
      </c>
    </row>
    <row r="328" spans="1:1" x14ac:dyDescent="0.25">
      <c r="A328" s="25" t="str">
        <f ca="1">TEXT(Overig!A328,"000\,")&amp;TEXT(Overig!B328,"?00000000")&amp;TEXT(Overig!C328,""", ""@")&amp;SUBSTITUTE(TEXT(IF(ISTEXT(Overig!D328),Overig!D328,10*Overig!D328),""",""????0;"",""???-0;"",""????0;"", ////"""),"'","""")&amp;SUBSTITUTE(TEXT(Overig!E328,""",""?00;"",""?-00;"",""?00;"", //"""),"'","""")&amp;SUBSTITUTE(TEXT(IF(ISTEXT(Overig!F328),Overig!F328,10*Overig!F328),""",""????0;"",""???-0;"",""????0;"", ////"""),"'","""")&amp;SUBSTITUTE(TEXT(Overig!G328,""",""?00;"",""?-00;"",""?00;"", //"""),"'","""")</f>
        <v>081, 19400418, 19.45, 7470, 00,  290, 00</v>
      </c>
    </row>
    <row r="329" spans="1:1" x14ac:dyDescent="0.25">
      <c r="A329" s="25" t="str">
        <f ca="1">TEXT(Overig!A329,"000\,")&amp;TEXT(Overig!B329,"?00000000")&amp;TEXT(Overig!C329,""", ""@")&amp;SUBSTITUTE(TEXT(IF(ISTEXT(Overig!D329),Overig!D329,10*Overig!D329),""",""????0;"",""???-0;"",""????0;"", ////"""),"'","""")&amp;SUBSTITUTE(TEXT(Overig!E329,""",""?00;"",""?-00;"",""?00;"", //"""),"'","""")&amp;SUBSTITUTE(TEXT(IF(ISTEXT(Overig!F329),Overig!F329,10*Overig!F329),""",""????0;"",""???-0;"",""????0;"", ////"""),"'","""")&amp;SUBSTITUTE(TEXT(Overig!G329,""",""?00;"",""?-00;"",""?00;"", //"""),"'","""")</f>
        <v>081, 19400419, 07.45, 7470, 00,  270, 00</v>
      </c>
    </row>
    <row r="330" spans="1:1" x14ac:dyDescent="0.25">
      <c r="A330" s="25" t="str">
        <f ca="1">TEXT(Overig!A330,"000\,")&amp;TEXT(Overig!B330,"?00000000")&amp;TEXT(Overig!C330,""", ""@")&amp;SUBSTITUTE(TEXT(IF(ISTEXT(Overig!D330),Overig!D330,10*Overig!D330),""",""????0;"",""???-0;"",""????0;"", ////"""),"'","""")&amp;SUBSTITUTE(TEXT(Overig!E330,""",""?00;"",""?-00;"",""?00;"", //"""),"'","""")&amp;SUBSTITUTE(TEXT(IF(ISTEXT(Overig!F330),Overig!F330,10*Overig!F330),""",""????0;"",""???-0;"",""????0;"", ////"""),"'","""")&amp;SUBSTITUTE(TEXT(Overig!G330,""",""?00;"",""?-00;"",""?00;"", //"""),"'","""")</f>
        <v>081, 19400419, 13.45, 7470, 00,  290, 00</v>
      </c>
    </row>
    <row r="331" spans="1:1" x14ac:dyDescent="0.25">
      <c r="A331" s="25" t="str">
        <f ca="1">TEXT(Overig!A331,"000\,")&amp;TEXT(Overig!B331,"?00000000")&amp;TEXT(Overig!C331,""", ""@")&amp;SUBSTITUTE(TEXT(IF(ISTEXT(Overig!D331),Overig!D331,10*Overig!D331),""",""????0;"",""???-0;"",""????0;"", ////"""),"'","""")&amp;SUBSTITUTE(TEXT(Overig!E331,""",""?00;"",""?-00;"",""?00;"", //"""),"'","""")&amp;SUBSTITUTE(TEXT(IF(ISTEXT(Overig!F331),Overig!F331,10*Overig!F331),""",""????0;"",""???-0;"",""????0;"", ////"""),"'","""")&amp;SUBSTITUTE(TEXT(Overig!G331,""",""?00;"",""?-00;"",""?00;"", //"""),"'","""")</f>
        <v>081, 19400419, 19.45, 7470, 00,  270, 00</v>
      </c>
    </row>
    <row r="332" spans="1:1" x14ac:dyDescent="0.25">
      <c r="A332" s="25" t="str">
        <f ca="1">TEXT(Overig!A332,"000\,")&amp;TEXT(Overig!B332,"?00000000")&amp;TEXT(Overig!C332,""", ""@")&amp;SUBSTITUTE(TEXT(IF(ISTEXT(Overig!D332),Overig!D332,10*Overig!D332),""",""????0;"",""???-0;"",""????0;"", ////"""),"'","""")&amp;SUBSTITUTE(TEXT(Overig!E332,""",""?00;"",""?-00;"",""?00;"", //"""),"'","""")&amp;SUBSTITUTE(TEXT(IF(ISTEXT(Overig!F332),Overig!F332,10*Overig!F332),""",""????0;"",""???-0;"",""????0;"", ////"""),"'","""")&amp;SUBSTITUTE(TEXT(Overig!G332,""",""?00;"",""?-00;"",""?00;"", //"""),"'","""")</f>
        <v>081, 19400420, 07.45, 7470, 00,  260, 00</v>
      </c>
    </row>
    <row r="333" spans="1:1" x14ac:dyDescent="0.25">
      <c r="A333" s="25" t="str">
        <f ca="1">TEXT(Overig!A333,"000\,")&amp;TEXT(Overig!B333,"?00000000")&amp;TEXT(Overig!C333,""", ""@")&amp;SUBSTITUTE(TEXT(IF(ISTEXT(Overig!D333),Overig!D333,10*Overig!D333),""",""????0;"",""???-0;"",""????0;"", ////"""),"'","""")&amp;SUBSTITUTE(TEXT(Overig!E333,""",""?00;"",""?-00;"",""?00;"", //"""),"'","""")&amp;SUBSTITUTE(TEXT(IF(ISTEXT(Overig!F333),Overig!F333,10*Overig!F333),""",""????0;"",""???-0;"",""????0;"", ////"""),"'","""")&amp;SUBSTITUTE(TEXT(Overig!G333,""",""?00;"",""?-00;"",""?00;"", //"""),"'","""")</f>
        <v>081, 19400420, 13.45, 7470, 00,  290, 00</v>
      </c>
    </row>
    <row r="334" spans="1:1" x14ac:dyDescent="0.25">
      <c r="A334" s="25" t="str">
        <f ca="1">TEXT(Overig!A334,"000\,")&amp;TEXT(Overig!B334,"?00000000")&amp;TEXT(Overig!C334,""", ""@")&amp;SUBSTITUTE(TEXT(IF(ISTEXT(Overig!D334),Overig!D334,10*Overig!D334),""",""????0;"",""???-0;"",""????0;"", ////"""),"'","""")&amp;SUBSTITUTE(TEXT(Overig!E334,""",""?00;"",""?-00;"",""?00;"", //"""),"'","""")&amp;SUBSTITUTE(TEXT(IF(ISTEXT(Overig!F334),Overig!F334,10*Overig!F334),""",""????0;"",""???-0;"",""????0;"", ////"""),"'","""")&amp;SUBSTITUTE(TEXT(Overig!G334,""",""?00;"",""?-00;"",""?00;"", //"""),"'","""")</f>
        <v>081, 19400420, 19.45, 7480, 00,  270, 00</v>
      </c>
    </row>
    <row r="335" spans="1:1" x14ac:dyDescent="0.25">
      <c r="A335" s="25" t="str">
        <f ca="1">TEXT(Overig!A335,"000\,")&amp;TEXT(Overig!B335,"?00000000")&amp;TEXT(Overig!C335,""", ""@")&amp;SUBSTITUTE(TEXT(IF(ISTEXT(Overig!D335),Overig!D335,10*Overig!D335),""",""????0;"",""???-0;"",""????0;"", ////"""),"'","""")&amp;SUBSTITUTE(TEXT(Overig!E335,""",""?00;"",""?-00;"",""?00;"", //"""),"'","""")&amp;SUBSTITUTE(TEXT(IF(ISTEXT(Overig!F335),Overig!F335,10*Overig!F335),""",""????0;"",""???-0;"",""????0;"", ////"""),"'","""")&amp;SUBSTITUTE(TEXT(Overig!G335,""",""?00;"",""?-00;"",""?00;"", //"""),"'","""")</f>
        <v>081, 19400421, 07.45, 7470, 00,  260, 00</v>
      </c>
    </row>
    <row r="336" spans="1:1" x14ac:dyDescent="0.25">
      <c r="A336" s="25" t="str">
        <f ca="1">TEXT(Overig!A336,"000\,")&amp;TEXT(Overig!B336,"?00000000")&amp;TEXT(Overig!C336,""", ""@")&amp;SUBSTITUTE(TEXT(IF(ISTEXT(Overig!D336),Overig!D336,10*Overig!D336),""",""????0;"",""???-0;"",""????0;"", ////"""),"'","""")&amp;SUBSTITUTE(TEXT(Overig!E336,""",""?00;"",""?-00;"",""?00;"", //"""),"'","""")&amp;SUBSTITUTE(TEXT(IF(ISTEXT(Overig!F336),Overig!F336,10*Overig!F336),""",""????0;"",""???-0;"",""????0;"", ////"""),"'","""")&amp;SUBSTITUTE(TEXT(Overig!G336,""",""?00;"",""?-00;"",""?00;"", //"""),"'","""")</f>
        <v>081, 19400421, 13.45, 7470, 00,  280, 00</v>
      </c>
    </row>
    <row r="337" spans="1:1" x14ac:dyDescent="0.25">
      <c r="A337" s="25" t="str">
        <f ca="1">TEXT(Overig!A337,"000\,")&amp;TEXT(Overig!B337,"?00000000")&amp;TEXT(Overig!C337,""", ""@")&amp;SUBSTITUTE(TEXT(IF(ISTEXT(Overig!D337),Overig!D337,10*Overig!D337),""",""????0;"",""???-0;"",""????0;"", ////"""),"'","""")&amp;SUBSTITUTE(TEXT(Overig!E337,""",""?00;"",""?-00;"",""?00;"", //"""),"'","""")&amp;SUBSTITUTE(TEXT(IF(ISTEXT(Overig!F337),Overig!F337,10*Overig!F337),""",""????0;"",""???-0;"",""????0;"", ////"""),"'","""")&amp;SUBSTITUTE(TEXT(Overig!G337,""",""?00;"",""?-00;"",""?00;"", //"""),"'","""")</f>
        <v>081, 19400421, 19.45, 7470, 00,  280, 00</v>
      </c>
    </row>
    <row r="338" spans="1:1" x14ac:dyDescent="0.25">
      <c r="A338" s="25" t="str">
        <f ca="1">TEXT(Overig!A338,"000\,")&amp;TEXT(Overig!B338,"?00000000")&amp;TEXT(Overig!C338,""", ""@")&amp;SUBSTITUTE(TEXT(IF(ISTEXT(Overig!D338),Overig!D338,10*Overig!D338),""",""????0;"",""???-0;"",""????0;"", ////"""),"'","""")&amp;SUBSTITUTE(TEXT(Overig!E338,""",""?00;"",""?-00;"",""?00;"", //"""),"'","""")&amp;SUBSTITUTE(TEXT(IF(ISTEXT(Overig!F338),Overig!F338,10*Overig!F338),""",""????0;"",""???-0;"",""????0;"", ////"""),"'","""")&amp;SUBSTITUTE(TEXT(Overig!G338,""",""?00;"",""?-00;"",""?00;"", //"""),"'","""")</f>
        <v>081, 19400422, 07.45, 7470, 00,  270, 00</v>
      </c>
    </row>
    <row r="339" spans="1:1" x14ac:dyDescent="0.25">
      <c r="A339" s="25" t="str">
        <f ca="1">TEXT(Overig!A339,"000\,")&amp;TEXT(Overig!B339,"?00000000")&amp;TEXT(Overig!C339,""", ""@")&amp;SUBSTITUTE(TEXT(IF(ISTEXT(Overig!D339),Overig!D339,10*Overig!D339),""",""????0;"",""???-0;"",""????0;"", ////"""),"'","""")&amp;SUBSTITUTE(TEXT(Overig!E339,""",""?00;"",""?-00;"",""?00;"", //"""),"'","""")&amp;SUBSTITUTE(TEXT(IF(ISTEXT(Overig!F339),Overig!F339,10*Overig!F339),""",""????0;"",""???-0;"",""????0;"", ////"""),"'","""")&amp;SUBSTITUTE(TEXT(Overig!G339,""",""?00;"",""?-00;"",""?00;"", //"""),"'","""")</f>
        <v>081, 19400422, 13.45, 7460, 00,  290, 00</v>
      </c>
    </row>
    <row r="340" spans="1:1" x14ac:dyDescent="0.25">
      <c r="A340" s="25" t="str">
        <f ca="1">TEXT(Overig!A340,"000\,")&amp;TEXT(Overig!B340,"?00000000")&amp;TEXT(Overig!C340,""", ""@")&amp;SUBSTITUTE(TEXT(IF(ISTEXT(Overig!D340),Overig!D340,10*Overig!D340),""",""????0;"",""???-0;"",""????0;"", ////"""),"'","""")&amp;SUBSTITUTE(TEXT(Overig!E340,""",""?00;"",""?-00;"",""?00;"", //"""),"'","""")&amp;SUBSTITUTE(TEXT(IF(ISTEXT(Overig!F340),Overig!F340,10*Overig!F340),""",""????0;"",""???-0;"",""????0;"", ////"""),"'","""")&amp;SUBSTITUTE(TEXT(Overig!G340,""",""?00;"",""?-00;"",""?00;"", //"""),"'","""")</f>
        <v>081, 19400422, 19.45, 7470, 00,  280, 00</v>
      </c>
    </row>
    <row r="341" spans="1:1" x14ac:dyDescent="0.25">
      <c r="A341" s="25" t="str">
        <f ca="1">TEXT(Overig!A341,"000\,")&amp;TEXT(Overig!B341,"?00000000")&amp;TEXT(Overig!C341,""", ""@")&amp;SUBSTITUTE(TEXT(IF(ISTEXT(Overig!D341),Overig!D341,10*Overig!D341),""",""????0;"",""???-0;"",""????0;"", ////"""),"'","""")&amp;SUBSTITUTE(TEXT(Overig!E341,""",""?00;"",""?-00;"",""?00;"", //"""),"'","""")&amp;SUBSTITUTE(TEXT(IF(ISTEXT(Overig!F341),Overig!F341,10*Overig!F341),""",""????0;"",""???-0;"",""????0;"", ////"""),"'","""")&amp;SUBSTITUTE(TEXT(Overig!G341,""",""?00;"",""?-00;"",""?00;"", //"""),"'","""")</f>
        <v>081, 19400423, 07.45, 7480, 00,  280, 00</v>
      </c>
    </row>
    <row r="342" spans="1:1" x14ac:dyDescent="0.25">
      <c r="A342" s="25" t="str">
        <f ca="1">TEXT(Overig!A342,"000\,")&amp;TEXT(Overig!B342,"?00000000")&amp;TEXT(Overig!C342,""", ""@")&amp;SUBSTITUTE(TEXT(IF(ISTEXT(Overig!D342),Overig!D342,10*Overig!D342),""",""????0;"",""???-0;"",""????0;"", ////"""),"'","""")&amp;SUBSTITUTE(TEXT(Overig!E342,""",""?00;"",""?-00;"",""?00;"", //"""),"'","""")&amp;SUBSTITUTE(TEXT(IF(ISTEXT(Overig!F342),Overig!F342,10*Overig!F342),""",""????0;"",""???-0;"",""????0;"", ////"""),"'","""")&amp;SUBSTITUTE(TEXT(Overig!G342,""",""?00;"",""?-00;"",""?00;"", //"""),"'","""")</f>
        <v>081, 19400423, 13.45, 7490, 00,  300, 00</v>
      </c>
    </row>
    <row r="343" spans="1:1" x14ac:dyDescent="0.25">
      <c r="A343" s="25" t="str">
        <f ca="1">TEXT(Overig!A343,"000\,")&amp;TEXT(Overig!B343,"?00000000")&amp;TEXT(Overig!C343,""", ""@")&amp;SUBSTITUTE(TEXT(IF(ISTEXT(Overig!D343),Overig!D343,10*Overig!D343),""",""????0;"",""???-0;"",""????0;"", ////"""),"'","""")&amp;SUBSTITUTE(TEXT(Overig!E343,""",""?00;"",""?-00;"",""?00;"", //"""),"'","""")&amp;SUBSTITUTE(TEXT(IF(ISTEXT(Overig!F343),Overig!F343,10*Overig!F343),""",""????0;"",""???-0;"",""????0;"", ////"""),"'","""")&amp;SUBSTITUTE(TEXT(Overig!G343,""",""?00;"",""?-00;"",""?00;"", //"""),"'","""")</f>
        <v>081, 19400423, 19.45, 7490, 00,  290, 00</v>
      </c>
    </row>
    <row r="344" spans="1:1" x14ac:dyDescent="0.25">
      <c r="A344" s="25" t="str">
        <f ca="1">TEXT(Overig!A344,"000\,")&amp;TEXT(Overig!B344,"?00000000")&amp;TEXT(Overig!C344,""", ""@")&amp;SUBSTITUTE(TEXT(IF(ISTEXT(Overig!D344),Overig!D344,10*Overig!D344),""",""????0;"",""???-0;"",""????0;"", ////"""),"'","""")&amp;SUBSTITUTE(TEXT(Overig!E344,""",""?00;"",""?-00;"",""?00;"", //"""),"'","""")&amp;SUBSTITUTE(TEXT(IF(ISTEXT(Overig!F344),Overig!F344,10*Overig!F344),""",""????0;"",""???-0;"",""????0;"", ////"""),"'","""")&amp;SUBSTITUTE(TEXT(Overig!G344,""",""?00;"",""?-00;"",""?00;"", //"""),"'","""")</f>
        <v>081, 19400424, 07.45, 7500, 00,  280, 00</v>
      </c>
    </row>
    <row r="345" spans="1:1" x14ac:dyDescent="0.25">
      <c r="A345" s="25" t="str">
        <f ca="1">TEXT(Overig!A345,"000\,")&amp;TEXT(Overig!B345,"?00000000")&amp;TEXT(Overig!C345,""", ""@")&amp;SUBSTITUTE(TEXT(IF(ISTEXT(Overig!D345),Overig!D345,10*Overig!D345),""",""????0;"",""???-0;"",""????0;"", ////"""),"'","""")&amp;SUBSTITUTE(TEXT(Overig!E345,""",""?00;"",""?-00;"",""?00;"", //"""),"'","""")&amp;SUBSTITUTE(TEXT(IF(ISTEXT(Overig!F345),Overig!F345,10*Overig!F345),""",""????0;"",""???-0;"",""????0;"", ////"""),"'","""")&amp;SUBSTITUTE(TEXT(Overig!G345,""",""?00;"",""?-00;"",""?00;"", //"""),"'","""")</f>
        <v>081, 19400424, 13.45, 7500, 00,  300, 00</v>
      </c>
    </row>
    <row r="346" spans="1:1" x14ac:dyDescent="0.25">
      <c r="A346" s="25" t="str">
        <f ca="1">TEXT(Overig!A346,"000\,")&amp;TEXT(Overig!B346,"?00000000")&amp;TEXT(Overig!C346,""", ""@")&amp;SUBSTITUTE(TEXT(IF(ISTEXT(Overig!D346),Overig!D346,10*Overig!D346),""",""????0;"",""???-0;"",""????0;"", ////"""),"'","""")&amp;SUBSTITUTE(TEXT(Overig!E346,""",""?00;"",""?-00;"",""?00;"", //"""),"'","""")&amp;SUBSTITUTE(TEXT(IF(ISTEXT(Overig!F346),Overig!F346,10*Overig!F346),""",""????0;"",""???-0;"",""????0;"", ////"""),"'","""")&amp;SUBSTITUTE(TEXT(Overig!G346,""",""?00;"",""?-00;"",""?00;"", //"""),"'","""")</f>
        <v>081, 19400424, 19.45, 7500, 00,  290, 00</v>
      </c>
    </row>
    <row r="347" spans="1:1" x14ac:dyDescent="0.25">
      <c r="A347" s="25" t="str">
        <f ca="1">TEXT(Overig!A347,"000\,")&amp;TEXT(Overig!B347,"?00000000")&amp;TEXT(Overig!C347,""", ""@")&amp;SUBSTITUTE(TEXT(IF(ISTEXT(Overig!D347),Overig!D347,10*Overig!D347),""",""????0;"",""???-0;"",""????0;"", ////"""),"'","""")&amp;SUBSTITUTE(TEXT(Overig!E347,""",""?00;"",""?-00;"",""?00;"", //"""),"'","""")&amp;SUBSTITUTE(TEXT(IF(ISTEXT(Overig!F347),Overig!F347,10*Overig!F347),""",""????0;"",""???-0;"",""????0;"", ////"""),"'","""")&amp;SUBSTITUTE(TEXT(Overig!G347,""",""?00;"",""?-00;"",""?00;"", //"""),"'","""")</f>
        <v>081, 19400425, 07.45, 7500, 00,  280, 00</v>
      </c>
    </row>
    <row r="348" spans="1:1" x14ac:dyDescent="0.25">
      <c r="A348" s="25" t="str">
        <f ca="1">TEXT(Overig!A348,"000\,")&amp;TEXT(Overig!B348,"?00000000")&amp;TEXT(Overig!C348,""", ""@")&amp;SUBSTITUTE(TEXT(IF(ISTEXT(Overig!D348),Overig!D348,10*Overig!D348),""",""????0;"",""???-0;"",""????0;"", ////"""),"'","""")&amp;SUBSTITUTE(TEXT(Overig!E348,""",""?00;"",""?-00;"",""?00;"", //"""),"'","""")&amp;SUBSTITUTE(TEXT(IF(ISTEXT(Overig!F348),Overig!F348,10*Overig!F348),""",""????0;"",""???-0;"",""????0;"", ////"""),"'","""")&amp;SUBSTITUTE(TEXT(Overig!G348,""",""?00;"",""?-00;"",""?00;"", //"""),"'","""")</f>
        <v>081, 19400425, 13.45, 7500, 00,  300, 00</v>
      </c>
    </row>
    <row r="349" spans="1:1" x14ac:dyDescent="0.25">
      <c r="A349" s="25" t="str">
        <f ca="1">TEXT(Overig!A349,"000\,")&amp;TEXT(Overig!B349,"?00000000")&amp;TEXT(Overig!C349,""", ""@")&amp;SUBSTITUTE(TEXT(IF(ISTEXT(Overig!D349),Overig!D349,10*Overig!D349),""",""????0;"",""???-0;"",""????0;"", ////"""),"'","""")&amp;SUBSTITUTE(TEXT(Overig!E349,""",""?00;"",""?-00;"",""?00;"", //"""),"'","""")&amp;SUBSTITUTE(TEXT(IF(ISTEXT(Overig!F349),Overig!F349,10*Overig!F349),""",""????0;"",""???-0;"",""????0;"", ////"""),"'","""")&amp;SUBSTITUTE(TEXT(Overig!G349,""",""?00;"",""?-00;"",""?00;"", //"""),"'","""")</f>
        <v>081, 19400425, 19.45, 7500, 00,  280, 00</v>
      </c>
    </row>
    <row r="350" spans="1:1" x14ac:dyDescent="0.25">
      <c r="A350" s="25" t="str">
        <f ca="1">TEXT(Overig!A350,"000\,")&amp;TEXT(Overig!B350,"?00000000")&amp;TEXT(Overig!C350,""", ""@")&amp;SUBSTITUTE(TEXT(IF(ISTEXT(Overig!D350),Overig!D350,10*Overig!D350),""",""????0;"",""???-0;"",""????0;"", ////"""),"'","""")&amp;SUBSTITUTE(TEXT(Overig!E350,""",""?00;"",""?-00;"",""?00;"", //"""),"'","""")&amp;SUBSTITUTE(TEXT(IF(ISTEXT(Overig!F350),Overig!F350,10*Overig!F350),""",""????0;"",""???-0;"",""????0;"", ////"""),"'","""")&amp;SUBSTITUTE(TEXT(Overig!G350,""",""?00;"",""?-00;"",""?00;"", //"""),"'","""")</f>
        <v>081, 19400426, 07.45, 7500, 00,  270, 00</v>
      </c>
    </row>
    <row r="351" spans="1:1" x14ac:dyDescent="0.25">
      <c r="A351" s="25" t="str">
        <f ca="1">TEXT(Overig!A351,"000\,")&amp;TEXT(Overig!B351,"?00000000")&amp;TEXT(Overig!C351,""", ""@")&amp;SUBSTITUTE(TEXT(IF(ISTEXT(Overig!D351),Overig!D351,10*Overig!D351),""",""????0;"",""???-0;"",""????0;"", ////"""),"'","""")&amp;SUBSTITUTE(TEXT(Overig!E351,""",""?00;"",""?-00;"",""?00;"", //"""),"'","""")&amp;SUBSTITUTE(TEXT(IF(ISTEXT(Overig!F351),Overig!F351,10*Overig!F351),""",""????0;"",""???-0;"",""????0;"", ////"""),"'","""")&amp;SUBSTITUTE(TEXT(Overig!G351,""",""?00;"",""?-00;"",""?00;"", //"""),"'","""")</f>
        <v>081, 19400426, 13.45, 7490, 00,  300, 00</v>
      </c>
    </row>
    <row r="352" spans="1:1" x14ac:dyDescent="0.25">
      <c r="A352" s="25" t="str">
        <f ca="1">TEXT(Overig!A352,"000\,")&amp;TEXT(Overig!B352,"?00000000")&amp;TEXT(Overig!C352,""", ""@")&amp;SUBSTITUTE(TEXT(IF(ISTEXT(Overig!D352),Overig!D352,10*Overig!D352),""",""????0;"",""???-0;"",""????0;"", ////"""),"'","""")&amp;SUBSTITUTE(TEXT(Overig!E352,""",""?00;"",""?-00;"",""?00;"", //"""),"'","""")&amp;SUBSTITUTE(TEXT(IF(ISTEXT(Overig!F352),Overig!F352,10*Overig!F352),""",""????0;"",""???-0;"",""????0;"", ////"""),"'","""")&amp;SUBSTITUTE(TEXT(Overig!G352,""",""?00;"",""?-00;"",""?00;"", //"""),"'","""")</f>
        <v>081, 19400426, 19.45, 7490, 00,  280, 00</v>
      </c>
    </row>
    <row r="353" spans="1:1" x14ac:dyDescent="0.25">
      <c r="A353" s="25" t="str">
        <f ca="1">TEXT(Overig!A353,"000\,")&amp;TEXT(Overig!B353,"?00000000")&amp;TEXT(Overig!C353,""", ""@")&amp;SUBSTITUTE(TEXT(IF(ISTEXT(Overig!D353),Overig!D353,10*Overig!D353),""",""????0;"",""???-0;"",""????0;"", ////"""),"'","""")&amp;SUBSTITUTE(TEXT(Overig!E353,""",""?00;"",""?-00;"",""?00;"", //"""),"'","""")&amp;SUBSTITUTE(TEXT(IF(ISTEXT(Overig!F353),Overig!F353,10*Overig!F353),""",""????0;"",""???-0;"",""????0;"", ////"""),"'","""")&amp;SUBSTITUTE(TEXT(Overig!G353,""",""?00;"",""?-00;"",""?00;"", //"""),"'","""")</f>
        <v>081, 19400427, 07.45, 7500, 00,  270, 00</v>
      </c>
    </row>
    <row r="354" spans="1:1" x14ac:dyDescent="0.25">
      <c r="A354" s="25" t="str">
        <f ca="1">TEXT(Overig!A354,"000\,")&amp;TEXT(Overig!B354,"?00000000")&amp;TEXT(Overig!C354,""", ""@")&amp;SUBSTITUTE(TEXT(IF(ISTEXT(Overig!D354),Overig!D354,10*Overig!D354),""",""????0;"",""???-0;"",""????0;"", ////"""),"'","""")&amp;SUBSTITUTE(TEXT(Overig!E354,""",""?00;"",""?-00;"",""?00;"", //"""),"'","""")&amp;SUBSTITUTE(TEXT(IF(ISTEXT(Overig!F354),Overig!F354,10*Overig!F354),""",""????0;"",""???-0;"",""????0;"", ////"""),"'","""")&amp;SUBSTITUTE(TEXT(Overig!G354,""",""?00;"",""?-00;"",""?00;"", //"""),"'","""")</f>
        <v>081, 19400427, 13.45, 7490, 00,  290, 00</v>
      </c>
    </row>
    <row r="355" spans="1:1" x14ac:dyDescent="0.25">
      <c r="A355" s="25" t="str">
        <f ca="1">TEXT(Overig!A355,"000\,")&amp;TEXT(Overig!B355,"?00000000")&amp;TEXT(Overig!C355,""", ""@")&amp;SUBSTITUTE(TEXT(IF(ISTEXT(Overig!D355),Overig!D355,10*Overig!D355),""",""????0;"",""???-0;"",""????0;"", ////"""),"'","""")&amp;SUBSTITUTE(TEXT(Overig!E355,""",""?00;"",""?-00;"",""?00;"", //"""),"'","""")&amp;SUBSTITUTE(TEXT(IF(ISTEXT(Overig!F355),Overig!F355,10*Overig!F355),""",""????0;"",""???-0;"",""????0;"", ////"""),"'","""")&amp;SUBSTITUTE(TEXT(Overig!G355,""",""?00;"",""?-00;"",""?00;"", //"""),"'","""")</f>
        <v>081, 19400427, 19.45, 7500, 00,  280, 00</v>
      </c>
    </row>
    <row r="356" spans="1:1" x14ac:dyDescent="0.25">
      <c r="A356" s="25" t="str">
        <f ca="1">TEXT(Overig!A356,"000\,")&amp;TEXT(Overig!B356,"?00000000")&amp;TEXT(Overig!C356,""", ""@")&amp;SUBSTITUTE(TEXT(IF(ISTEXT(Overig!D356),Overig!D356,10*Overig!D356),""",""????0;"",""???-0;"",""????0;"", ////"""),"'","""")&amp;SUBSTITUTE(TEXT(Overig!E356,""",""?00;"",""?-00;"",""?00;"", //"""),"'","""")&amp;SUBSTITUTE(TEXT(IF(ISTEXT(Overig!F356),Overig!F356,10*Overig!F356),""",""????0;"",""???-0;"",""????0;"", ////"""),"'","""")&amp;SUBSTITUTE(TEXT(Overig!G356,""",""?00;"",""?-00;"",""?00;"", //"""),"'","""")</f>
        <v>081, 19400428, 07.45, 7500, 00,  280, 00</v>
      </c>
    </row>
    <row r="357" spans="1:1" x14ac:dyDescent="0.25">
      <c r="A357" s="25" t="str">
        <f ca="1">TEXT(Overig!A357,"000\,")&amp;TEXT(Overig!B357,"?00000000")&amp;TEXT(Overig!C357,""", ""@")&amp;SUBSTITUTE(TEXT(IF(ISTEXT(Overig!D357),Overig!D357,10*Overig!D357),""",""????0;"",""???-0;"",""????0;"", ////"""),"'","""")&amp;SUBSTITUTE(TEXT(Overig!E357,""",""?00;"",""?-00;"",""?00;"", //"""),"'","""")&amp;SUBSTITUTE(TEXT(IF(ISTEXT(Overig!F357),Overig!F357,10*Overig!F357),""",""????0;"",""???-0;"",""????0;"", ////"""),"'","""")&amp;SUBSTITUTE(TEXT(Overig!G357,""",""?00;"",""?-00;"",""?00;"", //"""),"'","""")</f>
        <v>081, 19400428, 13.45, 7490, 00,  300, 00</v>
      </c>
    </row>
    <row r="358" spans="1:1" x14ac:dyDescent="0.25">
      <c r="A358" s="25" t="str">
        <f ca="1">TEXT(Overig!A358,"000\,")&amp;TEXT(Overig!B358,"?00000000")&amp;TEXT(Overig!C358,""", ""@")&amp;SUBSTITUTE(TEXT(IF(ISTEXT(Overig!D358),Overig!D358,10*Overig!D358),""",""????0;"",""???-0;"",""????0;"", ////"""),"'","""")&amp;SUBSTITUTE(TEXT(Overig!E358,""",""?00;"",""?-00;"",""?00;"", //"""),"'","""")&amp;SUBSTITUTE(TEXT(IF(ISTEXT(Overig!F358),Overig!F358,10*Overig!F358),""",""????0;"",""???-0;"",""????0;"", ////"""),"'","""")&amp;SUBSTITUTE(TEXT(Overig!G358,""",""?00;"",""?-00;"",""?00;"", //"""),"'","""")</f>
        <v>081, 19400428, 19.45, 7490, 00,  280, 00</v>
      </c>
    </row>
    <row r="359" spans="1:1" x14ac:dyDescent="0.25">
      <c r="A359" s="25" t="str">
        <f ca="1">TEXT(Overig!A359,"000\,")&amp;TEXT(Overig!B359,"?00000000")&amp;TEXT(Overig!C359,""", ""@")&amp;SUBSTITUTE(TEXT(IF(ISTEXT(Overig!D359),Overig!D359,10*Overig!D359),""",""????0;"",""???-0;"",""????0;"", ////"""),"'","""")&amp;SUBSTITUTE(TEXT(Overig!E359,""",""?00;"",""?-00;"",""?00;"", //"""),"'","""")&amp;SUBSTITUTE(TEXT(IF(ISTEXT(Overig!F359),Overig!F359,10*Overig!F359),""",""????0;"",""???-0;"",""????0;"", ////"""),"'","""")&amp;SUBSTITUTE(TEXT(Overig!G359,""",""?00;"",""?-00;"",""?00;"", //"""),"'","""")</f>
        <v>081, 19400429, 07.45, 7490, 00,  280, 00</v>
      </c>
    </row>
    <row r="360" spans="1:1" x14ac:dyDescent="0.25">
      <c r="A360" s="25" t="str">
        <f ca="1">TEXT(Overig!A360,"000\,")&amp;TEXT(Overig!B360,"?00000000")&amp;TEXT(Overig!C360,""", ""@")&amp;SUBSTITUTE(TEXT(IF(ISTEXT(Overig!D360),Overig!D360,10*Overig!D360),""",""????0;"",""???-0;"",""????0;"", ////"""),"'","""")&amp;SUBSTITUTE(TEXT(Overig!E360,""",""?00;"",""?-00;"",""?00;"", //"""),"'","""")&amp;SUBSTITUTE(TEXT(IF(ISTEXT(Overig!F360),Overig!F360,10*Overig!F360),""",""????0;"",""???-0;"",""????0;"", ////"""),"'","""")&amp;SUBSTITUTE(TEXT(Overig!G360,""",""?00;"",""?-00;"",""?00;"", //"""),"'","""")</f>
        <v>081, 19400429, 13.45, 7480, 00,  300, 00</v>
      </c>
    </row>
    <row r="361" spans="1:1" x14ac:dyDescent="0.25">
      <c r="A361" s="25" t="str">
        <f ca="1">TEXT(Overig!A361,"000\,")&amp;TEXT(Overig!B361,"?00000000")&amp;TEXT(Overig!C361,""", ""@")&amp;SUBSTITUTE(TEXT(IF(ISTEXT(Overig!D361),Overig!D361,10*Overig!D361),""",""????0;"",""???-0;"",""????0;"", ////"""),"'","""")&amp;SUBSTITUTE(TEXT(Overig!E361,""",""?00;"",""?-00;"",""?00;"", //"""),"'","""")&amp;SUBSTITUTE(TEXT(IF(ISTEXT(Overig!F361),Overig!F361,10*Overig!F361),""",""????0;"",""???-0;"",""????0;"", ////"""),"'","""")&amp;SUBSTITUTE(TEXT(Overig!G361,""",""?00;"",""?-00;"",""?00;"", //"""),"'","""")</f>
        <v>081, 19400429, 19.45, 7480, 00,  290, 00</v>
      </c>
    </row>
    <row r="362" spans="1:1" x14ac:dyDescent="0.25">
      <c r="A362" s="25" t="str">
        <f ca="1">TEXT(Overig!A362,"000\,")&amp;TEXT(Overig!B362,"?00000000")&amp;TEXT(Overig!C362,""", ""@")&amp;SUBSTITUTE(TEXT(IF(ISTEXT(Overig!D362),Overig!D362,10*Overig!D362),""",""????0;"",""???-0;"",""????0;"", ////"""),"'","""")&amp;SUBSTITUTE(TEXT(Overig!E362,""",""?00;"",""?-00;"",""?00;"", //"""),"'","""")&amp;SUBSTITUTE(TEXT(IF(ISTEXT(Overig!F362),Overig!F362,10*Overig!F362),""",""????0;"",""???-0;"",""????0;"", ////"""),"'","""")&amp;SUBSTITUTE(TEXT(Overig!G362,""",""?00;"",""?-00;"",""?00;"", //"""),"'","""")</f>
        <v>081, 19400430, 07.45, 7490, 00,  280, 00</v>
      </c>
    </row>
    <row r="363" spans="1:1" x14ac:dyDescent="0.25">
      <c r="A363" s="25" t="str">
        <f ca="1">TEXT(Overig!A363,"000\,")&amp;TEXT(Overig!B363,"?00000000")&amp;TEXT(Overig!C363,""", ""@")&amp;SUBSTITUTE(TEXT(IF(ISTEXT(Overig!D363),Overig!D363,10*Overig!D363),""",""????0;"",""???-0;"",""????0;"", ////"""),"'","""")&amp;SUBSTITUTE(TEXT(Overig!E363,""",""?00;"",""?-00;"",""?00;"", //"""),"'","""")&amp;SUBSTITUTE(TEXT(IF(ISTEXT(Overig!F363),Overig!F363,10*Overig!F363),""",""????0;"",""???-0;"",""????0;"", ////"""),"'","""")&amp;SUBSTITUTE(TEXT(Overig!G363,""",""?00;"",""?-00;"",""?00;"", //"""),"'","""")</f>
        <v>081, 19400430, 13.45, 7500, 00,  280, 00</v>
      </c>
    </row>
    <row r="364" spans="1:1" x14ac:dyDescent="0.25">
      <c r="A364" s="25" t="str">
        <f ca="1">TEXT(Overig!A364,"000\,")&amp;TEXT(Overig!B364,"?00000000")&amp;TEXT(Overig!C364,""", ""@")&amp;SUBSTITUTE(TEXT(IF(ISTEXT(Overig!D364),Overig!D364,10*Overig!D364),""",""????0;"",""???-0;"",""????0;"", ////"""),"'","""")&amp;SUBSTITUTE(TEXT(Overig!E364,""",""?00;"",""?-00;"",""?00;"", //"""),"'","""")&amp;SUBSTITUTE(TEXT(IF(ISTEXT(Overig!F364),Overig!F364,10*Overig!F364),""",""????0;"",""???-0;"",""????0;"", ////"""),"'","""")&amp;SUBSTITUTE(TEXT(Overig!G364,""",""?00;"",""?-00;"",""?00;"", //"""),"'","""")</f>
        <v>081, 19400430, 19.45, 7500, 00,  270, 00</v>
      </c>
    </row>
    <row r="365" spans="1:1" x14ac:dyDescent="0.25">
      <c r="A365" s="25" t="str">
        <f ca="1">TEXT(Overig!A365,"000\,")&amp;TEXT(Overig!B365,"?00000000")&amp;TEXT(Overig!C365,""", ""@")&amp;SUBSTITUTE(TEXT(IF(ISTEXT(Overig!D365),Overig!D365,10*Overig!D365),""",""????0;"",""???-0;"",""????0;"", ////"""),"'","""")&amp;SUBSTITUTE(TEXT(Overig!E365,""",""?00;"",""?-00;"",""?00;"", //"""),"'","""")&amp;SUBSTITUTE(TEXT(IF(ISTEXT(Overig!F365),Overig!F365,10*Overig!F365),""",""????0;"",""???-0;"",""????0;"", ////"""),"'","""")&amp;SUBSTITUTE(TEXT(Overig!G365,""",""?00;"",""?-00;"",""?00;"", //"""),"'","""")</f>
        <v>081, 19400501, 07.45, 7500, 00,  270, 00</v>
      </c>
    </row>
    <row r="366" spans="1:1" x14ac:dyDescent="0.25">
      <c r="A366" s="25" t="str">
        <f ca="1">TEXT(Overig!A366,"000\,")&amp;TEXT(Overig!B366,"?00000000")&amp;TEXT(Overig!C366,""", ""@")&amp;SUBSTITUTE(TEXT(IF(ISTEXT(Overig!D366),Overig!D366,10*Overig!D366),""",""????0;"",""???-0;"",""????0;"", ////"""),"'","""")&amp;SUBSTITUTE(TEXT(Overig!E366,""",""?00;"",""?-00;"",""?00;"", //"""),"'","""")&amp;SUBSTITUTE(TEXT(IF(ISTEXT(Overig!F366),Overig!F366,10*Overig!F366),""",""????0;"",""???-0;"",""????0;"", ////"""),"'","""")&amp;SUBSTITUTE(TEXT(Overig!G366,""",""?00;"",""?-00;"",""?00;"", //"""),"'","""")</f>
        <v>081, 19400501, 13.45, 7500, 00,  290, 00</v>
      </c>
    </row>
    <row r="367" spans="1:1" x14ac:dyDescent="0.25">
      <c r="A367" s="25" t="str">
        <f ca="1">TEXT(Overig!A367,"000\,")&amp;TEXT(Overig!B367,"?00000000")&amp;TEXT(Overig!C367,""", ""@")&amp;SUBSTITUTE(TEXT(IF(ISTEXT(Overig!D367),Overig!D367,10*Overig!D367),""",""????0;"",""???-0;"",""????0;"", ////"""),"'","""")&amp;SUBSTITUTE(TEXT(Overig!E367,""",""?00;"",""?-00;"",""?00;"", //"""),"'","""")&amp;SUBSTITUTE(TEXT(IF(ISTEXT(Overig!F367),Overig!F367,10*Overig!F367),""",""????0;"",""???-0;"",""????0;"", ////"""),"'","""")&amp;SUBSTITUTE(TEXT(Overig!G367,""",""?00;"",""?-00;"",""?00;"", //"""),"'","""")</f>
        <v>081, 19400501, 19.45, 7500, 00,  270, 00</v>
      </c>
    </row>
    <row r="368" spans="1:1" x14ac:dyDescent="0.25">
      <c r="A368" s="25" t="str">
        <f ca="1">TEXT(Overig!A368,"000\,")&amp;TEXT(Overig!B368,"?00000000")&amp;TEXT(Overig!C368,""", ""@")&amp;SUBSTITUTE(TEXT(IF(ISTEXT(Overig!D368),Overig!D368,10*Overig!D368),""",""????0;"",""???-0;"",""????0;"", ////"""),"'","""")&amp;SUBSTITUTE(TEXT(Overig!E368,""",""?00;"",""?-00;"",""?00;"", //"""),"'","""")&amp;SUBSTITUTE(TEXT(IF(ISTEXT(Overig!F368),Overig!F368,10*Overig!F368),""",""????0;"",""???-0;"",""????0;"", ////"""),"'","""")&amp;SUBSTITUTE(TEXT(Overig!G368,""",""?00;"",""?-00;"",""?00;"", //"""),"'","""")</f>
        <v>081, 19400502, 07.45, 7500, 00,  270, 00</v>
      </c>
    </row>
    <row r="369" spans="1:1" x14ac:dyDescent="0.25">
      <c r="A369" s="25" t="str">
        <f ca="1">TEXT(Overig!A369,"000\,")&amp;TEXT(Overig!B369,"?00000000")&amp;TEXT(Overig!C369,""", ""@")&amp;SUBSTITUTE(TEXT(IF(ISTEXT(Overig!D369),Overig!D369,10*Overig!D369),""",""????0;"",""???-0;"",""????0;"", ////"""),"'","""")&amp;SUBSTITUTE(TEXT(Overig!E369,""",""?00;"",""?-00;"",""?00;"", //"""),"'","""")&amp;SUBSTITUTE(TEXT(IF(ISTEXT(Overig!F369),Overig!F369,10*Overig!F369),""",""????0;"",""???-0;"",""????0;"", ////"""),"'","""")&amp;SUBSTITUTE(TEXT(Overig!G369,""",""?00;"",""?-00;"",""?00;"", //"""),"'","""")</f>
        <v>081, 19400502, 13.45, 7500, 00,  280, 00</v>
      </c>
    </row>
    <row r="370" spans="1:1" x14ac:dyDescent="0.25">
      <c r="A370" s="25" t="str">
        <f ca="1">TEXT(Overig!A370,"000\,")&amp;TEXT(Overig!B370,"?00000000")&amp;TEXT(Overig!C370,""", ""@")&amp;SUBSTITUTE(TEXT(IF(ISTEXT(Overig!D370),Overig!D370,10*Overig!D370),""",""????0;"",""???-0;"",""????0;"", ////"""),"'","""")&amp;SUBSTITUTE(TEXT(Overig!E370,""",""?00;"",""?-00;"",""?00;"", //"""),"'","""")&amp;SUBSTITUTE(TEXT(IF(ISTEXT(Overig!F370),Overig!F370,10*Overig!F370),""",""????0;"",""???-0;"",""????0;"", ////"""),"'","""")&amp;SUBSTITUTE(TEXT(Overig!G370,""",""?00;"",""?-00;"",""?00;"", //"""),"'","""")</f>
        <v>081, 19400502, 19.45, 7490, 00,  270, 00</v>
      </c>
    </row>
    <row r="371" spans="1:1" x14ac:dyDescent="0.25">
      <c r="A371" s="25" t="str">
        <f ca="1">TEXT(Overig!A371,"000\,")&amp;TEXT(Overig!B371,"?00000000")&amp;TEXT(Overig!C371,""", ""@")&amp;SUBSTITUTE(TEXT(IF(ISTEXT(Overig!D371),Overig!D371,10*Overig!D371),""",""????0;"",""???-0;"",""????0;"", ////"""),"'","""")&amp;SUBSTITUTE(TEXT(Overig!E371,""",""?00;"",""?-00;"",""?00;"", //"""),"'","""")&amp;SUBSTITUTE(TEXT(IF(ISTEXT(Overig!F371),Overig!F371,10*Overig!F371),""",""????0;"",""???-0;"",""????0;"", ////"""),"'","""")&amp;SUBSTITUTE(TEXT(Overig!G371,""",""?00;"",""?-00;"",""?00;"", //"""),"'","""")</f>
        <v>081, 19400503, 07.45, 7490, 00,  260, 00</v>
      </c>
    </row>
    <row r="372" spans="1:1" x14ac:dyDescent="0.25">
      <c r="A372" s="25" t="str">
        <f ca="1">TEXT(Overig!A372,"000\,")&amp;TEXT(Overig!B372,"?00000000")&amp;TEXT(Overig!C372,""", ""@")&amp;SUBSTITUTE(TEXT(IF(ISTEXT(Overig!D372),Overig!D372,10*Overig!D372),""",""????0;"",""???-0;"",""????0;"", ////"""),"'","""")&amp;SUBSTITUTE(TEXT(Overig!E372,""",""?00;"",""?-00;"",""?00;"", //"""),"'","""")&amp;SUBSTITUTE(TEXT(IF(ISTEXT(Overig!F372),Overig!F372,10*Overig!F372),""",""????0;"",""???-0;"",""????0;"", ////"""),"'","""")&amp;SUBSTITUTE(TEXT(Overig!G372,""",""?00;"",""?-00;"",""?00;"", //"""),"'","""")</f>
        <v>081, 19400503, 13.45, 7500, 00,  290, 00</v>
      </c>
    </row>
    <row r="373" spans="1:1" x14ac:dyDescent="0.25">
      <c r="A373" s="25" t="str">
        <f ca="1">TEXT(Overig!A373,"000\,")&amp;TEXT(Overig!B373,"?00000000")&amp;TEXT(Overig!C373,""", ""@")&amp;SUBSTITUTE(TEXT(IF(ISTEXT(Overig!D373),Overig!D373,10*Overig!D373),""",""????0;"",""???-0;"",""????0;"", ////"""),"'","""")&amp;SUBSTITUTE(TEXT(Overig!E373,""",""?00;"",""?-00;"",""?00;"", //"""),"'","""")&amp;SUBSTITUTE(TEXT(IF(ISTEXT(Overig!F373),Overig!F373,10*Overig!F373),""",""????0;"",""???-0;"",""????0;"", ////"""),"'","""")&amp;SUBSTITUTE(TEXT(Overig!G373,""",""?00;"",""?-00;"",""?00;"", //"""),"'","""")</f>
        <v>081, 19400503, 19.45, 7500, 00,  280, 00</v>
      </c>
    </row>
    <row r="374" spans="1:1" x14ac:dyDescent="0.25">
      <c r="A374" s="25" t="str">
        <f ca="1">TEXT(Overig!A374,"000\,")&amp;TEXT(Overig!B374,"?00000000")&amp;TEXT(Overig!C374,""", ""@")&amp;SUBSTITUTE(TEXT(IF(ISTEXT(Overig!D374),Overig!D374,10*Overig!D374),""",""????0;"",""???-0;"",""????0;"", ////"""),"'","""")&amp;SUBSTITUTE(TEXT(Overig!E374,""",""?00;"",""?-00;"",""?00;"", //"""),"'","""")&amp;SUBSTITUTE(TEXT(IF(ISTEXT(Overig!F374),Overig!F374,10*Overig!F374),""",""????0;"",""???-0;"",""????0;"", ////"""),"'","""")&amp;SUBSTITUTE(TEXT(Overig!G374,""",""?00;"",""?-00;"",""?00;"", //"""),"'","""")</f>
        <v>081, 19400504, 07.45, 7490, 00,  270, 00</v>
      </c>
    </row>
    <row r="375" spans="1:1" x14ac:dyDescent="0.25">
      <c r="A375" s="25" t="str">
        <f ca="1">TEXT(Overig!A375,"000\,")&amp;TEXT(Overig!B375,"?00000000")&amp;TEXT(Overig!C375,""", ""@")&amp;SUBSTITUTE(TEXT(IF(ISTEXT(Overig!D375),Overig!D375,10*Overig!D375),""",""????0;"",""???-0;"",""????0;"", ////"""),"'","""")&amp;SUBSTITUTE(TEXT(Overig!E375,""",""?00;"",""?-00;"",""?00;"", //"""),"'","""")&amp;SUBSTITUTE(TEXT(IF(ISTEXT(Overig!F375),Overig!F375,10*Overig!F375),""",""????0;"",""???-0;"",""????0;"", ////"""),"'","""")&amp;SUBSTITUTE(TEXT(Overig!G375,""",""?00;"",""?-00;"",""?00;"", //"""),"'","""")</f>
        <v>081, 19400504, 13.45, 7480, 00,  290, 00</v>
      </c>
    </row>
    <row r="376" spans="1:1" x14ac:dyDescent="0.25">
      <c r="A376" s="25" t="str">
        <f ca="1">TEXT(Overig!A376,"000\,")&amp;TEXT(Overig!B376,"?00000000")&amp;TEXT(Overig!C376,""", ""@")&amp;SUBSTITUTE(TEXT(IF(ISTEXT(Overig!D376),Overig!D376,10*Overig!D376),""",""????0;"",""???-0;"",""????0;"", ////"""),"'","""")&amp;SUBSTITUTE(TEXT(Overig!E376,""",""?00;"",""?-00;"",""?00;"", //"""),"'","""")&amp;SUBSTITUTE(TEXT(IF(ISTEXT(Overig!F376),Overig!F376,10*Overig!F376),""",""????0;"",""???-0;"",""????0;"", ////"""),"'","""")&amp;SUBSTITUTE(TEXT(Overig!G376,""",""?00;"",""?-00;"",""?00;"", //"""),"'","""")</f>
        <v>081, 19400504, 19.45, 7490, 00,  280, 00</v>
      </c>
    </row>
    <row r="377" spans="1:1" x14ac:dyDescent="0.25">
      <c r="A377" s="25" t="str">
        <f ca="1">TEXT(Overig!A377,"000\,")&amp;TEXT(Overig!B377,"?00000000")&amp;TEXT(Overig!C377,""", ""@")&amp;SUBSTITUTE(TEXT(IF(ISTEXT(Overig!D377),Overig!D377,10*Overig!D377),""",""????0;"",""???-0;"",""????0;"", ////"""),"'","""")&amp;SUBSTITUTE(TEXT(Overig!E377,""",""?00;"",""?-00;"",""?00;"", //"""),"'","""")&amp;SUBSTITUTE(TEXT(IF(ISTEXT(Overig!F377),Overig!F377,10*Overig!F377),""",""????0;"",""???-0;"",""????0;"", ////"""),"'","""")&amp;SUBSTITUTE(TEXT(Overig!G377,""",""?00;"",""?-00;"",""?00;"", //"""),"'","""")</f>
        <v>081, 19400505, 07.45, 7500, 00,  270, 00</v>
      </c>
    </row>
    <row r="378" spans="1:1" x14ac:dyDescent="0.25">
      <c r="A378" s="25" t="str">
        <f ca="1">TEXT(Overig!A378,"000\,")&amp;TEXT(Overig!B378,"?00000000")&amp;TEXT(Overig!C378,""", ""@")&amp;SUBSTITUTE(TEXT(IF(ISTEXT(Overig!D378),Overig!D378,10*Overig!D378),""",""????0;"",""???-0;"",""????0;"", ////"""),"'","""")&amp;SUBSTITUTE(TEXT(Overig!E378,""",""?00;"",""?-00;"",""?00;"", //"""),"'","""")&amp;SUBSTITUTE(TEXT(IF(ISTEXT(Overig!F378),Overig!F378,10*Overig!F378),""",""????0;"",""???-0;"",""????0;"", ////"""),"'","""")&amp;SUBSTITUTE(TEXT(Overig!G378,""",""?00;"",""?-00;"",""?00;"", //"""),"'","""")</f>
        <v>081, 19400505, 13.45, 7500, 00,  290, 00</v>
      </c>
    </row>
    <row r="379" spans="1:1" x14ac:dyDescent="0.25">
      <c r="A379" s="25" t="str">
        <f ca="1">TEXT(Overig!A379,"000\,")&amp;TEXT(Overig!B379,"?00000000")&amp;TEXT(Overig!C379,""", ""@")&amp;SUBSTITUTE(TEXT(IF(ISTEXT(Overig!D379),Overig!D379,10*Overig!D379),""",""????0;"",""???-0;"",""????0;"", ////"""),"'","""")&amp;SUBSTITUTE(TEXT(Overig!E379,""",""?00;"",""?-00;"",""?00;"", //"""),"'","""")&amp;SUBSTITUTE(TEXT(IF(ISTEXT(Overig!F379),Overig!F379,10*Overig!F379),""",""????0;"",""???-0;"",""????0;"", ////"""),"'","""")&amp;SUBSTITUTE(TEXT(Overig!G379,""",""?00;"",""?-00;"",""?00;"", //"""),"'","""")</f>
        <v>081, 19400505, 19.45, 7500, 00,  280, 00</v>
      </c>
    </row>
    <row r="380" spans="1:1" x14ac:dyDescent="0.25">
      <c r="A380" s="25" t="str">
        <f ca="1">TEXT(Overig!A380,"000\,")&amp;TEXT(Overig!B380,"?00000000")&amp;TEXT(Overig!C380,""", ""@")&amp;SUBSTITUTE(TEXT(IF(ISTEXT(Overig!D380),Overig!D380,10*Overig!D380),""",""????0;"",""???-0;"",""????0;"", ////"""),"'","""")&amp;SUBSTITUTE(TEXT(Overig!E380,""",""?00;"",""?-00;"",""?00;"", //"""),"'","""")&amp;SUBSTITUTE(TEXT(IF(ISTEXT(Overig!F380),Overig!F380,10*Overig!F380),""",""????0;"",""???-0;"",""????0;"", ////"""),"'","""")&amp;SUBSTITUTE(TEXT(Overig!G380,""",""?00;"",""?-00;"",""?00;"", //"""),"'","""")</f>
        <v>081, 19400506, 07.45, 7500, 00,  280, 00</v>
      </c>
    </row>
    <row r="381" spans="1:1" x14ac:dyDescent="0.25">
      <c r="A381" s="25" t="str">
        <f ca="1">TEXT(Overig!A381,"000\,")&amp;TEXT(Overig!B381,"?00000000")&amp;TEXT(Overig!C381,""", ""@")&amp;SUBSTITUTE(TEXT(IF(ISTEXT(Overig!D381),Overig!D381,10*Overig!D381),""",""????0;"",""???-0;"",""????0;"", ////"""),"'","""")&amp;SUBSTITUTE(TEXT(Overig!E381,""",""?00;"",""?-00;"",""?00;"", //"""),"'","""")&amp;SUBSTITUTE(TEXT(IF(ISTEXT(Overig!F381),Overig!F381,10*Overig!F381),""",""????0;"",""???-0;"",""????0;"", ////"""),"'","""")&amp;SUBSTITUTE(TEXT(Overig!G381,""",""?00;"",""?-00;"",""?00;"", //"""),"'","""")</f>
        <v>081, 19400506, 13.45, 7500, 00,  300, 00</v>
      </c>
    </row>
    <row r="382" spans="1:1" x14ac:dyDescent="0.25">
      <c r="A382" s="25" t="str">
        <f ca="1">TEXT(Overig!A382,"000\,")&amp;TEXT(Overig!B382,"?00000000")&amp;TEXT(Overig!C382,""", ""@")&amp;SUBSTITUTE(TEXT(IF(ISTEXT(Overig!D382),Overig!D382,10*Overig!D382),""",""????0;"",""???-0;"",""????0;"", ////"""),"'","""")&amp;SUBSTITUTE(TEXT(Overig!E382,""",""?00;"",""?-00;"",""?00;"", //"""),"'","""")&amp;SUBSTITUTE(TEXT(IF(ISTEXT(Overig!F382),Overig!F382,10*Overig!F382),""",""????0;"",""???-0;"",""????0;"", ////"""),"'","""")&amp;SUBSTITUTE(TEXT(Overig!G382,""",""?00;"",""?-00;"",""?00;"", //"""),"'","""")</f>
        <v>081, 19400506, 19.45, 7490, 00,  290, 00</v>
      </c>
    </row>
    <row r="383" spans="1:1" x14ac:dyDescent="0.25">
      <c r="A383" s="25" t="str">
        <f ca="1">TEXT(Overig!A383,"000\,")&amp;TEXT(Overig!B383,"?00000000")&amp;TEXT(Overig!C383,""", ""@")&amp;SUBSTITUTE(TEXT(IF(ISTEXT(Overig!D383),Overig!D383,10*Overig!D383),""",""????0;"",""???-0;"",""????0;"", ////"""),"'","""")&amp;SUBSTITUTE(TEXT(Overig!E383,""",""?00;"",""?-00;"",""?00;"", //"""),"'","""")&amp;SUBSTITUTE(TEXT(IF(ISTEXT(Overig!F383),Overig!F383,10*Overig!F383),""",""????0;"",""???-0;"",""????0;"", ////"""),"'","""")&amp;SUBSTITUTE(TEXT(Overig!G383,""",""?00;"",""?-00;"",""?00;"", //"""),"'","""")</f>
        <v>081, 19400507, 07.45, 7490, 00,  270, 00</v>
      </c>
    </row>
    <row r="384" spans="1:1" x14ac:dyDescent="0.25">
      <c r="A384" s="25" t="str">
        <f ca="1">TEXT(Overig!A384,"000\,")&amp;TEXT(Overig!B384,"?00000000")&amp;TEXT(Overig!C384,""", ""@")&amp;SUBSTITUTE(TEXT(IF(ISTEXT(Overig!D384),Overig!D384,10*Overig!D384),""",""????0;"",""???-0;"",""????0;"", ////"""),"'","""")&amp;SUBSTITUTE(TEXT(Overig!E384,""",""?00;"",""?-00;"",""?00;"", //"""),"'","""")&amp;SUBSTITUTE(TEXT(IF(ISTEXT(Overig!F384),Overig!F384,10*Overig!F384),""",""????0;"",""???-0;"",""????0;"", ////"""),"'","""")&amp;SUBSTITUTE(TEXT(Overig!G384,""",""?00;"",""?-00;"",""?00;"", //"""),"'","""")</f>
        <v>081, 19400507, 13.45, 7480, 00,  290, 00</v>
      </c>
    </row>
    <row r="385" spans="1:1" x14ac:dyDescent="0.25">
      <c r="A385" s="25" t="str">
        <f ca="1">TEXT(Overig!A385,"000\,")&amp;TEXT(Overig!B385,"?00000000")&amp;TEXT(Overig!C385,""", ""@")&amp;SUBSTITUTE(TEXT(IF(ISTEXT(Overig!D385),Overig!D385,10*Overig!D385),""",""????0;"",""???-0;"",""????0;"", ////"""),"'","""")&amp;SUBSTITUTE(TEXT(Overig!E385,""",""?00;"",""?-00;"",""?00;"", //"""),"'","""")&amp;SUBSTITUTE(TEXT(IF(ISTEXT(Overig!F385),Overig!F385,10*Overig!F385),""",""????0;"",""???-0;"",""????0;"", ////"""),"'","""")&amp;SUBSTITUTE(TEXT(Overig!G385,""",""?00;"",""?-00;"",""?00;"", //"""),"'","""")</f>
        <v>081, 19400507, 19.45, 7490, 00,  280, 00</v>
      </c>
    </row>
    <row r="386" spans="1:1" x14ac:dyDescent="0.25">
      <c r="A386" s="25" t="str">
        <f ca="1">TEXT(Overig!A386,"000\,")&amp;TEXT(Overig!B386,"?00000000")&amp;TEXT(Overig!C386,""", ""@")&amp;SUBSTITUTE(TEXT(IF(ISTEXT(Overig!D386),Overig!D386,10*Overig!D386),""",""????0;"",""???-0;"",""????0;"", ////"""),"'","""")&amp;SUBSTITUTE(TEXT(Overig!E386,""",""?00;"",""?-00;"",""?00;"", //"""),"'","""")&amp;SUBSTITUTE(TEXT(IF(ISTEXT(Overig!F386),Overig!F386,10*Overig!F386),""",""????0;"",""???-0;"",""????0;"", ////"""),"'","""")&amp;SUBSTITUTE(TEXT(Overig!G386,""",""?00;"",""?-00;"",""?00;"", //"""),"'","""")</f>
        <v>081, 19400508, 07.45, 7490, 00,  270, 00</v>
      </c>
    </row>
    <row r="387" spans="1:1" x14ac:dyDescent="0.25">
      <c r="A387" s="25" t="str">
        <f ca="1">TEXT(Overig!A387,"000\,")&amp;TEXT(Overig!B387,"?00000000")&amp;TEXT(Overig!C387,""", ""@")&amp;SUBSTITUTE(TEXT(IF(ISTEXT(Overig!D387),Overig!D387,10*Overig!D387),""",""????0;"",""???-0;"",""????0;"", ////"""),"'","""")&amp;SUBSTITUTE(TEXT(Overig!E387,""",""?00;"",""?-00;"",""?00;"", //"""),"'","""")&amp;SUBSTITUTE(TEXT(IF(ISTEXT(Overig!F387),Overig!F387,10*Overig!F387),""",""????0;"",""???-0;"",""????0;"", ////"""),"'","""")&amp;SUBSTITUTE(TEXT(Overig!G387,""",""?00;"",""?-00;"",""?00;"", //"""),"'","""")</f>
        <v>081, 19400508, 13.45, 7480, 00,  250, 00</v>
      </c>
    </row>
    <row r="388" spans="1:1" x14ac:dyDescent="0.25">
      <c r="A388" s="25" t="str">
        <f ca="1">TEXT(Overig!A388,"000\,")&amp;TEXT(Overig!B388,"?00000000")&amp;TEXT(Overig!C388,""", ""@")&amp;SUBSTITUTE(TEXT(IF(ISTEXT(Overig!D388),Overig!D388,10*Overig!D388),""",""????0;"",""???-0;"",""????0;"", ////"""),"'","""")&amp;SUBSTITUTE(TEXT(Overig!E388,""",""?00;"",""?-00;"",""?00;"", //"""),"'","""")&amp;SUBSTITUTE(TEXT(IF(ISTEXT(Overig!F388),Overig!F388,10*Overig!F388),""",""????0;"",""???-0;"",""????0;"", ////"""),"'","""")&amp;SUBSTITUTE(TEXT(Overig!G388,""",""?00;"",""?-00;"",""?00;"", //"""),"'","""")</f>
        <v>081, 19400508, 19.45, 7480, 00,  250, 00</v>
      </c>
    </row>
    <row r="389" spans="1:1" x14ac:dyDescent="0.25">
      <c r="A389" s="25" t="str">
        <f ca="1">TEXT(Overig!A389,"000\,")&amp;TEXT(Overig!B389,"?00000000")&amp;TEXT(Overig!C389,""", ""@")&amp;SUBSTITUTE(TEXT(IF(ISTEXT(Overig!D389),Overig!D389,10*Overig!D389),""",""????0;"",""???-0;"",""????0;"", ////"""),"'","""")&amp;SUBSTITUTE(TEXT(Overig!E389,""",""?00;"",""?-00;"",""?00;"", //"""),"'","""")&amp;SUBSTITUTE(TEXT(IF(ISTEXT(Overig!F389),Overig!F389,10*Overig!F389),""",""????0;"",""???-0;"",""????0;"", ////"""),"'","""")&amp;SUBSTITUTE(TEXT(Overig!G389,""",""?00;"",""?-00;"",""?00;"", //"""),"'","""")</f>
        <v>081, 19400509, 07.45, 7490, 00,  250, 00</v>
      </c>
    </row>
    <row r="390" spans="1:1" x14ac:dyDescent="0.25">
      <c r="A390" s="25" t="str">
        <f ca="1">TEXT(Overig!A390,"000\,")&amp;TEXT(Overig!B390,"?00000000")&amp;TEXT(Overig!C390,""", ""@")&amp;SUBSTITUTE(TEXT(IF(ISTEXT(Overig!D390),Overig!D390,10*Overig!D390),""",""????0;"",""???-0;"",""????0;"", ////"""),"'","""")&amp;SUBSTITUTE(TEXT(Overig!E390,""",""?00;"",""?-00;"",""?00;"", //"""),"'","""")&amp;SUBSTITUTE(TEXT(IF(ISTEXT(Overig!F390),Overig!F390,10*Overig!F390),""",""????0;"",""???-0;"",""????0;"", ////"""),"'","""")&amp;SUBSTITUTE(TEXT(Overig!G390,""",""?00;"",""?-00;"",""?00;"", //"""),"'","""")</f>
        <v>081, 19400509, 13.45, 7480, 00,  270, 00</v>
      </c>
    </row>
    <row r="391" spans="1:1" x14ac:dyDescent="0.25">
      <c r="A391" s="25" t="str">
        <f ca="1">TEXT(Overig!A391,"000\,")&amp;TEXT(Overig!B391,"?00000000")&amp;TEXT(Overig!C391,""", ""@")&amp;SUBSTITUTE(TEXT(IF(ISTEXT(Overig!D391),Overig!D391,10*Overig!D391),""",""????0;"",""???-0;"",""????0;"", ////"""),"'","""")&amp;SUBSTITUTE(TEXT(Overig!E391,""",""?00;"",""?-00;"",""?00;"", //"""),"'","""")&amp;SUBSTITUTE(TEXT(IF(ISTEXT(Overig!F391),Overig!F391,10*Overig!F391),""",""????0;"",""???-0;"",""????0;"", ////"""),"'","""")&amp;SUBSTITUTE(TEXT(Overig!G391,""",""?00;"",""?-00;"",""?00;"", //"""),"'","""")</f>
        <v>081, 19400509, 19.45, 7480, 00,  270, 00</v>
      </c>
    </row>
    <row r="392" spans="1:1" x14ac:dyDescent="0.25">
      <c r="A392" s="25" t="str">
        <f ca="1">TEXT(Overig!A392,"000\,")&amp;TEXT(Overig!B392,"?00000000")&amp;TEXT(Overig!C392,""", ""@")&amp;SUBSTITUTE(TEXT(IF(ISTEXT(Overig!D392),Overig!D392,10*Overig!D392),""",""????0;"",""???-0;"",""????0;"", ////"""),"'","""")&amp;SUBSTITUTE(TEXT(Overig!E392,""",""?00;"",""?-00;"",""?00;"", //"""),"'","""")&amp;SUBSTITUTE(TEXT(IF(ISTEXT(Overig!F392),Overig!F392,10*Overig!F392),""",""????0;"",""???-0;"",""????0;"", ////"""),"'","""")&amp;SUBSTITUTE(TEXT(Overig!G392,""",""?00;"",""?-00;"",""?00;"", //"""),"'","""")</f>
        <v>081, 19400510, 07.45, 7480, 00,  260, 00</v>
      </c>
    </row>
    <row r="393" spans="1:1" x14ac:dyDescent="0.25">
      <c r="A393" s="25" t="str">
        <f ca="1">TEXT(Overig!A393,"000\,")&amp;TEXT(Overig!B393,"?00000000")&amp;TEXT(Overig!C393,""", ""@")&amp;SUBSTITUTE(TEXT(IF(ISTEXT(Overig!D393),Overig!D393,10*Overig!D393),""",""????0;"",""???-0;"",""????0;"", ////"""),"'","""")&amp;SUBSTITUTE(TEXT(Overig!E393,""",""?00;"",""?-00;"",""?00;"", //"""),"'","""")&amp;SUBSTITUTE(TEXT(IF(ISTEXT(Overig!F393),Overig!F393,10*Overig!F393),""",""????0;"",""???-0;"",""????0;"", ////"""),"'","""")&amp;SUBSTITUTE(TEXT(Overig!G393,""",""?00;"",""?-00;"",""?00;"", //"""),"'","""")</f>
        <v>081, 19400510, 13.45, 7480, 00,  280, 00</v>
      </c>
    </row>
    <row r="394" spans="1:1" x14ac:dyDescent="0.25">
      <c r="A394" s="25" t="str">
        <f ca="1">TEXT(Overig!A394,"000\,")&amp;TEXT(Overig!B394,"?00000000")&amp;TEXT(Overig!C394,""", ""@")&amp;SUBSTITUTE(TEXT(IF(ISTEXT(Overig!D394),Overig!D394,10*Overig!D394),""",""????0;"",""???-0;"",""????0;"", ////"""),"'","""")&amp;SUBSTITUTE(TEXT(Overig!E394,""",""?00;"",""?-00;"",""?00;"", //"""),"'","""")&amp;SUBSTITUTE(TEXT(IF(ISTEXT(Overig!F394),Overig!F394,10*Overig!F394),""",""????0;"",""???-0;"",""????0;"", ////"""),"'","""")&amp;SUBSTITUTE(TEXT(Overig!G394,""",""?00;"",""?-00;"",""?00;"", //"""),"'","""")</f>
        <v>081, 19400510, 19.45, 7480, 00,  270, 00</v>
      </c>
    </row>
    <row r="395" spans="1:1" x14ac:dyDescent="0.25">
      <c r="A395" s="25" t="str">
        <f ca="1">TEXT(Overig!A395,"000\,")&amp;TEXT(Overig!B395,"?00000000")&amp;TEXT(Overig!C395,""", ""@")&amp;SUBSTITUTE(TEXT(IF(ISTEXT(Overig!D395),Overig!D395,10*Overig!D395),""",""????0;"",""???-0;"",""????0;"", ////"""),"'","""")&amp;SUBSTITUTE(TEXT(Overig!E395,""",""?00;"",""?-00;"",""?00;"", //"""),"'","""")&amp;SUBSTITUTE(TEXT(IF(ISTEXT(Overig!F395),Overig!F395,10*Overig!F395),""",""????0;"",""???-0;"",""????0;"", ////"""),"'","""")&amp;SUBSTITUTE(TEXT(Overig!G395,""",""?00;"",""?-00;"",""?00;"", //"""),"'","""")</f>
        <v>081, 19400511, 07.45, 7480, 00,  270, 00</v>
      </c>
    </row>
    <row r="396" spans="1:1" x14ac:dyDescent="0.25">
      <c r="A396" s="25" t="str">
        <f ca="1">TEXT(Overig!A396,"000\,")&amp;TEXT(Overig!B396,"?00000000")&amp;TEXT(Overig!C396,""", ""@")&amp;SUBSTITUTE(TEXT(IF(ISTEXT(Overig!D396),Overig!D396,10*Overig!D396),""",""????0;"",""???-0;"",""????0;"", ////"""),"'","""")&amp;SUBSTITUTE(TEXT(Overig!E396,""",""?00;"",""?-00;"",""?00;"", //"""),"'","""")&amp;SUBSTITUTE(TEXT(IF(ISTEXT(Overig!F396),Overig!F396,10*Overig!F396),""",""????0;"",""???-0;"",""????0;"", ////"""),"'","""")&amp;SUBSTITUTE(TEXT(Overig!G396,""",""?00;"",""?-00;"",""?00;"", //"""),"'","""")</f>
        <v>081, 19400511, 13.45, 7470, 00,  290, 00</v>
      </c>
    </row>
    <row r="397" spans="1:1" x14ac:dyDescent="0.25">
      <c r="A397" s="25" t="str">
        <f ca="1">TEXT(Overig!A397,"000\,")&amp;TEXT(Overig!B397,"?00000000")&amp;TEXT(Overig!C397,""", ""@")&amp;SUBSTITUTE(TEXT(IF(ISTEXT(Overig!D397),Overig!D397,10*Overig!D397),""",""????0;"",""???-0;"",""????0;"", ////"""),"'","""")&amp;SUBSTITUTE(TEXT(Overig!E397,""",""?00;"",""?-00;"",""?00;"", //"""),"'","""")&amp;SUBSTITUTE(TEXT(IF(ISTEXT(Overig!F397),Overig!F397,10*Overig!F397),""",""????0;"",""???-0;"",""????0;"", ////"""),"'","""")&amp;SUBSTITUTE(TEXT(Overig!G397,""",""?00;"",""?-00;"",""?00;"", //"""),"'","""")</f>
        <v>081, 19400511, 19.45, 7480, 00,  280, 00</v>
      </c>
    </row>
    <row r="398" spans="1:1" x14ac:dyDescent="0.25">
      <c r="A398" s="25" t="str">
        <f ca="1">TEXT(Overig!A398,"000\,")&amp;TEXT(Overig!B398,"?00000000")&amp;TEXT(Overig!C398,""", ""@")&amp;SUBSTITUTE(TEXT(IF(ISTEXT(Overig!D398),Overig!D398,10*Overig!D398),""",""????0;"",""???-0;"",""????0;"", ////"""),"'","""")&amp;SUBSTITUTE(TEXT(Overig!E398,""",""?00;"",""?-00;"",""?00;"", //"""),"'","""")&amp;SUBSTITUTE(TEXT(IF(ISTEXT(Overig!F398),Overig!F398,10*Overig!F398),""",""????0;"",""???-0;"",""????0;"", ////"""),"'","""")&amp;SUBSTITUTE(TEXT(Overig!G398,""",""?00;"",""?-00;"",""?00;"", //"""),"'","""")</f>
        <v>081, 19400512, 07.45, 7480, 00,  270, 00</v>
      </c>
    </row>
    <row r="399" spans="1:1" x14ac:dyDescent="0.25">
      <c r="A399" s="25" t="str">
        <f ca="1">TEXT(Overig!A399,"000\,")&amp;TEXT(Overig!B399,"?00000000")&amp;TEXT(Overig!C399,""", ""@")&amp;SUBSTITUTE(TEXT(IF(ISTEXT(Overig!D399),Overig!D399,10*Overig!D399),""",""????0;"",""???-0;"",""????0;"", ////"""),"'","""")&amp;SUBSTITUTE(TEXT(Overig!E399,""",""?00;"",""?-00;"",""?00;"", //"""),"'","""")&amp;SUBSTITUTE(TEXT(IF(ISTEXT(Overig!F399),Overig!F399,10*Overig!F399),""",""????0;"",""???-0;"",""????0;"", ////"""),"'","""")&amp;SUBSTITUTE(TEXT(Overig!G399,""",""?00;"",""?-00;"",""?00;"", //"""),"'","""")</f>
        <v>081, 19400512, 13.45, 7480, 00,  290, 00</v>
      </c>
    </row>
    <row r="400" spans="1:1" x14ac:dyDescent="0.25">
      <c r="A400" s="25" t="str">
        <f ca="1">TEXT(Overig!A400,"000\,")&amp;TEXT(Overig!B400,"?00000000")&amp;TEXT(Overig!C400,""", ""@")&amp;SUBSTITUTE(TEXT(IF(ISTEXT(Overig!D400),Overig!D400,10*Overig!D400),""",""????0;"",""???-0;"",""????0;"", ////"""),"'","""")&amp;SUBSTITUTE(TEXT(Overig!E400,""",""?00;"",""?-00;"",""?00;"", //"""),"'","""")&amp;SUBSTITUTE(TEXT(IF(ISTEXT(Overig!F400),Overig!F400,10*Overig!F400),""",""????0;"",""???-0;"",""????0;"", ////"""),"'","""")&amp;SUBSTITUTE(TEXT(Overig!G400,""",""?00;"",""?-00;"",""?00;"", //"""),"'","""")</f>
        <v>081, 19400512, 19.45, 7480, 00,  280, 00</v>
      </c>
    </row>
    <row r="401" spans="1:1" x14ac:dyDescent="0.25">
      <c r="A401" s="25" t="str">
        <f ca="1">TEXT(Overig!A401,"000\,")&amp;TEXT(Overig!B401,"?00000000")&amp;TEXT(Overig!C401,""", ""@")&amp;SUBSTITUTE(TEXT(IF(ISTEXT(Overig!D401),Overig!D401,10*Overig!D401),""",""????0;"",""???-0;"",""????0;"", ////"""),"'","""")&amp;SUBSTITUTE(TEXT(Overig!E401,""",""?00;"",""?-00;"",""?00;"", //"""),"'","""")&amp;SUBSTITUTE(TEXT(IF(ISTEXT(Overig!F401),Overig!F401,10*Overig!F401),""",""????0;"",""???-0;"",""????0;"", ////"""),"'","""")&amp;SUBSTITUTE(TEXT(Overig!G401,""",""?00;"",""?-00;"",""?00;"", //"""),"'","""")</f>
        <v>081, 19400513, 07.45, 7480, 00,  280, 00</v>
      </c>
    </row>
    <row r="402" spans="1:1" x14ac:dyDescent="0.25">
      <c r="A402" s="25" t="str">
        <f ca="1">TEXT(Overig!A402,"000\,")&amp;TEXT(Overig!B402,"?00000000")&amp;TEXT(Overig!C402,""", ""@")&amp;SUBSTITUTE(TEXT(IF(ISTEXT(Overig!D402),Overig!D402,10*Overig!D402),""",""????0;"",""???-0;"",""????0;"", ////"""),"'","""")&amp;SUBSTITUTE(TEXT(Overig!E402,""",""?00;"",""?-00;"",""?00;"", //"""),"'","""")&amp;SUBSTITUTE(TEXT(IF(ISTEXT(Overig!F402),Overig!F402,10*Overig!F402),""",""????0;"",""???-0;"",""????0;"", ////"""),"'","""")&amp;SUBSTITUTE(TEXT(Overig!G402,""",""?00;"",""?-00;"",""?00;"", //"""),"'","""")</f>
        <v>081, 19400513, 13.45, 7490, 00,  300, 00</v>
      </c>
    </row>
    <row r="403" spans="1:1" x14ac:dyDescent="0.25">
      <c r="A403" s="25" t="str">
        <f ca="1">TEXT(Overig!A403,"000\,")&amp;TEXT(Overig!B403,"?00000000")&amp;TEXT(Overig!C403,""", ""@")&amp;SUBSTITUTE(TEXT(IF(ISTEXT(Overig!D403),Overig!D403,10*Overig!D403),""",""????0;"",""???-0;"",""????0;"", ////"""),"'","""")&amp;SUBSTITUTE(TEXT(Overig!E403,""",""?00;"",""?-00;"",""?00;"", //"""),"'","""")&amp;SUBSTITUTE(TEXT(IF(ISTEXT(Overig!F403),Overig!F403,10*Overig!F403),""",""????0;"",""???-0;"",""????0;"", ////"""),"'","""")&amp;SUBSTITUTE(TEXT(Overig!G403,""",""?00;"",""?-00;"",""?00;"", //"""),"'","""")</f>
        <v>081, 19400513, 19.45, 7490, 00,  280, 00</v>
      </c>
    </row>
    <row r="404" spans="1:1" x14ac:dyDescent="0.25">
      <c r="A404" s="25" t="str">
        <f ca="1">TEXT(Overig!A404,"000\,")&amp;TEXT(Overig!B404,"?00000000")&amp;TEXT(Overig!C404,""", ""@")&amp;SUBSTITUTE(TEXT(IF(ISTEXT(Overig!D404),Overig!D404,10*Overig!D404),""",""????0;"",""???-0;"",""????0;"", ////"""),"'","""")&amp;SUBSTITUTE(TEXT(Overig!E404,""",""?00;"",""?-00;"",""?00;"", //"""),"'","""")&amp;SUBSTITUTE(TEXT(IF(ISTEXT(Overig!F404),Overig!F404,10*Overig!F404),""",""????0;"",""???-0;"",""????0;"", ////"""),"'","""")&amp;SUBSTITUTE(TEXT(Overig!G404,""",""?00;"",""?-00;"",""?00;"", //"""),"'","""")</f>
        <v>081, 19400514, 07.45, 7490, 00,  280, 00</v>
      </c>
    </row>
    <row r="405" spans="1:1" x14ac:dyDescent="0.25">
      <c r="A405" s="25" t="str">
        <f ca="1">TEXT(Overig!A405,"000\,")&amp;TEXT(Overig!B405,"?00000000")&amp;TEXT(Overig!C405,""", ""@")&amp;SUBSTITUTE(TEXT(IF(ISTEXT(Overig!D405),Overig!D405,10*Overig!D405),""",""????0;"",""???-0;"",""????0;"", ////"""),"'","""")&amp;SUBSTITUTE(TEXT(Overig!E405,""",""?00;"",""?-00;"",""?00;"", //"""),"'","""")&amp;SUBSTITUTE(TEXT(IF(ISTEXT(Overig!F405),Overig!F405,10*Overig!F405),""",""????0;"",""???-0;"",""????0;"", ////"""),"'","""")&amp;SUBSTITUTE(TEXT(Overig!G405,""",""?00;"",""?-00;"",""?00;"", //"""),"'","""")</f>
        <v>081, 19400514, 13.45, 7480, 00,  290, 00</v>
      </c>
    </row>
    <row r="406" spans="1:1" x14ac:dyDescent="0.25">
      <c r="A406" s="25" t="str">
        <f ca="1">TEXT(Overig!A406,"000\,")&amp;TEXT(Overig!B406,"?00000000")&amp;TEXT(Overig!C406,""", ""@")&amp;SUBSTITUTE(TEXT(IF(ISTEXT(Overig!D406),Overig!D406,10*Overig!D406),""",""????0;"",""???-0;"",""????0;"", ////"""),"'","""")&amp;SUBSTITUTE(TEXT(Overig!E406,""",""?00;"",""?-00;"",""?00;"", //"""),"'","""")&amp;SUBSTITUTE(TEXT(IF(ISTEXT(Overig!F406),Overig!F406,10*Overig!F406),""",""????0;"",""???-0;"",""????0;"", ////"""),"'","""")&amp;SUBSTITUTE(TEXT(Overig!G406,""",""?00;"",""?-00;"",""?00;"", //"""),"'","""")</f>
        <v>081, 19400514, 19.45, 7480, 00,  280, 00</v>
      </c>
    </row>
    <row r="407" spans="1:1" x14ac:dyDescent="0.25">
      <c r="A407" s="25" t="str">
        <f ca="1">TEXT(Overig!A407,"000\,")&amp;TEXT(Overig!B407,"?00000000")&amp;TEXT(Overig!C407,""", ""@")&amp;SUBSTITUTE(TEXT(IF(ISTEXT(Overig!D407),Overig!D407,10*Overig!D407),""",""????0;"",""???-0;"",""????0;"", ////"""),"'","""")&amp;SUBSTITUTE(TEXT(Overig!E407,""",""?00;"",""?-00;"",""?00;"", //"""),"'","""")&amp;SUBSTITUTE(TEXT(IF(ISTEXT(Overig!F407),Overig!F407,10*Overig!F407),""",""????0;"",""???-0;"",""????0;"", ////"""),"'","""")&amp;SUBSTITUTE(TEXT(Overig!G407,""",""?00;"",""?-00;"",""?00;"", //"""),"'","""")</f>
        <v>081, 19400515, 07.45, 7480, 00,  280, 00</v>
      </c>
    </row>
    <row r="408" spans="1:1" x14ac:dyDescent="0.25">
      <c r="A408" s="25" t="str">
        <f ca="1">TEXT(Overig!A408,"000\,")&amp;TEXT(Overig!B408,"?00000000")&amp;TEXT(Overig!C408,""", ""@")&amp;SUBSTITUTE(TEXT(IF(ISTEXT(Overig!D408),Overig!D408,10*Overig!D408),""",""????0;"",""???-0;"",""????0;"", ////"""),"'","""")&amp;SUBSTITUTE(TEXT(Overig!E408,""",""?00;"",""?-00;"",""?00;"", //"""),"'","""")&amp;SUBSTITUTE(TEXT(IF(ISTEXT(Overig!F408),Overig!F408,10*Overig!F408),""",""????0;"",""???-0;"",""????0;"", ////"""),"'","""")&amp;SUBSTITUTE(TEXT(Overig!G408,""",""?00;"",""?-00;"",""?00;"", //"""),"'","""")</f>
        <v>081, 19400515, 13.45, 7490, 00,  300, 00</v>
      </c>
    </row>
    <row r="409" spans="1:1" x14ac:dyDescent="0.25">
      <c r="A409" s="25" t="str">
        <f ca="1">TEXT(Overig!A409,"000\,")&amp;TEXT(Overig!B409,"?00000000")&amp;TEXT(Overig!C409,""", ""@")&amp;SUBSTITUTE(TEXT(IF(ISTEXT(Overig!D409),Overig!D409,10*Overig!D409),""",""????0;"",""???-0;"",""????0;"", ////"""),"'","""")&amp;SUBSTITUTE(TEXT(Overig!E409,""",""?00;"",""?-00;"",""?00;"", //"""),"'","""")&amp;SUBSTITUTE(TEXT(IF(ISTEXT(Overig!F409),Overig!F409,10*Overig!F409),""",""????0;"",""???-0;"",""????0;"", ////"""),"'","""")&amp;SUBSTITUTE(TEXT(Overig!G409,""",""?00;"",""?-00;"",""?00;"", //"""),"'","""")</f>
        <v>081, 19400515, 19.45, 7500, 00,  280, 00</v>
      </c>
    </row>
    <row r="410" spans="1:1" x14ac:dyDescent="0.25">
      <c r="A410" s="25" t="str">
        <f ca="1">TEXT(Overig!A410,"000\,")&amp;TEXT(Overig!B410,"?00000000")&amp;TEXT(Overig!C410,""", ""@")&amp;SUBSTITUTE(TEXT(IF(ISTEXT(Overig!D410),Overig!D410,10*Overig!D410),""",""????0;"",""???-0;"",""????0;"", ////"""),"'","""")&amp;SUBSTITUTE(TEXT(Overig!E410,""",""?00;"",""?-00;"",""?00;"", //"""),"'","""")&amp;SUBSTITUTE(TEXT(IF(ISTEXT(Overig!F410),Overig!F410,10*Overig!F410),""",""????0;"",""???-0;"",""????0;"", ////"""),"'","""")&amp;SUBSTITUTE(TEXT(Overig!G410,""",""?00;"",""?-00;"",""?00;"", //"""),"'","""")</f>
        <v>081, 19400516, 07.45, 7490, 00,  270, 00</v>
      </c>
    </row>
    <row r="411" spans="1:1" x14ac:dyDescent="0.25">
      <c r="A411" s="25" t="str">
        <f ca="1">TEXT(Overig!A411,"000\,")&amp;TEXT(Overig!B411,"?00000000")&amp;TEXT(Overig!C411,""", ""@")&amp;SUBSTITUTE(TEXT(IF(ISTEXT(Overig!D411),Overig!D411,10*Overig!D411),""",""????0;"",""???-0;"",""????0;"", ////"""),"'","""")&amp;SUBSTITUTE(TEXT(Overig!E411,""",""?00;"",""?-00;"",""?00;"", //"""),"'","""")&amp;SUBSTITUTE(TEXT(IF(ISTEXT(Overig!F411),Overig!F411,10*Overig!F411),""",""????0;"",""???-0;"",""????0;"", ////"""),"'","""")&amp;SUBSTITUTE(TEXT(Overig!G411,""",""?00;"",""?-00;"",""?00;"", //"""),"'","""")</f>
        <v>081, 19400516, 13.45, 7480, 00,  290, 00</v>
      </c>
    </row>
    <row r="412" spans="1:1" x14ac:dyDescent="0.25">
      <c r="A412" s="25" t="str">
        <f ca="1">TEXT(Overig!A412,"000\,")&amp;TEXT(Overig!B412,"?00000000")&amp;TEXT(Overig!C412,""", ""@")&amp;SUBSTITUTE(TEXT(IF(ISTEXT(Overig!D412),Overig!D412,10*Overig!D412),""",""????0;"",""???-0;"",""????0;"", ////"""),"'","""")&amp;SUBSTITUTE(TEXT(Overig!E412,""",""?00;"",""?-00;"",""?00;"", //"""),"'","""")&amp;SUBSTITUTE(TEXT(IF(ISTEXT(Overig!F412),Overig!F412,10*Overig!F412),""",""????0;"",""???-0;"",""????0;"", ////"""),"'","""")&amp;SUBSTITUTE(TEXT(Overig!G412,""",""?00;"",""?-00;"",""?00;"", //"""),"'","""")</f>
        <v>081, 19400516, 19.45, 7480, 00,  280, 00</v>
      </c>
    </row>
    <row r="413" spans="1:1" x14ac:dyDescent="0.25">
      <c r="A413" s="25" t="str">
        <f ca="1">TEXT(Overig!A413,"000\,")&amp;TEXT(Overig!B413,"?00000000")&amp;TEXT(Overig!C413,""", ""@")&amp;SUBSTITUTE(TEXT(IF(ISTEXT(Overig!D413),Overig!D413,10*Overig!D413),""",""????0;"",""???-0;"",""????0;"", ////"""),"'","""")&amp;SUBSTITUTE(TEXT(Overig!E413,""",""?00;"",""?-00;"",""?00;"", //"""),"'","""")&amp;SUBSTITUTE(TEXT(IF(ISTEXT(Overig!F413),Overig!F413,10*Overig!F413),""",""????0;"",""???-0;"",""????0;"", ////"""),"'","""")&amp;SUBSTITUTE(TEXT(Overig!G413,""",""?00;"",""?-00;"",""?00;"", //"""),"'","""")</f>
        <v>081, 19400517, 07.45, 7480, 00,  270, 00</v>
      </c>
    </row>
    <row r="414" spans="1:1" x14ac:dyDescent="0.25">
      <c r="A414" s="25" t="str">
        <f ca="1">TEXT(Overig!A414,"000\,")&amp;TEXT(Overig!B414,"?00000000")&amp;TEXT(Overig!C414,""", ""@")&amp;SUBSTITUTE(TEXT(IF(ISTEXT(Overig!D414),Overig!D414,10*Overig!D414),""",""????0;"",""???-0;"",""????0;"", ////"""),"'","""")&amp;SUBSTITUTE(TEXT(Overig!E414,""",""?00;"",""?-00;"",""?00;"", //"""),"'","""")&amp;SUBSTITUTE(TEXT(IF(ISTEXT(Overig!F414),Overig!F414,10*Overig!F414),""",""????0;"",""???-0;"",""????0;"", ////"""),"'","""")&amp;SUBSTITUTE(TEXT(Overig!G414,""",""?00;"",""?-00;"",""?00;"", //"""),"'","""")</f>
        <v>081, 19400517, 13.45, 7460, 00,  280, 00</v>
      </c>
    </row>
    <row r="415" spans="1:1" x14ac:dyDescent="0.25">
      <c r="A415" s="25" t="str">
        <f ca="1">TEXT(Overig!A415,"000\,")&amp;TEXT(Overig!B415,"?00000000")&amp;TEXT(Overig!C415,""", ""@")&amp;SUBSTITUTE(TEXT(IF(ISTEXT(Overig!D415),Overig!D415,10*Overig!D415),""",""????0;"",""???-0;"",""????0;"", ////"""),"'","""")&amp;SUBSTITUTE(TEXT(Overig!E415,""",""?00;"",""?-00;"",""?00;"", //"""),"'","""")&amp;SUBSTITUTE(TEXT(IF(ISTEXT(Overig!F415),Overig!F415,10*Overig!F415),""",""????0;"",""???-0;"",""????0;"", ////"""),"'","""")&amp;SUBSTITUTE(TEXT(Overig!G415,""",""?00;"",""?-00;"",""?00;"", //"""),"'","""")</f>
        <v>081, 19400517, 19.45, 7460, 00,  270, 00</v>
      </c>
    </row>
    <row r="416" spans="1:1" x14ac:dyDescent="0.25">
      <c r="A416" s="25" t="str">
        <f ca="1">TEXT(Overig!A416,"000\,")&amp;TEXT(Overig!B416,"?00000000")&amp;TEXT(Overig!C416,""", ""@")&amp;SUBSTITUTE(TEXT(IF(ISTEXT(Overig!D416),Overig!D416,10*Overig!D416),""",""????0;"",""???-0;"",""????0;"", ////"""),"'","""")&amp;SUBSTITUTE(TEXT(Overig!E416,""",""?00;"",""?-00;"",""?00;"", //"""),"'","""")&amp;SUBSTITUTE(TEXT(IF(ISTEXT(Overig!F416),Overig!F416,10*Overig!F416),""",""????0;"",""???-0;"",""????0;"", ////"""),"'","""")&amp;SUBSTITUTE(TEXT(Overig!G416,""",""?00;"",""?-00;"",""?00;"", //"""),"'","""")</f>
        <v>081, 19400518, 07.45, 7470, 00,  270, 00</v>
      </c>
    </row>
    <row r="417" spans="1:1" x14ac:dyDescent="0.25">
      <c r="A417" s="25" t="str">
        <f ca="1">TEXT(Overig!A417,"000\,")&amp;TEXT(Overig!B417,"?00000000")&amp;TEXT(Overig!C417,""", ""@")&amp;SUBSTITUTE(TEXT(IF(ISTEXT(Overig!D417),Overig!D417,10*Overig!D417),""",""????0;"",""???-0;"",""????0;"", ////"""),"'","""")&amp;SUBSTITUTE(TEXT(Overig!E417,""",""?00;"",""?-00;"",""?00;"", //"""),"'","""")&amp;SUBSTITUTE(TEXT(IF(ISTEXT(Overig!F417),Overig!F417,10*Overig!F417),""",""????0;"",""???-0;"",""????0;"", ////"""),"'","""")&amp;SUBSTITUTE(TEXT(Overig!G417,""",""?00;"",""?-00;"",""?00;"", //"""),"'","""")</f>
        <v>081, 19400518, 13.45, 7460, 00,  290, 00</v>
      </c>
    </row>
    <row r="418" spans="1:1" x14ac:dyDescent="0.25">
      <c r="A418" s="25" t="str">
        <f ca="1">TEXT(Overig!A418,"000\,")&amp;TEXT(Overig!B418,"?00000000")&amp;TEXT(Overig!C418,""", ""@")&amp;SUBSTITUTE(TEXT(IF(ISTEXT(Overig!D418),Overig!D418,10*Overig!D418),""",""????0;"",""???-0;"",""????0;"", ////"""),"'","""")&amp;SUBSTITUTE(TEXT(Overig!E418,""",""?00;"",""?-00;"",""?00;"", //"""),"'","""")&amp;SUBSTITUTE(TEXT(IF(ISTEXT(Overig!F418),Overig!F418,10*Overig!F418),""",""????0;"",""???-0;"",""????0;"", ////"""),"'","""")&amp;SUBSTITUTE(TEXT(Overig!G418,""",""?00;"",""?-00;"",""?00;"", //"""),"'","""")</f>
        <v>081, 19400518, 19.45, 7460, 00,  280, 00</v>
      </c>
    </row>
    <row r="419" spans="1:1" x14ac:dyDescent="0.25">
      <c r="A419" s="25" t="str">
        <f ca="1">TEXT(Overig!A419,"000\,")&amp;TEXT(Overig!B419,"?00000000")&amp;TEXT(Overig!C419,""", ""@")&amp;SUBSTITUTE(TEXT(IF(ISTEXT(Overig!D419),Overig!D419,10*Overig!D419),""",""????0;"",""???-0;"",""????0;"", ////"""),"'","""")&amp;SUBSTITUTE(TEXT(Overig!E419,""",""?00;"",""?-00;"",""?00;"", //"""),"'","""")&amp;SUBSTITUTE(TEXT(IF(ISTEXT(Overig!F419),Overig!F419,10*Overig!F419),""",""????0;"",""???-0;"",""????0;"", ////"""),"'","""")&amp;SUBSTITUTE(TEXT(Overig!G419,""",""?00;"",""?-00;"",""?00;"", //"""),"'","""")</f>
        <v>081, 19400519, 07.45, 7460, 00,  270, 00</v>
      </c>
    </row>
    <row r="420" spans="1:1" x14ac:dyDescent="0.25">
      <c r="A420" s="25" t="str">
        <f ca="1">TEXT(Overig!A420,"000\,")&amp;TEXT(Overig!B420,"?00000000")&amp;TEXT(Overig!C420,""", ""@")&amp;SUBSTITUTE(TEXT(IF(ISTEXT(Overig!D420),Overig!D420,10*Overig!D420),""",""????0;"",""???-0;"",""????0;"", ////"""),"'","""")&amp;SUBSTITUTE(TEXT(Overig!E420,""",""?00;"",""?-00;"",""?00;"", //"""),"'","""")&amp;SUBSTITUTE(TEXT(IF(ISTEXT(Overig!F420),Overig!F420,10*Overig!F420),""",""????0;"",""???-0;"",""????0;"", ////"""),"'","""")&amp;SUBSTITUTE(TEXT(Overig!G420,""",""?00;"",""?-00;"",""?00;"", //"""),"'","""")</f>
        <v>081, 19400519, 13.45, 7460, 00,  300, 00</v>
      </c>
    </row>
    <row r="421" spans="1:1" x14ac:dyDescent="0.25">
      <c r="A421" s="25" t="str">
        <f ca="1">TEXT(Overig!A421,"000\,")&amp;TEXT(Overig!B421,"?00000000")&amp;TEXT(Overig!C421,""", ""@")&amp;SUBSTITUTE(TEXT(IF(ISTEXT(Overig!D421),Overig!D421,10*Overig!D421),""",""????0;"",""???-0;"",""????0;"", ////"""),"'","""")&amp;SUBSTITUTE(TEXT(Overig!E421,""",""?00;"",""?-00;"",""?00;"", //"""),"'","""")&amp;SUBSTITUTE(TEXT(IF(ISTEXT(Overig!F421),Overig!F421,10*Overig!F421),""",""????0;"",""???-0;"",""????0;"", ////"""),"'","""")&amp;SUBSTITUTE(TEXT(Overig!G421,""",""?00;"",""?-00;"",""?00;"", //"""),"'","""")</f>
        <v>081, 19400519, 19.45, 7450, 00,  290, 00</v>
      </c>
    </row>
    <row r="422" spans="1:1" x14ac:dyDescent="0.25">
      <c r="A422" s="25" t="str">
        <f ca="1">TEXT(Overig!A422,"000\,")&amp;TEXT(Overig!B422,"?00000000")&amp;TEXT(Overig!C422,""", ""@")&amp;SUBSTITUTE(TEXT(IF(ISTEXT(Overig!D422),Overig!D422,10*Overig!D422),""",""????0;"",""???-0;"",""????0;"", ////"""),"'","""")&amp;SUBSTITUTE(TEXT(Overig!E422,""",""?00;"",""?-00;"",""?00;"", //"""),"'","""")&amp;SUBSTITUTE(TEXT(IF(ISTEXT(Overig!F422),Overig!F422,10*Overig!F422),""",""????0;"",""???-0;"",""????0;"", ////"""),"'","""")&amp;SUBSTITUTE(TEXT(Overig!G422,""",""?00;"",""?-00;"",""?00;"", //"""),"'","""")</f>
        <v>081, 19400520, 07.45, 7470, 00,  280, 00</v>
      </c>
    </row>
    <row r="423" spans="1:1" x14ac:dyDescent="0.25">
      <c r="A423" s="25" t="str">
        <f ca="1">TEXT(Overig!A423,"000\,")&amp;TEXT(Overig!B423,"?00000000")&amp;TEXT(Overig!C423,""", ""@")&amp;SUBSTITUTE(TEXT(IF(ISTEXT(Overig!D423),Overig!D423,10*Overig!D423),""",""????0;"",""???-0;"",""????0;"", ////"""),"'","""")&amp;SUBSTITUTE(TEXT(Overig!E423,""",""?00;"",""?-00;"",""?00;"", //"""),"'","""")&amp;SUBSTITUTE(TEXT(IF(ISTEXT(Overig!F423),Overig!F423,10*Overig!F423),""",""????0;"",""???-0;"",""????0;"", ////"""),"'","""")&amp;SUBSTITUTE(TEXT(Overig!G423,""",""?00;"",""?-00;"",""?00;"", //"""),"'","""")</f>
        <v>081, 19400520, 13.45, 7470, 00,  310, 00</v>
      </c>
    </row>
    <row r="424" spans="1:1" x14ac:dyDescent="0.25">
      <c r="A424" s="25" t="str">
        <f ca="1">TEXT(Overig!A424,"000\,")&amp;TEXT(Overig!B424,"?00000000")&amp;TEXT(Overig!C424,""", ""@")&amp;SUBSTITUTE(TEXT(IF(ISTEXT(Overig!D424),Overig!D424,10*Overig!D424),""",""????0;"",""???-0;"",""????0;"", ////"""),"'","""")&amp;SUBSTITUTE(TEXT(Overig!E424,""",""?00;"",""?-00;"",""?00;"", //"""),"'","""")&amp;SUBSTITUTE(TEXT(IF(ISTEXT(Overig!F424),Overig!F424,10*Overig!F424),""",""????0;"",""???-0;"",""????0;"", ////"""),"'","""")&amp;SUBSTITUTE(TEXT(Overig!G424,""",""?00;"",""?-00;"",""?00;"", //"""),"'","""")</f>
        <v>081, 19400520, 19.45, 7480, 00,  290, 00</v>
      </c>
    </row>
    <row r="425" spans="1:1" x14ac:dyDescent="0.25">
      <c r="A425" s="25" t="str">
        <f ca="1">TEXT(Overig!A425,"000\,")&amp;TEXT(Overig!B425,"?00000000")&amp;TEXT(Overig!C425,""", ""@")&amp;SUBSTITUTE(TEXT(IF(ISTEXT(Overig!D425),Overig!D425,10*Overig!D425),""",""????0;"",""???-0;"",""????0;"", ////"""),"'","""")&amp;SUBSTITUTE(TEXT(Overig!E425,""",""?00;"",""?-00;"",""?00;"", //"""),"'","""")&amp;SUBSTITUTE(TEXT(IF(ISTEXT(Overig!F425),Overig!F425,10*Overig!F425),""",""????0;"",""???-0;"",""????0;"", ////"""),"'","""")&amp;SUBSTITUTE(TEXT(Overig!G425,""",""?00;"",""?-00;"",""?00;"", //"""),"'","""")</f>
        <v>081, 19400521, 07.45, 7480, 00,  280, 00</v>
      </c>
    </row>
    <row r="426" spans="1:1" x14ac:dyDescent="0.25">
      <c r="A426" s="25" t="str">
        <f ca="1">TEXT(Overig!A426,"000\,")&amp;TEXT(Overig!B426,"?00000000")&amp;TEXT(Overig!C426,""", ""@")&amp;SUBSTITUTE(TEXT(IF(ISTEXT(Overig!D426),Overig!D426,10*Overig!D426),""",""????0;"",""???-0;"",""????0;"", ////"""),"'","""")&amp;SUBSTITUTE(TEXT(Overig!E426,""",""?00;"",""?-00;"",""?00;"", //"""),"'","""")&amp;SUBSTITUTE(TEXT(IF(ISTEXT(Overig!F426),Overig!F426,10*Overig!F426),""",""????0;"",""???-0;"",""????0;"", ////"""),"'","""")&amp;SUBSTITUTE(TEXT(Overig!G426,""",""?00;"",""?-00;"",""?00;"", //"""),"'","""")</f>
        <v>081, 19400521, 13.45, 7480, 00,  270, 00</v>
      </c>
    </row>
    <row r="427" spans="1:1" x14ac:dyDescent="0.25">
      <c r="A427" s="25" t="str">
        <f ca="1">TEXT(Overig!A427,"000\,")&amp;TEXT(Overig!B427,"?00000000")&amp;TEXT(Overig!C427,""", ""@")&amp;SUBSTITUTE(TEXT(IF(ISTEXT(Overig!D427),Overig!D427,10*Overig!D427),""",""????0;"",""???-0;"",""????0;"", ////"""),"'","""")&amp;SUBSTITUTE(TEXT(Overig!E427,""",""?00;"",""?-00;"",""?00;"", //"""),"'","""")&amp;SUBSTITUTE(TEXT(IF(ISTEXT(Overig!F427),Overig!F427,10*Overig!F427),""",""????0;"",""???-0;"",""????0;"", ////"""),"'","""")&amp;SUBSTITUTE(TEXT(Overig!G427,""",""?00;"",""?-00;"",""?00;"", //"""),"'","""")</f>
        <v>081, 19400521, 19.45, 7490, 00,  270, 00</v>
      </c>
    </row>
    <row r="428" spans="1:1" x14ac:dyDescent="0.25">
      <c r="A428" s="25" t="str">
        <f ca="1">TEXT(Overig!A428,"000\,")&amp;TEXT(Overig!B428,"?00000000")&amp;TEXT(Overig!C428,""", ""@")&amp;SUBSTITUTE(TEXT(IF(ISTEXT(Overig!D428),Overig!D428,10*Overig!D428),""",""????0;"",""???-0;"",""????0;"", ////"""),"'","""")&amp;SUBSTITUTE(TEXT(Overig!E428,""",""?00;"",""?-00;"",""?00;"", //"""),"'","""")&amp;SUBSTITUTE(TEXT(IF(ISTEXT(Overig!F428),Overig!F428,10*Overig!F428),""",""????0;"",""???-0;"",""????0;"", ////"""),"'","""")&amp;SUBSTITUTE(TEXT(Overig!G428,""",""?00;"",""?-00;"",""?00;"", //"""),"'","""")</f>
        <v>081, 19400522, 07.45, 7490, 00,  250, 00</v>
      </c>
    </row>
    <row r="429" spans="1:1" x14ac:dyDescent="0.25">
      <c r="A429" s="25" t="str">
        <f ca="1">TEXT(Overig!A429,"000\,")&amp;TEXT(Overig!B429,"?00000000")&amp;TEXT(Overig!C429,""", ""@")&amp;SUBSTITUTE(TEXT(IF(ISTEXT(Overig!D429),Overig!D429,10*Overig!D429),""",""????0;"",""???-0;"",""????0;"", ////"""),"'","""")&amp;SUBSTITUTE(TEXT(Overig!E429,""",""?00;"",""?-00;"",""?00;"", //"""),"'","""")&amp;SUBSTITUTE(TEXT(IF(ISTEXT(Overig!F429),Overig!F429,10*Overig!F429),""",""????0;"",""???-0;"",""????0;"", ////"""),"'","""")&amp;SUBSTITUTE(TEXT(Overig!G429,""",""?00;"",""?-00;"",""?00;"", //"""),"'","""")</f>
        <v>081, 19400522, 13.45, 7480, 00,  260, 00</v>
      </c>
    </row>
    <row r="430" spans="1:1" x14ac:dyDescent="0.25">
      <c r="A430" s="25" t="str">
        <f ca="1">TEXT(Overig!A430,"000\,")&amp;TEXT(Overig!B430,"?00000000")&amp;TEXT(Overig!C430,""", ""@")&amp;SUBSTITUTE(TEXT(IF(ISTEXT(Overig!D430),Overig!D430,10*Overig!D430),""",""????0;"",""???-0;"",""????0;"", ////"""),"'","""")&amp;SUBSTITUTE(TEXT(Overig!E430,""",""?00;"",""?-00;"",""?00;"", //"""),"'","""")&amp;SUBSTITUTE(TEXT(IF(ISTEXT(Overig!F430),Overig!F430,10*Overig!F430),""",""????0;"",""???-0;"",""????0;"", ////"""),"'","""")&amp;SUBSTITUTE(TEXT(Overig!G430,""",""?00;"",""?-00;"",""?00;"", //"""),"'","""")</f>
        <v>081, 19400522, 19.45, 7480, 00,  260, 00</v>
      </c>
    </row>
    <row r="431" spans="1:1" x14ac:dyDescent="0.25">
      <c r="A431" s="25" t="str">
        <f ca="1">TEXT(Overig!A431,"000\,")&amp;TEXT(Overig!B431,"?00000000")&amp;TEXT(Overig!C431,""", ""@")&amp;SUBSTITUTE(TEXT(IF(ISTEXT(Overig!D431),Overig!D431,10*Overig!D431),""",""????0;"",""???-0;"",""????0;"", ////"""),"'","""")&amp;SUBSTITUTE(TEXT(Overig!E431,""",""?00;"",""?-00;"",""?00;"", //"""),"'","""")&amp;SUBSTITUTE(TEXT(IF(ISTEXT(Overig!F431),Overig!F431,10*Overig!F431),""",""????0;"",""???-0;"",""????0;"", ////"""),"'","""")&amp;SUBSTITUTE(TEXT(Overig!G431,""",""?00;"",""?-00;"",""?00;"", //"""),"'","""")</f>
        <v>081, 19400523, 07.45, 7470, 00,  260, 00</v>
      </c>
    </row>
    <row r="432" spans="1:1" x14ac:dyDescent="0.25">
      <c r="A432" s="25" t="str">
        <f ca="1">TEXT(Overig!A432,"000\,")&amp;TEXT(Overig!B432,"?00000000")&amp;TEXT(Overig!C432,""", ""@")&amp;SUBSTITUTE(TEXT(IF(ISTEXT(Overig!D432),Overig!D432,10*Overig!D432),""",""????0;"",""???-0;"",""????0;"", ////"""),"'","""")&amp;SUBSTITUTE(TEXT(Overig!E432,""",""?00;"",""?-00;"",""?00;"", //"""),"'","""")&amp;SUBSTITUTE(TEXT(IF(ISTEXT(Overig!F432),Overig!F432,10*Overig!F432),""",""????0;"",""???-0;"",""????0;"", ////"""),"'","""")&amp;SUBSTITUTE(TEXT(Overig!G432,""",""?00;"",""?-00;"",""?00;"", //"""),"'","""")</f>
        <v>081, 19400523, 13.45, 7470, 00,  300, 00</v>
      </c>
    </row>
    <row r="433" spans="1:1" x14ac:dyDescent="0.25">
      <c r="A433" s="25" t="str">
        <f ca="1">TEXT(Overig!A433,"000\,")&amp;TEXT(Overig!B433,"?00000000")&amp;TEXT(Overig!C433,""", ""@")&amp;SUBSTITUTE(TEXT(IF(ISTEXT(Overig!D433),Overig!D433,10*Overig!D433),""",""????0;"",""???-0;"",""????0;"", ////"""),"'","""")&amp;SUBSTITUTE(TEXT(Overig!E433,""",""?00;"",""?-00;"",""?00;"", //"""),"'","""")&amp;SUBSTITUTE(TEXT(IF(ISTEXT(Overig!F433),Overig!F433,10*Overig!F433),""",""????0;"",""???-0;"",""????0;"", ////"""),"'","""")&amp;SUBSTITUTE(TEXT(Overig!G433,""",""?00;"",""?-00;"",""?00;"", //"""),"'","""")</f>
        <v>081, 19400523, 19.45, 7470, 00,  280, 00</v>
      </c>
    </row>
    <row r="434" spans="1:1" x14ac:dyDescent="0.25">
      <c r="A434" s="25" t="str">
        <f ca="1">TEXT(Overig!A434,"000\,")&amp;TEXT(Overig!B434,"?00000000")&amp;TEXT(Overig!C434,""", ""@")&amp;SUBSTITUTE(TEXT(IF(ISTEXT(Overig!D434),Overig!D434,10*Overig!D434),""",""????0;"",""???-0;"",""????0;"", ////"""),"'","""")&amp;SUBSTITUTE(TEXT(Overig!E434,""",""?00;"",""?-00;"",""?00;"", //"""),"'","""")&amp;SUBSTITUTE(TEXT(IF(ISTEXT(Overig!F434),Overig!F434,10*Overig!F434),""",""????0;"",""???-0;"",""????0;"", ////"""),"'","""")&amp;SUBSTITUTE(TEXT(Overig!G434,""",""?00;"",""?-00;"",""?00;"", //"""),"'","""")</f>
        <v>081, 19400524, 07.45, 7470, 00,  270, 00</v>
      </c>
    </row>
    <row r="435" spans="1:1" x14ac:dyDescent="0.25">
      <c r="A435" s="25" t="str">
        <f ca="1">TEXT(Overig!A435,"000\,")&amp;TEXT(Overig!B435,"?00000000")&amp;TEXT(Overig!C435,""", ""@")&amp;SUBSTITUTE(TEXT(IF(ISTEXT(Overig!D435),Overig!D435,10*Overig!D435),""",""????0;"",""???-0;"",""????0;"", ////"""),"'","""")&amp;SUBSTITUTE(TEXT(Overig!E435,""",""?00;"",""?-00;"",""?00;"", //"""),"'","""")&amp;SUBSTITUTE(TEXT(IF(ISTEXT(Overig!F435),Overig!F435,10*Overig!F435),""",""????0;"",""???-0;"",""????0;"", ////"""),"'","""")&amp;SUBSTITUTE(TEXT(Overig!G435,""",""?00;"",""?-00;"",""?00;"", //"""),"'","""")</f>
        <v>081, 19400524, 13.45, 7470, 00,  300, 00</v>
      </c>
    </row>
    <row r="436" spans="1:1" x14ac:dyDescent="0.25">
      <c r="A436" s="25" t="str">
        <f ca="1">TEXT(Overig!A436,"000\,")&amp;TEXT(Overig!B436,"?00000000")&amp;TEXT(Overig!C436,""", ""@")&amp;SUBSTITUTE(TEXT(IF(ISTEXT(Overig!D436),Overig!D436,10*Overig!D436),""",""????0;"",""???-0;"",""????0;"", ////"""),"'","""")&amp;SUBSTITUTE(TEXT(Overig!E436,""",""?00;"",""?-00;"",""?00;"", //"""),"'","""")&amp;SUBSTITUTE(TEXT(IF(ISTEXT(Overig!F436),Overig!F436,10*Overig!F436),""",""????0;"",""???-0;"",""????0;"", ////"""),"'","""")&amp;SUBSTITUTE(TEXT(Overig!G436,""",""?00;"",""?-00;"",""?00;"", //"""),"'","""")</f>
        <v>081, 19400524, 19.45, 7470, 00,  290, 00</v>
      </c>
    </row>
    <row r="437" spans="1:1" x14ac:dyDescent="0.25">
      <c r="A437" s="25" t="str">
        <f ca="1">TEXT(Overig!A437,"000\,")&amp;TEXT(Overig!B437,"?00000000")&amp;TEXT(Overig!C437,""", ""@")&amp;SUBSTITUTE(TEXT(IF(ISTEXT(Overig!D437),Overig!D437,10*Overig!D437),""",""????0;"",""???-0;"",""????0;"", ////"""),"'","""")&amp;SUBSTITUTE(TEXT(Overig!E437,""",""?00;"",""?-00;"",""?00;"", //"""),"'","""")&amp;SUBSTITUTE(TEXT(IF(ISTEXT(Overig!F437),Overig!F437,10*Overig!F437),""",""????0;"",""???-0;"",""????0;"", ////"""),"'","""")&amp;SUBSTITUTE(TEXT(Overig!G437,""",""?00;"",""?-00;"",""?00;"", //"""),"'","""")</f>
        <v>081, 19400525, 07.45, 7480, 00,  280, 00</v>
      </c>
    </row>
    <row r="438" spans="1:1" x14ac:dyDescent="0.25">
      <c r="A438" s="25" t="str">
        <f ca="1">TEXT(Overig!A438,"000\,")&amp;TEXT(Overig!B438,"?00000000")&amp;TEXT(Overig!C438,""", ""@")&amp;SUBSTITUTE(TEXT(IF(ISTEXT(Overig!D438),Overig!D438,10*Overig!D438),""",""????0;"",""???-0;"",""????0;"", ////"""),"'","""")&amp;SUBSTITUTE(TEXT(Overig!E438,""",""?00;"",""?-00;"",""?00;"", //"""),"'","""")&amp;SUBSTITUTE(TEXT(IF(ISTEXT(Overig!F438),Overig!F438,10*Overig!F438),""",""????0;"",""???-0;"",""????0;"", ////"""),"'","""")&amp;SUBSTITUTE(TEXT(Overig!G438,""",""?00;"",""?-00;"",""?00;"", //"""),"'","""")</f>
        <v>081, 19400525, 13.45, 7480, 00,  290, 00</v>
      </c>
    </row>
    <row r="439" spans="1:1" x14ac:dyDescent="0.25">
      <c r="A439" s="25" t="str">
        <f ca="1">TEXT(Overig!A439,"000\,")&amp;TEXT(Overig!B439,"?00000000")&amp;TEXT(Overig!C439,""", ""@")&amp;SUBSTITUTE(TEXT(IF(ISTEXT(Overig!D439),Overig!D439,10*Overig!D439),""",""????0;"",""???-0;"",""????0;"", ////"""),"'","""")&amp;SUBSTITUTE(TEXT(Overig!E439,""",""?00;"",""?-00;"",""?00;"", //"""),"'","""")&amp;SUBSTITUTE(TEXT(IF(ISTEXT(Overig!F439),Overig!F439,10*Overig!F439),""",""????0;"",""???-0;"",""????0;"", ////"""),"'","""")&amp;SUBSTITUTE(TEXT(Overig!G439,""",""?00;"",""?-00;"",""?00;"", //"""),"'","""")</f>
        <v>081, 19400525, 19.45, 7480, 00,  280, 00</v>
      </c>
    </row>
    <row r="440" spans="1:1" x14ac:dyDescent="0.25">
      <c r="A440" s="25" t="str">
        <f ca="1">TEXT(Overig!A440,"000\,")&amp;TEXT(Overig!B440,"?00000000")&amp;TEXT(Overig!C440,""", ""@")&amp;SUBSTITUTE(TEXT(IF(ISTEXT(Overig!D440),Overig!D440,10*Overig!D440),""",""????0;"",""???-0;"",""????0;"", ////"""),"'","""")&amp;SUBSTITUTE(TEXT(Overig!E440,""",""?00;"",""?-00;"",""?00;"", //"""),"'","""")&amp;SUBSTITUTE(TEXT(IF(ISTEXT(Overig!F440),Overig!F440,10*Overig!F440),""",""????0;"",""???-0;"",""????0;"", ////"""),"'","""")&amp;SUBSTITUTE(TEXT(Overig!G440,""",""?00;"",""?-00;"",""?00;"", //"""),"'","""")</f>
        <v>081, 19400526, 07.45, 7490, 00,  280, 00</v>
      </c>
    </row>
    <row r="441" spans="1:1" x14ac:dyDescent="0.25">
      <c r="A441" s="25" t="str">
        <f ca="1">TEXT(Overig!A441,"000\,")&amp;TEXT(Overig!B441,"?00000000")&amp;TEXT(Overig!C441,""", ""@")&amp;SUBSTITUTE(TEXT(IF(ISTEXT(Overig!D441),Overig!D441,10*Overig!D441),""",""????0;"",""???-0;"",""????0;"", ////"""),"'","""")&amp;SUBSTITUTE(TEXT(Overig!E441,""",""?00;"",""?-00;"",""?00;"", //"""),"'","""")&amp;SUBSTITUTE(TEXT(IF(ISTEXT(Overig!F441),Overig!F441,10*Overig!F441),""",""????0;"",""???-0;"",""????0;"", ////"""),"'","""")&amp;SUBSTITUTE(TEXT(Overig!G441,""",""?00;"",""?-00;"",""?00;"", //"""),"'","""")</f>
        <v>081, 19400526, 13.45, 7480, 00,  290, 00</v>
      </c>
    </row>
    <row r="442" spans="1:1" x14ac:dyDescent="0.25">
      <c r="A442" s="25" t="str">
        <f ca="1">TEXT(Overig!A442,"000\,")&amp;TEXT(Overig!B442,"?00000000")&amp;TEXT(Overig!C442,""", ""@")&amp;SUBSTITUTE(TEXT(IF(ISTEXT(Overig!D442),Overig!D442,10*Overig!D442),""",""????0;"",""???-0;"",""????0;"", ////"""),"'","""")&amp;SUBSTITUTE(TEXT(Overig!E442,""",""?00;"",""?-00;"",""?00;"", //"""),"'","""")&amp;SUBSTITUTE(TEXT(IF(ISTEXT(Overig!F442),Overig!F442,10*Overig!F442),""",""????0;"",""???-0;"",""????0;"", ////"""),"'","""")&amp;SUBSTITUTE(TEXT(Overig!G442,""",""?00;"",""?-00;"",""?00;"", //"""),"'","""")</f>
        <v>081, 19400526, 19.45, 7490, 00,  280, 00</v>
      </c>
    </row>
    <row r="443" spans="1:1" x14ac:dyDescent="0.25">
      <c r="A443" s="25" t="str">
        <f ca="1">TEXT(Overig!A443,"000\,")&amp;TEXT(Overig!B443,"?00000000")&amp;TEXT(Overig!C443,""", ""@")&amp;SUBSTITUTE(TEXT(IF(ISTEXT(Overig!D443),Overig!D443,10*Overig!D443),""",""????0;"",""???-0;"",""????0;"", ////"""),"'","""")&amp;SUBSTITUTE(TEXT(Overig!E443,""",""?00;"",""?-00;"",""?00;"", //"""),"'","""")&amp;SUBSTITUTE(TEXT(IF(ISTEXT(Overig!F443),Overig!F443,10*Overig!F443),""",""????0;"",""???-0;"",""????0;"", ////"""),"'","""")&amp;SUBSTITUTE(TEXT(Overig!G443,""",""?00;"",""?-00;"",""?00;"", //"""),"'","""")</f>
        <v>081, 19400527, 07.45, 7490, 00,  280, 00</v>
      </c>
    </row>
    <row r="444" spans="1:1" x14ac:dyDescent="0.25">
      <c r="A444" s="25" t="str">
        <f ca="1">TEXT(Overig!A444,"000\,")&amp;TEXT(Overig!B444,"?00000000")&amp;TEXT(Overig!C444,""", ""@")&amp;SUBSTITUTE(TEXT(IF(ISTEXT(Overig!D444),Overig!D444,10*Overig!D444),""",""????0;"",""???-0;"",""????0;"", ////"""),"'","""")&amp;SUBSTITUTE(TEXT(Overig!E444,""",""?00;"",""?-00;"",""?00;"", //"""),"'","""")&amp;SUBSTITUTE(TEXT(IF(ISTEXT(Overig!F444),Overig!F444,10*Overig!F444),""",""????0;"",""???-0;"",""????0;"", ////"""),"'","""")&amp;SUBSTITUTE(TEXT(Overig!G444,""",""?00;"",""?-00;"",""?00;"", //"""),"'","""")</f>
        <v>081, 19400527, 13.45, 7490, 00,  290, 00</v>
      </c>
    </row>
    <row r="445" spans="1:1" x14ac:dyDescent="0.25">
      <c r="A445" s="25" t="str">
        <f ca="1">TEXT(Overig!A445,"000\,")&amp;TEXT(Overig!B445,"?00000000")&amp;TEXT(Overig!C445,""", ""@")&amp;SUBSTITUTE(TEXT(IF(ISTEXT(Overig!D445),Overig!D445,10*Overig!D445),""",""????0;"",""???-0;"",""????0;"", ////"""),"'","""")&amp;SUBSTITUTE(TEXT(Overig!E445,""",""?00;"",""?-00;"",""?00;"", //"""),"'","""")&amp;SUBSTITUTE(TEXT(IF(ISTEXT(Overig!F445),Overig!F445,10*Overig!F445),""",""????0;"",""???-0;"",""????0;"", ////"""),"'","""")&amp;SUBSTITUTE(TEXT(Overig!G445,""",""?00;"",""?-00;"",""?00;"", //"""),"'","""")</f>
        <v>081, 19400527, 19.45, 7490, 00,  280, 00</v>
      </c>
    </row>
    <row r="446" spans="1:1" x14ac:dyDescent="0.25">
      <c r="A446" s="25" t="str">
        <f ca="1">TEXT(Overig!A446,"000\,")&amp;TEXT(Overig!B446,"?00000000")&amp;TEXT(Overig!C446,""", ""@")&amp;SUBSTITUTE(TEXT(IF(ISTEXT(Overig!D446),Overig!D446,10*Overig!D446),""",""????0;"",""???-0;"",""????0;"", ////"""),"'","""")&amp;SUBSTITUTE(TEXT(Overig!E446,""",""?00;"",""?-00;"",""?00;"", //"""),"'","""")&amp;SUBSTITUTE(TEXT(IF(ISTEXT(Overig!F446),Overig!F446,10*Overig!F446),""",""????0;"",""???-0;"",""????0;"", ////"""),"'","""")&amp;SUBSTITUTE(TEXT(Overig!G446,""",""?00;"",""?-00;"",""?00;"", //"""),"'","""")</f>
        <v>081, 19400528, 07.45, 7490, 00,  270, 00</v>
      </c>
    </row>
    <row r="447" spans="1:1" x14ac:dyDescent="0.25">
      <c r="A447" s="25" t="str">
        <f ca="1">TEXT(Overig!A447,"000\,")&amp;TEXT(Overig!B447,"?00000000")&amp;TEXT(Overig!C447,""", ""@")&amp;SUBSTITUTE(TEXT(IF(ISTEXT(Overig!D447),Overig!D447,10*Overig!D447),""",""????0;"",""???-0;"",""????0;"", ////"""),"'","""")&amp;SUBSTITUTE(TEXT(Overig!E447,""",""?00;"",""?-00;"",""?00;"", //"""),"'","""")&amp;SUBSTITUTE(TEXT(IF(ISTEXT(Overig!F447),Overig!F447,10*Overig!F447),""",""????0;"",""???-0;"",""????0;"", ////"""),"'","""")&amp;SUBSTITUTE(TEXT(Overig!G447,""",""?00;"",""?-00;"",""?00;"", //"""),"'","""")</f>
        <v>081, 19400528, 13.45, 7490, 00,  290, 00</v>
      </c>
    </row>
    <row r="448" spans="1:1" x14ac:dyDescent="0.25">
      <c r="A448" s="25" t="str">
        <f ca="1">TEXT(Overig!A448,"000\,")&amp;TEXT(Overig!B448,"?00000000")&amp;TEXT(Overig!C448,""", ""@")&amp;SUBSTITUTE(TEXT(IF(ISTEXT(Overig!D448),Overig!D448,10*Overig!D448),""",""????0;"",""???-0;"",""????0;"", ////"""),"'","""")&amp;SUBSTITUTE(TEXT(Overig!E448,""",""?00;"",""?-00;"",""?00;"", //"""),"'","""")&amp;SUBSTITUTE(TEXT(IF(ISTEXT(Overig!F448),Overig!F448,10*Overig!F448),""",""????0;"",""???-0;"",""????0;"", ////"""),"'","""")&amp;SUBSTITUTE(TEXT(Overig!G448,""",""?00;"",""?-00;"",""?00;"", //"""),"'","""")</f>
        <v>081, 19400528, 19.45, 7500, 00,  290, 00</v>
      </c>
    </row>
    <row r="449" spans="1:1" x14ac:dyDescent="0.25">
      <c r="A449" s="25" t="str">
        <f ca="1">TEXT(Overig!A449,"000\,")&amp;TEXT(Overig!B449,"?00000000")&amp;TEXT(Overig!C449,""", ""@")&amp;SUBSTITUTE(TEXT(IF(ISTEXT(Overig!D449),Overig!D449,10*Overig!D449),""",""????0;"",""???-0;"",""????0;"", ////"""),"'","""")&amp;SUBSTITUTE(TEXT(Overig!E449,""",""?00;"",""?-00;"",""?00;"", //"""),"'","""")&amp;SUBSTITUTE(TEXT(IF(ISTEXT(Overig!F449),Overig!F449,10*Overig!F449),""",""????0;"",""???-0;"",""????0;"", ////"""),"'","""")&amp;SUBSTITUTE(TEXT(Overig!G449,""",""?00;"",""?-00;"",""?00;"", //"""),"'","""")</f>
        <v>081, 19400529, 07.45, 7500, 00,  280, 00</v>
      </c>
    </row>
    <row r="450" spans="1:1" x14ac:dyDescent="0.25">
      <c r="A450" s="25" t="str">
        <f ca="1">TEXT(Overig!A450,"000\,")&amp;TEXT(Overig!B450,"?00000000")&amp;TEXT(Overig!C450,""", ""@")&amp;SUBSTITUTE(TEXT(IF(ISTEXT(Overig!D450),Overig!D450,10*Overig!D450),""",""????0;"",""???-0;"",""????0;"", ////"""),"'","""")&amp;SUBSTITUTE(TEXT(Overig!E450,""",""?00;"",""?-00;"",""?00;"", //"""),"'","""")&amp;SUBSTITUTE(TEXT(IF(ISTEXT(Overig!F450),Overig!F450,10*Overig!F450),""",""????0;"",""???-0;"",""????0;"", ////"""),"'","""")&amp;SUBSTITUTE(TEXT(Overig!G450,""",""?00;"",""?-00;"",""?00;"", //"""),"'","""")</f>
        <v>081, 19400529, 13.45, 7500, 00,  300, 00</v>
      </c>
    </row>
    <row r="451" spans="1:1" x14ac:dyDescent="0.25">
      <c r="A451" s="25" t="str">
        <f ca="1">TEXT(Overig!A451,"000\,")&amp;TEXT(Overig!B451,"?00000000")&amp;TEXT(Overig!C451,""", ""@")&amp;SUBSTITUTE(TEXT(IF(ISTEXT(Overig!D451),Overig!D451,10*Overig!D451),""",""????0;"",""???-0;"",""????0;"", ////"""),"'","""")&amp;SUBSTITUTE(TEXT(Overig!E451,""",""?00;"",""?-00;"",""?00;"", //"""),"'","""")&amp;SUBSTITUTE(TEXT(IF(ISTEXT(Overig!F451),Overig!F451,10*Overig!F451),""",""????0;"",""???-0;"",""????0;"", ////"""),"'","""")&amp;SUBSTITUTE(TEXT(Overig!G451,""",""?00;"",""?-00;"",""?00;"", //"""),"'","""")</f>
        <v>081, 19400529, 19.45, 7500, 00,  290, 00</v>
      </c>
    </row>
    <row r="452" spans="1:1" x14ac:dyDescent="0.25">
      <c r="A452" s="25" t="str">
        <f ca="1">TEXT(Overig!A452,"000\,")&amp;TEXT(Overig!B452,"?00000000")&amp;TEXT(Overig!C452,""", ""@")&amp;SUBSTITUTE(TEXT(IF(ISTEXT(Overig!D452),Overig!D452,10*Overig!D452),""",""????0;"",""???-0;"",""????0;"", ////"""),"'","""")&amp;SUBSTITUTE(TEXT(Overig!E452,""",""?00;"",""?-00;"",""?00;"", //"""),"'","""")&amp;SUBSTITUTE(TEXT(IF(ISTEXT(Overig!F452),Overig!F452,10*Overig!F452),""",""????0;"",""???-0;"",""????0;"", ////"""),"'","""")&amp;SUBSTITUTE(TEXT(Overig!G452,""",""?00;"",""?-00;"",""?00;"", //"""),"'","""")</f>
        <v>081, 19400530, 07.45, 7500, 00,  280, 00</v>
      </c>
    </row>
    <row r="453" spans="1:1" x14ac:dyDescent="0.25">
      <c r="A453" s="25" t="str">
        <f ca="1">TEXT(Overig!A453,"000\,")&amp;TEXT(Overig!B453,"?00000000")&amp;TEXT(Overig!C453,""", ""@")&amp;SUBSTITUTE(TEXT(IF(ISTEXT(Overig!D453),Overig!D453,10*Overig!D453),""",""????0;"",""???-0;"",""????0;"", ////"""),"'","""")&amp;SUBSTITUTE(TEXT(Overig!E453,""",""?00;"",""?-00;"",""?00;"", //"""),"'","""")&amp;SUBSTITUTE(TEXT(IF(ISTEXT(Overig!F453),Overig!F453,10*Overig!F453),""",""????0;"",""???-0;"",""????0;"", ////"""),"'","""")&amp;SUBSTITUTE(TEXT(Overig!G453,""",""?00;"",""?-00;"",""?00;"", //"""),"'","""")</f>
        <v>081, 19400530, 13.45, 7500, 00,  300, 00</v>
      </c>
    </row>
    <row r="454" spans="1:1" x14ac:dyDescent="0.25">
      <c r="A454" s="25" t="str">
        <f ca="1">TEXT(Overig!A454,"000\,")&amp;TEXT(Overig!B454,"?00000000")&amp;TEXT(Overig!C454,""", ""@")&amp;SUBSTITUTE(TEXT(IF(ISTEXT(Overig!D454),Overig!D454,10*Overig!D454),""",""????0;"",""???-0;"",""????0;"", ////"""),"'","""")&amp;SUBSTITUTE(TEXT(Overig!E454,""",""?00;"",""?-00;"",""?00;"", //"""),"'","""")&amp;SUBSTITUTE(TEXT(IF(ISTEXT(Overig!F454),Overig!F454,10*Overig!F454),""",""????0;"",""???-0;"",""????0;"", ////"""),"'","""")&amp;SUBSTITUTE(TEXT(Overig!G454,""",""?00;"",""?-00;"",""?00;"", //"""),"'","""")</f>
        <v>081, 19400530, 19.45, 7500, 00,  290, 00</v>
      </c>
    </row>
    <row r="455" spans="1:1" x14ac:dyDescent="0.25">
      <c r="A455" s="25" t="str">
        <f ca="1">TEXT(Overig!A455,"000\,")&amp;TEXT(Overig!B455,"?00000000")&amp;TEXT(Overig!C455,""", ""@")&amp;SUBSTITUTE(TEXT(IF(ISTEXT(Overig!D455),Overig!D455,10*Overig!D455),""",""????0;"",""???-0;"",""????0;"", ////"""),"'","""")&amp;SUBSTITUTE(TEXT(Overig!E455,""",""?00;"",""?-00;"",""?00;"", //"""),"'","""")&amp;SUBSTITUTE(TEXT(IF(ISTEXT(Overig!F455),Overig!F455,10*Overig!F455),""",""????0;"",""???-0;"",""????0;"", ////"""),"'","""")&amp;SUBSTITUTE(TEXT(Overig!G455,""",""?00;"",""?-00;"",""?00;"", //"""),"'","""")</f>
        <v>081, 19400531, 07.45, 7510, 00,  280, 00</v>
      </c>
    </row>
    <row r="456" spans="1:1" x14ac:dyDescent="0.25">
      <c r="A456" s="25" t="str">
        <f ca="1">TEXT(Overig!A456,"000\,")&amp;TEXT(Overig!B456,"?00000000")&amp;TEXT(Overig!C456,""", ""@")&amp;SUBSTITUTE(TEXT(IF(ISTEXT(Overig!D456),Overig!D456,10*Overig!D456),""",""????0;"",""???-0;"",""????0;"", ////"""),"'","""")&amp;SUBSTITUTE(TEXT(Overig!E456,""",""?00;"",""?-00;"",""?00;"", //"""),"'","""")&amp;SUBSTITUTE(TEXT(IF(ISTEXT(Overig!F456),Overig!F456,10*Overig!F456),""",""????0;"",""???-0;"",""????0;"", ////"""),"'","""")&amp;SUBSTITUTE(TEXT(Overig!G456,""",""?00;"",""?-00;"",""?00;"", //"""),"'","""")</f>
        <v>081, 19400531, 13.45, 7500, 00,  300, 00</v>
      </c>
    </row>
    <row r="457" spans="1:1" x14ac:dyDescent="0.25">
      <c r="A457" s="25" t="str">
        <f ca="1">TEXT(Overig!A457,"000\,")&amp;TEXT(Overig!B457,"?00000000")&amp;TEXT(Overig!C457,""", ""@")&amp;SUBSTITUTE(TEXT(IF(ISTEXT(Overig!D457),Overig!D457,10*Overig!D457),""",""????0;"",""???-0;"",""????0;"", ////"""),"'","""")&amp;SUBSTITUTE(TEXT(Overig!E457,""",""?00;"",""?-00;"",""?00;"", //"""),"'","""")&amp;SUBSTITUTE(TEXT(IF(ISTEXT(Overig!F457),Overig!F457,10*Overig!F457),""",""????0;"",""???-0;"",""????0;"", ////"""),"'","""")&amp;SUBSTITUTE(TEXT(Overig!G457,""",""?00;"",""?-00;"",""?00;"", //"""),"'","""")</f>
        <v>081, 19400531, 19.45, 7500, 00,  290, 00</v>
      </c>
    </row>
    <row r="458" spans="1:1" x14ac:dyDescent="0.25">
      <c r="A458" s="25" t="str">
        <f ca="1">TEXT(Overig!A458,"000\,")&amp;TEXT(Overig!B458,"?00000000")&amp;TEXT(Overig!C458,""", ""@")&amp;SUBSTITUTE(TEXT(IF(ISTEXT(Overig!D458),Overig!D458,10*Overig!D458),""",""????0;"",""???-0;"",""????0;"", ////"""),"'","""")&amp;SUBSTITUTE(TEXT(Overig!E458,""",""?00;"",""?-00;"",""?00;"", //"""),"'","""")&amp;SUBSTITUTE(TEXT(IF(ISTEXT(Overig!F458),Overig!F458,10*Overig!F458),""",""????0;"",""???-0;"",""????0;"", ////"""),"'","""")&amp;SUBSTITUTE(TEXT(Overig!G458,""",""?00;"",""?-00;"",""?00;"", //"""),"'","""")</f>
        <v>081, 19400601, 07.45, ////, 07, ////, 07</v>
      </c>
    </row>
    <row r="459" spans="1:1" x14ac:dyDescent="0.25">
      <c r="A459" s="25" t="str">
        <f ca="1">TEXT(Overig!A459,"000\,")&amp;TEXT(Overig!B459,"?00000000")&amp;TEXT(Overig!C459,""", ""@")&amp;SUBSTITUTE(TEXT(IF(ISTEXT(Overig!D459),Overig!D459,10*Overig!D459),""",""????0;"",""???-0;"",""????0;"", ////"""),"'","""")&amp;SUBSTITUTE(TEXT(Overig!E459,""",""?00;"",""?-00;"",""?00;"", //"""),"'","""")&amp;SUBSTITUTE(TEXT(IF(ISTEXT(Overig!F459),Overig!F459,10*Overig!F459),""",""????0;"",""???-0;"",""????0;"", ////"""),"'","""")&amp;SUBSTITUTE(TEXT(Overig!G459,""",""?00;"",""?-00;"",""?00;"", //"""),"'","""")</f>
        <v>081, 19400601, 13.45, ////, 07, ////, 07</v>
      </c>
    </row>
    <row r="460" spans="1:1" x14ac:dyDescent="0.25">
      <c r="A460" s="25" t="str">
        <f ca="1">TEXT(Overig!A460,"000\,")&amp;TEXT(Overig!B460,"?00000000")&amp;TEXT(Overig!C460,""", ""@")&amp;SUBSTITUTE(TEXT(IF(ISTEXT(Overig!D460),Overig!D460,10*Overig!D460),""",""????0;"",""???-0;"",""????0;"", ////"""),"'","""")&amp;SUBSTITUTE(TEXT(Overig!E460,""",""?00;"",""?-00;"",""?00;"", //"""),"'","""")&amp;SUBSTITUTE(TEXT(IF(ISTEXT(Overig!F460),Overig!F460,10*Overig!F460),""",""????0;"",""???-0;"",""????0;"", ////"""),"'","""")&amp;SUBSTITUTE(TEXT(Overig!G460,""",""?00;"",""?-00;"",""?00;"", //"""),"'","""")</f>
        <v>081, 19400601, 19.45, ////, 07, ////, 07</v>
      </c>
    </row>
    <row r="461" spans="1:1" x14ac:dyDescent="0.25">
      <c r="A461" s="25" t="str">
        <f ca="1">TEXT(Overig!A461,"000\,")&amp;TEXT(Overig!B461,"?00000000")&amp;TEXT(Overig!C461,""", ""@")&amp;SUBSTITUTE(TEXT(IF(ISTEXT(Overig!D461),Overig!D461,10*Overig!D461),""",""????0;"",""???-0;"",""????0;"", ////"""),"'","""")&amp;SUBSTITUTE(TEXT(Overig!E461,""",""?00;"",""?-00;"",""?00;"", //"""),"'","""")&amp;SUBSTITUTE(TEXT(IF(ISTEXT(Overig!F461),Overig!F461,10*Overig!F461),""",""????0;"",""???-0;"",""????0;"", ////"""),"'","""")&amp;SUBSTITUTE(TEXT(Overig!G461,""",""?00;"",""?-00;"",""?00;"", //"""),"'","""")</f>
        <v>081, 19400602, 07.45, ////, 07, ////, 07</v>
      </c>
    </row>
    <row r="462" spans="1:1" x14ac:dyDescent="0.25">
      <c r="A462" s="25" t="str">
        <f ca="1">TEXT(Overig!A462,"000\,")&amp;TEXT(Overig!B462,"?00000000")&amp;TEXT(Overig!C462,""", ""@")&amp;SUBSTITUTE(TEXT(IF(ISTEXT(Overig!D462),Overig!D462,10*Overig!D462),""",""????0;"",""???-0;"",""????0;"", ////"""),"'","""")&amp;SUBSTITUTE(TEXT(Overig!E462,""",""?00;"",""?-00;"",""?00;"", //"""),"'","""")&amp;SUBSTITUTE(TEXT(IF(ISTEXT(Overig!F462),Overig!F462,10*Overig!F462),""",""????0;"",""???-0;"",""????0;"", ////"""),"'","""")&amp;SUBSTITUTE(TEXT(Overig!G462,""",""?00;"",""?-00;"",""?00;"", //"""),"'","""")</f>
        <v>081, 19400602, 13.45, ////, 07, ////, 07</v>
      </c>
    </row>
    <row r="463" spans="1:1" x14ac:dyDescent="0.25">
      <c r="A463" s="25" t="str">
        <f ca="1">TEXT(Overig!A463,"000\,")&amp;TEXT(Overig!B463,"?00000000")&amp;TEXT(Overig!C463,""", ""@")&amp;SUBSTITUTE(TEXT(IF(ISTEXT(Overig!D463),Overig!D463,10*Overig!D463),""",""????0;"",""???-0;"",""????0;"", ////"""),"'","""")&amp;SUBSTITUTE(TEXT(Overig!E463,""",""?00;"",""?-00;"",""?00;"", //"""),"'","""")&amp;SUBSTITUTE(TEXT(IF(ISTEXT(Overig!F463),Overig!F463,10*Overig!F463),""",""????0;"",""???-0;"",""????0;"", ////"""),"'","""")&amp;SUBSTITUTE(TEXT(Overig!G463,""",""?00;"",""?-00;"",""?00;"", //"""),"'","""")</f>
        <v>081, 19400602, 19.45, ////, 07, ////, 07</v>
      </c>
    </row>
    <row r="464" spans="1:1" x14ac:dyDescent="0.25">
      <c r="A464" s="25" t="str">
        <f ca="1">TEXT(Overig!A464,"000\,")&amp;TEXT(Overig!B464,"?00000000")&amp;TEXT(Overig!C464,""", ""@")&amp;SUBSTITUTE(TEXT(IF(ISTEXT(Overig!D464),Overig!D464,10*Overig!D464),""",""????0;"",""???-0;"",""????0;"", ////"""),"'","""")&amp;SUBSTITUTE(TEXT(Overig!E464,""",""?00;"",""?-00;"",""?00;"", //"""),"'","""")&amp;SUBSTITUTE(TEXT(IF(ISTEXT(Overig!F464),Overig!F464,10*Overig!F464),""",""????0;"",""???-0;"",""????0;"", ////"""),"'","""")&amp;SUBSTITUTE(TEXT(Overig!G464,""",""?00;"",""?-00;"",""?00;"", //"""),"'","""")</f>
        <v>081, 19400603, 07.45, ////, 07, ////, 07</v>
      </c>
    </row>
    <row r="465" spans="1:1" x14ac:dyDescent="0.25">
      <c r="A465" s="25" t="str">
        <f ca="1">TEXT(Overig!A465,"000\,")&amp;TEXT(Overig!B465,"?00000000")&amp;TEXT(Overig!C465,""", ""@")&amp;SUBSTITUTE(TEXT(IF(ISTEXT(Overig!D465),Overig!D465,10*Overig!D465),""",""????0;"",""???-0;"",""????0;"", ////"""),"'","""")&amp;SUBSTITUTE(TEXT(Overig!E465,""",""?00;"",""?-00;"",""?00;"", //"""),"'","""")&amp;SUBSTITUTE(TEXT(IF(ISTEXT(Overig!F465),Overig!F465,10*Overig!F465),""",""????0;"",""???-0;"",""????0;"", ////"""),"'","""")&amp;SUBSTITUTE(TEXT(Overig!G465,""",""?00;"",""?-00;"",""?00;"", //"""),"'","""")</f>
        <v>081, 19400603, 13.45, ////, 07, ////, 07</v>
      </c>
    </row>
    <row r="466" spans="1:1" x14ac:dyDescent="0.25">
      <c r="A466" s="25" t="str">
        <f ca="1">TEXT(Overig!A466,"000\,")&amp;TEXT(Overig!B466,"?00000000")&amp;TEXT(Overig!C466,""", ""@")&amp;SUBSTITUTE(TEXT(IF(ISTEXT(Overig!D466),Overig!D466,10*Overig!D466),""",""????0;"",""???-0;"",""????0;"", ////"""),"'","""")&amp;SUBSTITUTE(TEXT(Overig!E466,""",""?00;"",""?-00;"",""?00;"", //"""),"'","""")&amp;SUBSTITUTE(TEXT(IF(ISTEXT(Overig!F466),Overig!F466,10*Overig!F466),""",""????0;"",""???-0;"",""????0;"", ////"""),"'","""")&amp;SUBSTITUTE(TEXT(Overig!G466,""",""?00;"",""?-00;"",""?00;"", //"""),"'","""")</f>
        <v>081, 19400603, 19.45, ////, 07, ////, 07</v>
      </c>
    </row>
    <row r="467" spans="1:1" x14ac:dyDescent="0.25">
      <c r="A467" s="25" t="str">
        <f ca="1">TEXT(Overig!A467,"000\,")&amp;TEXT(Overig!B467,"?00000000")&amp;TEXT(Overig!C467,""", ""@")&amp;SUBSTITUTE(TEXT(IF(ISTEXT(Overig!D467),Overig!D467,10*Overig!D467),""",""????0;"",""???-0;"",""????0;"", ////"""),"'","""")&amp;SUBSTITUTE(TEXT(Overig!E467,""",""?00;"",""?-00;"",""?00;"", //"""),"'","""")&amp;SUBSTITUTE(TEXT(IF(ISTEXT(Overig!F467),Overig!F467,10*Overig!F467),""",""????0;"",""???-0;"",""????0;"", ////"""),"'","""")&amp;SUBSTITUTE(TEXT(Overig!G467,""",""?00;"",""?-00;"",""?00;"", //"""),"'","""")</f>
        <v>081, 19400604, 07.45, ////, 07, ////, 07</v>
      </c>
    </row>
    <row r="468" spans="1:1" x14ac:dyDescent="0.25">
      <c r="A468" s="25" t="str">
        <f ca="1">TEXT(Overig!A468,"000\,")&amp;TEXT(Overig!B468,"?00000000")&amp;TEXT(Overig!C468,""", ""@")&amp;SUBSTITUTE(TEXT(IF(ISTEXT(Overig!D468),Overig!D468,10*Overig!D468),""",""????0;"",""???-0;"",""????0;"", ////"""),"'","""")&amp;SUBSTITUTE(TEXT(Overig!E468,""",""?00;"",""?-00;"",""?00;"", //"""),"'","""")&amp;SUBSTITUTE(TEXT(IF(ISTEXT(Overig!F468),Overig!F468,10*Overig!F468),""",""????0;"",""???-0;"",""????0;"", ////"""),"'","""")&amp;SUBSTITUTE(TEXT(Overig!G468,""",""?00;"",""?-00;"",""?00;"", //"""),"'","""")</f>
        <v>081, 19400604, 13.45, ////, 07, ////, 07</v>
      </c>
    </row>
    <row r="469" spans="1:1" x14ac:dyDescent="0.25">
      <c r="A469" s="25" t="str">
        <f ca="1">TEXT(Overig!A469,"000\,")&amp;TEXT(Overig!B469,"?00000000")&amp;TEXT(Overig!C469,""", ""@")&amp;SUBSTITUTE(TEXT(IF(ISTEXT(Overig!D469),Overig!D469,10*Overig!D469),""",""????0;"",""???-0;"",""????0;"", ////"""),"'","""")&amp;SUBSTITUTE(TEXT(Overig!E469,""",""?00;"",""?-00;"",""?00;"", //"""),"'","""")&amp;SUBSTITUTE(TEXT(IF(ISTEXT(Overig!F469),Overig!F469,10*Overig!F469),""",""????0;"",""???-0;"",""????0;"", ////"""),"'","""")&amp;SUBSTITUTE(TEXT(Overig!G469,""",""?00;"",""?-00;"",""?00;"", //"""),"'","""")</f>
        <v>081, 19400604, 19.45, ////, 07, ////, 07</v>
      </c>
    </row>
    <row r="470" spans="1:1" x14ac:dyDescent="0.25">
      <c r="A470" s="25" t="str">
        <f ca="1">TEXT(Overig!A470,"000\,")&amp;TEXT(Overig!B470,"?00000000")&amp;TEXT(Overig!C470,""", ""@")&amp;SUBSTITUTE(TEXT(IF(ISTEXT(Overig!D470),Overig!D470,10*Overig!D470),""",""????0;"",""???-0;"",""????0;"", ////"""),"'","""")&amp;SUBSTITUTE(TEXT(Overig!E470,""",""?00;"",""?-00;"",""?00;"", //"""),"'","""")&amp;SUBSTITUTE(TEXT(IF(ISTEXT(Overig!F470),Overig!F470,10*Overig!F470),""",""????0;"",""???-0;"",""????0;"", ////"""),"'","""")&amp;SUBSTITUTE(TEXT(Overig!G470,""",""?00;"",""?-00;"",""?00;"", //"""),"'","""")</f>
        <v>081, 19400605, 07.45, ////, 07, ////, 07</v>
      </c>
    </row>
    <row r="471" spans="1:1" x14ac:dyDescent="0.25">
      <c r="A471" s="25" t="str">
        <f ca="1">TEXT(Overig!A471,"000\,")&amp;TEXT(Overig!B471,"?00000000")&amp;TEXT(Overig!C471,""", ""@")&amp;SUBSTITUTE(TEXT(IF(ISTEXT(Overig!D471),Overig!D471,10*Overig!D471),""",""????0;"",""???-0;"",""????0;"", ////"""),"'","""")&amp;SUBSTITUTE(TEXT(Overig!E471,""",""?00;"",""?-00;"",""?00;"", //"""),"'","""")&amp;SUBSTITUTE(TEXT(IF(ISTEXT(Overig!F471),Overig!F471,10*Overig!F471),""",""????0;"",""???-0;"",""????0;"", ////"""),"'","""")&amp;SUBSTITUTE(TEXT(Overig!G471,""",""?00;"",""?-00;"",""?00;"", //"""),"'","""")</f>
        <v>081, 19400605, 13.45, ////, 07, ////, 07</v>
      </c>
    </row>
    <row r="472" spans="1:1" x14ac:dyDescent="0.25">
      <c r="A472" s="25" t="str">
        <f ca="1">TEXT(Overig!A472,"000\,")&amp;TEXT(Overig!B472,"?00000000")&amp;TEXT(Overig!C472,""", ""@")&amp;SUBSTITUTE(TEXT(IF(ISTEXT(Overig!D472),Overig!D472,10*Overig!D472),""",""????0;"",""???-0;"",""????0;"", ////"""),"'","""")&amp;SUBSTITUTE(TEXT(Overig!E472,""",""?00;"",""?-00;"",""?00;"", //"""),"'","""")&amp;SUBSTITUTE(TEXT(IF(ISTEXT(Overig!F472),Overig!F472,10*Overig!F472),""",""????0;"",""???-0;"",""????0;"", ////"""),"'","""")&amp;SUBSTITUTE(TEXT(Overig!G472,""",""?00;"",""?-00;"",""?00;"", //"""),"'","""")</f>
        <v>081, 19400605, 19.45, ////, 07, ////, 07</v>
      </c>
    </row>
    <row r="473" spans="1:1" x14ac:dyDescent="0.25">
      <c r="A473" s="25" t="str">
        <f ca="1">TEXT(Overig!A473,"000\,")&amp;TEXT(Overig!B473,"?00000000")&amp;TEXT(Overig!C473,""", ""@")&amp;SUBSTITUTE(TEXT(IF(ISTEXT(Overig!D473),Overig!D473,10*Overig!D473),""",""????0;"",""???-0;"",""????0;"", ////"""),"'","""")&amp;SUBSTITUTE(TEXT(Overig!E473,""",""?00;"",""?-00;"",""?00;"", //"""),"'","""")&amp;SUBSTITUTE(TEXT(IF(ISTEXT(Overig!F473),Overig!F473,10*Overig!F473),""",""????0;"",""???-0;"",""????0;"", ////"""),"'","""")&amp;SUBSTITUTE(TEXT(Overig!G473,""",""?00;"",""?-00;"",""?00;"", //"""),"'","""")</f>
        <v>081, 19400606, 07.45, ////, 07, ////, 07</v>
      </c>
    </row>
    <row r="474" spans="1:1" x14ac:dyDescent="0.25">
      <c r="A474" s="25" t="str">
        <f ca="1">TEXT(Overig!A474,"000\,")&amp;TEXT(Overig!B474,"?00000000")&amp;TEXT(Overig!C474,""", ""@")&amp;SUBSTITUTE(TEXT(IF(ISTEXT(Overig!D474),Overig!D474,10*Overig!D474),""",""????0;"",""???-0;"",""????0;"", ////"""),"'","""")&amp;SUBSTITUTE(TEXT(Overig!E474,""",""?00;"",""?-00;"",""?00;"", //"""),"'","""")&amp;SUBSTITUTE(TEXT(IF(ISTEXT(Overig!F474),Overig!F474,10*Overig!F474),""",""????0;"",""???-0;"",""????0;"", ////"""),"'","""")&amp;SUBSTITUTE(TEXT(Overig!G474,""",""?00;"",""?-00;"",""?00;"", //"""),"'","""")</f>
        <v>081, 19400606, 13.45, ////, 07, ////, 07</v>
      </c>
    </row>
    <row r="475" spans="1:1" x14ac:dyDescent="0.25">
      <c r="A475" s="25" t="str">
        <f ca="1">TEXT(Overig!A475,"000\,")&amp;TEXT(Overig!B475,"?00000000")&amp;TEXT(Overig!C475,""", ""@")&amp;SUBSTITUTE(TEXT(IF(ISTEXT(Overig!D475),Overig!D475,10*Overig!D475),""",""????0;"",""???-0;"",""????0;"", ////"""),"'","""")&amp;SUBSTITUTE(TEXT(Overig!E475,""",""?00;"",""?-00;"",""?00;"", //"""),"'","""")&amp;SUBSTITUTE(TEXT(IF(ISTEXT(Overig!F475),Overig!F475,10*Overig!F475),""",""????0;"",""???-0;"",""????0;"", ////"""),"'","""")&amp;SUBSTITUTE(TEXT(Overig!G475,""",""?00;"",""?-00;"",""?00;"", //"""),"'","""")</f>
        <v>081, 19400606, 19.45, ////, 07, ////, 07</v>
      </c>
    </row>
    <row r="476" spans="1:1" x14ac:dyDescent="0.25">
      <c r="A476" s="25" t="str">
        <f ca="1">TEXT(Overig!A476,"000\,")&amp;TEXT(Overig!B476,"?00000000")&amp;TEXT(Overig!C476,""", ""@")&amp;SUBSTITUTE(TEXT(IF(ISTEXT(Overig!D476),Overig!D476,10*Overig!D476),""",""????0;"",""???-0;"",""????0;"", ////"""),"'","""")&amp;SUBSTITUTE(TEXT(Overig!E476,""",""?00;"",""?-00;"",""?00;"", //"""),"'","""")&amp;SUBSTITUTE(TEXT(IF(ISTEXT(Overig!F476),Overig!F476,10*Overig!F476),""",""????0;"",""???-0;"",""????0;"", ////"""),"'","""")&amp;SUBSTITUTE(TEXT(Overig!G476,""",""?00;"",""?-00;"",""?00;"", //"""),"'","""")</f>
        <v>081, 19400607, 07.45, ////, 07, ////, 07</v>
      </c>
    </row>
    <row r="477" spans="1:1" x14ac:dyDescent="0.25">
      <c r="A477" s="25" t="str">
        <f ca="1">TEXT(Overig!A477,"000\,")&amp;TEXT(Overig!B477,"?00000000")&amp;TEXT(Overig!C477,""", ""@")&amp;SUBSTITUTE(TEXT(IF(ISTEXT(Overig!D477),Overig!D477,10*Overig!D477),""",""????0;"",""???-0;"",""????0;"", ////"""),"'","""")&amp;SUBSTITUTE(TEXT(Overig!E477,""",""?00;"",""?-00;"",""?00;"", //"""),"'","""")&amp;SUBSTITUTE(TEXT(IF(ISTEXT(Overig!F477),Overig!F477,10*Overig!F477),""",""????0;"",""???-0;"",""????0;"", ////"""),"'","""")&amp;SUBSTITUTE(TEXT(Overig!G477,""",""?00;"",""?-00;"",""?00;"", //"""),"'","""")</f>
        <v>081, 19400607, 13.45, ////, 07, ////, 07</v>
      </c>
    </row>
    <row r="478" spans="1:1" x14ac:dyDescent="0.25">
      <c r="A478" s="25" t="str">
        <f ca="1">TEXT(Overig!A478,"000\,")&amp;TEXT(Overig!B478,"?00000000")&amp;TEXT(Overig!C478,""", ""@")&amp;SUBSTITUTE(TEXT(IF(ISTEXT(Overig!D478),Overig!D478,10*Overig!D478),""",""????0;"",""???-0;"",""????0;"", ////"""),"'","""")&amp;SUBSTITUTE(TEXT(Overig!E478,""",""?00;"",""?-00;"",""?00;"", //"""),"'","""")&amp;SUBSTITUTE(TEXT(IF(ISTEXT(Overig!F478),Overig!F478,10*Overig!F478),""",""????0;"",""???-0;"",""????0;"", ////"""),"'","""")&amp;SUBSTITUTE(TEXT(Overig!G478,""",""?00;"",""?-00;"",""?00;"", //"""),"'","""")</f>
        <v>081, 19400607, 19.45, ////, 07, ////, 07</v>
      </c>
    </row>
    <row r="479" spans="1:1" x14ac:dyDescent="0.25">
      <c r="A479" s="25" t="str">
        <f ca="1">TEXT(Overig!A479,"000\,")&amp;TEXT(Overig!B479,"?00000000")&amp;TEXT(Overig!C479,""", ""@")&amp;SUBSTITUTE(TEXT(IF(ISTEXT(Overig!D479),Overig!D479,10*Overig!D479),""",""????0;"",""???-0;"",""????0;"", ////"""),"'","""")&amp;SUBSTITUTE(TEXT(Overig!E479,""",""?00;"",""?-00;"",""?00;"", //"""),"'","""")&amp;SUBSTITUTE(TEXT(IF(ISTEXT(Overig!F479),Overig!F479,10*Overig!F479),""",""????0;"",""???-0;"",""????0;"", ////"""),"'","""")&amp;SUBSTITUTE(TEXT(Overig!G479,""",""?00;"",""?-00;"",""?00;"", //"""),"'","""")</f>
        <v>081, 19400608, 07.45, ////, 07, ////, 07</v>
      </c>
    </row>
    <row r="480" spans="1:1" x14ac:dyDescent="0.25">
      <c r="A480" s="25" t="str">
        <f ca="1">TEXT(Overig!A480,"000\,")&amp;TEXT(Overig!B480,"?00000000")&amp;TEXT(Overig!C480,""", ""@")&amp;SUBSTITUTE(TEXT(IF(ISTEXT(Overig!D480),Overig!D480,10*Overig!D480),""",""????0;"",""???-0;"",""????0;"", ////"""),"'","""")&amp;SUBSTITUTE(TEXT(Overig!E480,""",""?00;"",""?-00;"",""?00;"", //"""),"'","""")&amp;SUBSTITUTE(TEXT(IF(ISTEXT(Overig!F480),Overig!F480,10*Overig!F480),""",""????0;"",""???-0;"",""????0;"", ////"""),"'","""")&amp;SUBSTITUTE(TEXT(Overig!G480,""",""?00;"",""?-00;"",""?00;"", //"""),"'","""")</f>
        <v>081, 19400608, 13.45, ////, 07, ////, 07</v>
      </c>
    </row>
    <row r="481" spans="1:1" x14ac:dyDescent="0.25">
      <c r="A481" s="25" t="str">
        <f ca="1">TEXT(Overig!A481,"000\,")&amp;TEXT(Overig!B481,"?00000000")&amp;TEXT(Overig!C481,""", ""@")&amp;SUBSTITUTE(TEXT(IF(ISTEXT(Overig!D481),Overig!D481,10*Overig!D481),""",""????0;"",""???-0;"",""????0;"", ////"""),"'","""")&amp;SUBSTITUTE(TEXT(Overig!E481,""",""?00;"",""?-00;"",""?00;"", //"""),"'","""")&amp;SUBSTITUTE(TEXT(IF(ISTEXT(Overig!F481),Overig!F481,10*Overig!F481),""",""????0;"",""???-0;"",""????0;"", ////"""),"'","""")&amp;SUBSTITUTE(TEXT(Overig!G481,""",""?00;"",""?-00;"",""?00;"", //"""),"'","""")</f>
        <v>081, 19400608, 19.45, ////, 07, ////, 07</v>
      </c>
    </row>
    <row r="482" spans="1:1" x14ac:dyDescent="0.25">
      <c r="A482" s="25" t="str">
        <f ca="1">TEXT(Overig!A482,"000\,")&amp;TEXT(Overig!B482,"?00000000")&amp;TEXT(Overig!C482,""", ""@")&amp;SUBSTITUTE(TEXT(IF(ISTEXT(Overig!D482),Overig!D482,10*Overig!D482),""",""????0;"",""???-0;"",""????0;"", ////"""),"'","""")&amp;SUBSTITUTE(TEXT(Overig!E482,""",""?00;"",""?-00;"",""?00;"", //"""),"'","""")&amp;SUBSTITUTE(TEXT(IF(ISTEXT(Overig!F482),Overig!F482,10*Overig!F482),""",""????0;"",""???-0;"",""????0;"", ////"""),"'","""")&amp;SUBSTITUTE(TEXT(Overig!G482,""",""?00;"",""?-00;"",""?00;"", //"""),"'","""")</f>
        <v>081, 19400609, 07.45, ////, 07, ////, 07</v>
      </c>
    </row>
    <row r="483" spans="1:1" x14ac:dyDescent="0.25">
      <c r="A483" s="25" t="str">
        <f ca="1">TEXT(Overig!A483,"000\,")&amp;TEXT(Overig!B483,"?00000000")&amp;TEXT(Overig!C483,""", ""@")&amp;SUBSTITUTE(TEXT(IF(ISTEXT(Overig!D483),Overig!D483,10*Overig!D483),""",""????0;"",""???-0;"",""????0;"", ////"""),"'","""")&amp;SUBSTITUTE(TEXT(Overig!E483,""",""?00;"",""?-00;"",""?00;"", //"""),"'","""")&amp;SUBSTITUTE(TEXT(IF(ISTEXT(Overig!F483),Overig!F483,10*Overig!F483),""",""????0;"",""???-0;"",""????0;"", ////"""),"'","""")&amp;SUBSTITUTE(TEXT(Overig!G483,""",""?00;"",""?-00;"",""?00;"", //"""),"'","""")</f>
        <v>081, 19400609, 13.45, ////, 07, ////, 07</v>
      </c>
    </row>
    <row r="484" spans="1:1" x14ac:dyDescent="0.25">
      <c r="A484" s="25" t="str">
        <f ca="1">TEXT(Overig!A484,"000\,")&amp;TEXT(Overig!B484,"?00000000")&amp;TEXT(Overig!C484,""", ""@")&amp;SUBSTITUTE(TEXT(IF(ISTEXT(Overig!D484),Overig!D484,10*Overig!D484),""",""????0;"",""???-0;"",""????0;"", ////"""),"'","""")&amp;SUBSTITUTE(TEXT(Overig!E484,""",""?00;"",""?-00;"",""?00;"", //"""),"'","""")&amp;SUBSTITUTE(TEXT(IF(ISTEXT(Overig!F484),Overig!F484,10*Overig!F484),""",""????0;"",""???-0;"",""????0;"", ////"""),"'","""")&amp;SUBSTITUTE(TEXT(Overig!G484,""",""?00;"",""?-00;"",""?00;"", //"""),"'","""")</f>
        <v>081, 19400609, 19.45, ////, 07, ////, 07</v>
      </c>
    </row>
    <row r="485" spans="1:1" x14ac:dyDescent="0.25">
      <c r="A485" s="25" t="str">
        <f ca="1">TEXT(Overig!A485,"000\,")&amp;TEXT(Overig!B485,"?00000000")&amp;TEXT(Overig!C485,""", ""@")&amp;SUBSTITUTE(TEXT(IF(ISTEXT(Overig!D485),Overig!D485,10*Overig!D485),""",""????0;"",""???-0;"",""????0;"", ////"""),"'","""")&amp;SUBSTITUTE(TEXT(Overig!E485,""",""?00;"",""?-00;"",""?00;"", //"""),"'","""")&amp;SUBSTITUTE(TEXT(IF(ISTEXT(Overig!F485),Overig!F485,10*Overig!F485),""",""????0;"",""???-0;"",""????0;"", ////"""),"'","""")&amp;SUBSTITUTE(TEXT(Overig!G485,""",""?00;"",""?-00;"",""?00;"", //"""),"'","""")</f>
        <v>081, 19400610, 07.45, ////, 07, ////, 07</v>
      </c>
    </row>
    <row r="486" spans="1:1" x14ac:dyDescent="0.25">
      <c r="A486" s="25" t="str">
        <f ca="1">TEXT(Overig!A486,"000\,")&amp;TEXT(Overig!B486,"?00000000")&amp;TEXT(Overig!C486,""", ""@")&amp;SUBSTITUTE(TEXT(IF(ISTEXT(Overig!D486),Overig!D486,10*Overig!D486),""",""????0;"",""???-0;"",""????0;"", ////"""),"'","""")&amp;SUBSTITUTE(TEXT(Overig!E486,""",""?00;"",""?-00;"",""?00;"", //"""),"'","""")&amp;SUBSTITUTE(TEXT(IF(ISTEXT(Overig!F486),Overig!F486,10*Overig!F486),""",""????0;"",""???-0;"",""????0;"", ////"""),"'","""")&amp;SUBSTITUTE(TEXT(Overig!G486,""",""?00;"",""?-00;"",""?00;"", //"""),"'","""")</f>
        <v>081, 19400610, 13.45, ////, 07, ////, 07</v>
      </c>
    </row>
    <row r="487" spans="1:1" x14ac:dyDescent="0.25">
      <c r="A487" s="25" t="str">
        <f ca="1">TEXT(Overig!A487,"000\,")&amp;TEXT(Overig!B487,"?00000000")&amp;TEXT(Overig!C487,""", ""@")&amp;SUBSTITUTE(TEXT(IF(ISTEXT(Overig!D487),Overig!D487,10*Overig!D487),""",""????0;"",""???-0;"",""????0;"", ////"""),"'","""")&amp;SUBSTITUTE(TEXT(Overig!E487,""",""?00;"",""?-00;"",""?00;"", //"""),"'","""")&amp;SUBSTITUTE(TEXT(IF(ISTEXT(Overig!F487),Overig!F487,10*Overig!F487),""",""????0;"",""???-0;"",""????0;"", ////"""),"'","""")&amp;SUBSTITUTE(TEXT(Overig!G487,""",""?00;"",""?-00;"",""?00;"", //"""),"'","""")</f>
        <v>081, 19400610, 19.45, ////, 07, ////, 07</v>
      </c>
    </row>
    <row r="488" spans="1:1" x14ac:dyDescent="0.25">
      <c r="A488" s="25" t="str">
        <f ca="1">TEXT(Overig!A488,"000\,")&amp;TEXT(Overig!B488,"?00000000")&amp;TEXT(Overig!C488,""", ""@")&amp;SUBSTITUTE(TEXT(IF(ISTEXT(Overig!D488),Overig!D488,10*Overig!D488),""",""????0;"",""???-0;"",""????0;"", ////"""),"'","""")&amp;SUBSTITUTE(TEXT(Overig!E488,""",""?00;"",""?-00;"",""?00;"", //"""),"'","""")&amp;SUBSTITUTE(TEXT(IF(ISTEXT(Overig!F488),Overig!F488,10*Overig!F488),""",""????0;"",""???-0;"",""????0;"", ////"""),"'","""")&amp;SUBSTITUTE(TEXT(Overig!G488,""",""?00;"",""?-00;"",""?00;"", //"""),"'","""")</f>
        <v>081, 19400611, 07.45, ////, 07, ////, 07</v>
      </c>
    </row>
    <row r="489" spans="1:1" x14ac:dyDescent="0.25">
      <c r="A489" s="25" t="str">
        <f ca="1">TEXT(Overig!A489,"000\,")&amp;TEXT(Overig!B489,"?00000000")&amp;TEXT(Overig!C489,""", ""@")&amp;SUBSTITUTE(TEXT(IF(ISTEXT(Overig!D489),Overig!D489,10*Overig!D489),""",""????0;"",""???-0;"",""????0;"", ////"""),"'","""")&amp;SUBSTITUTE(TEXT(Overig!E489,""",""?00;"",""?-00;"",""?00;"", //"""),"'","""")&amp;SUBSTITUTE(TEXT(IF(ISTEXT(Overig!F489),Overig!F489,10*Overig!F489),""",""????0;"",""???-0;"",""????0;"", ////"""),"'","""")&amp;SUBSTITUTE(TEXT(Overig!G489,""",""?00;"",""?-00;"",""?00;"", //"""),"'","""")</f>
        <v>081, 19400611, 13.45, ////, 07, ////, 07</v>
      </c>
    </row>
    <row r="490" spans="1:1" x14ac:dyDescent="0.25">
      <c r="A490" s="25" t="str">
        <f ca="1">TEXT(Overig!A490,"000\,")&amp;TEXT(Overig!B490,"?00000000")&amp;TEXT(Overig!C490,""", ""@")&amp;SUBSTITUTE(TEXT(IF(ISTEXT(Overig!D490),Overig!D490,10*Overig!D490),""",""????0;"",""???-0;"",""????0;"", ////"""),"'","""")&amp;SUBSTITUTE(TEXT(Overig!E490,""",""?00;"",""?-00;"",""?00;"", //"""),"'","""")&amp;SUBSTITUTE(TEXT(IF(ISTEXT(Overig!F490),Overig!F490,10*Overig!F490),""",""????0;"",""???-0;"",""????0;"", ////"""),"'","""")&amp;SUBSTITUTE(TEXT(Overig!G490,""",""?00;"",""?-00;"",""?00;"", //"""),"'","""")</f>
        <v>081, 19400611, 19.45, ////, 07, ////, 07</v>
      </c>
    </row>
    <row r="491" spans="1:1" x14ac:dyDescent="0.25">
      <c r="A491" s="25" t="str">
        <f ca="1">TEXT(Overig!A491,"000\,")&amp;TEXT(Overig!B491,"?00000000")&amp;TEXT(Overig!C491,""", ""@")&amp;SUBSTITUTE(TEXT(IF(ISTEXT(Overig!D491),Overig!D491,10*Overig!D491),""",""????0;"",""???-0;"",""????0;"", ////"""),"'","""")&amp;SUBSTITUTE(TEXT(Overig!E491,""",""?00;"",""?-00;"",""?00;"", //"""),"'","""")&amp;SUBSTITUTE(TEXT(IF(ISTEXT(Overig!F491),Overig!F491,10*Overig!F491),""",""????0;"",""???-0;"",""????0;"", ////"""),"'","""")&amp;SUBSTITUTE(TEXT(Overig!G491,""",""?00;"",""?-00;"",""?00;"", //"""),"'","""")</f>
        <v>081, 19400612, 07.45, ////, 07, ////, 07</v>
      </c>
    </row>
    <row r="492" spans="1:1" x14ac:dyDescent="0.25">
      <c r="A492" s="25" t="str">
        <f ca="1">TEXT(Overig!A492,"000\,")&amp;TEXT(Overig!B492,"?00000000")&amp;TEXT(Overig!C492,""", ""@")&amp;SUBSTITUTE(TEXT(IF(ISTEXT(Overig!D492),Overig!D492,10*Overig!D492),""",""????0;"",""???-0;"",""????0;"", ////"""),"'","""")&amp;SUBSTITUTE(TEXT(Overig!E492,""",""?00;"",""?-00;"",""?00;"", //"""),"'","""")&amp;SUBSTITUTE(TEXT(IF(ISTEXT(Overig!F492),Overig!F492,10*Overig!F492),""",""????0;"",""???-0;"",""????0;"", ////"""),"'","""")&amp;SUBSTITUTE(TEXT(Overig!G492,""",""?00;"",""?-00;"",""?00;"", //"""),"'","""")</f>
        <v>081, 19400612, 13.45, ////, 07, ////, 07</v>
      </c>
    </row>
    <row r="493" spans="1:1" x14ac:dyDescent="0.25">
      <c r="A493" s="25" t="str">
        <f ca="1">TEXT(Overig!A493,"000\,")&amp;TEXT(Overig!B493,"?00000000")&amp;TEXT(Overig!C493,""", ""@")&amp;SUBSTITUTE(TEXT(IF(ISTEXT(Overig!D493),Overig!D493,10*Overig!D493),""",""????0;"",""???-0;"",""????0;"", ////"""),"'","""")&amp;SUBSTITUTE(TEXT(Overig!E493,""",""?00;"",""?-00;"",""?00;"", //"""),"'","""")&amp;SUBSTITUTE(TEXT(IF(ISTEXT(Overig!F493),Overig!F493,10*Overig!F493),""",""????0;"",""???-0;"",""????0;"", ////"""),"'","""")&amp;SUBSTITUTE(TEXT(Overig!G493,""",""?00;"",""?-00;"",""?00;"", //"""),"'","""")</f>
        <v>081, 19400612, 19.45, ////, 07, ////, 07</v>
      </c>
    </row>
    <row r="494" spans="1:1" x14ac:dyDescent="0.25">
      <c r="A494" s="25" t="str">
        <f ca="1">TEXT(Overig!A494,"000\,")&amp;TEXT(Overig!B494,"?00000000")&amp;TEXT(Overig!C494,""", ""@")&amp;SUBSTITUTE(TEXT(IF(ISTEXT(Overig!D494),Overig!D494,10*Overig!D494),""",""????0;"",""???-0;"",""????0;"", ////"""),"'","""")&amp;SUBSTITUTE(TEXT(Overig!E494,""",""?00;"",""?-00;"",""?00;"", //"""),"'","""")&amp;SUBSTITUTE(TEXT(IF(ISTEXT(Overig!F494),Overig!F494,10*Overig!F494),""",""????0;"",""???-0;"",""????0;"", ////"""),"'","""")&amp;SUBSTITUTE(TEXT(Overig!G494,""",""?00;"",""?-00;"",""?00;"", //"""),"'","""")</f>
        <v>081, 19400613, 07.45, ////, 07, ////, 07</v>
      </c>
    </row>
    <row r="495" spans="1:1" x14ac:dyDescent="0.25">
      <c r="A495" s="25" t="str">
        <f ca="1">TEXT(Overig!A495,"000\,")&amp;TEXT(Overig!B495,"?00000000")&amp;TEXT(Overig!C495,""", ""@")&amp;SUBSTITUTE(TEXT(IF(ISTEXT(Overig!D495),Overig!D495,10*Overig!D495),""",""????0;"",""???-0;"",""????0;"", ////"""),"'","""")&amp;SUBSTITUTE(TEXT(Overig!E495,""",""?00;"",""?-00;"",""?00;"", //"""),"'","""")&amp;SUBSTITUTE(TEXT(IF(ISTEXT(Overig!F495),Overig!F495,10*Overig!F495),""",""????0;"",""???-0;"",""????0;"", ////"""),"'","""")&amp;SUBSTITUTE(TEXT(Overig!G495,""",""?00;"",""?-00;"",""?00;"", //"""),"'","""")</f>
        <v>081, 19400613, 13.45, ////, 07, ////, 07</v>
      </c>
    </row>
    <row r="496" spans="1:1" x14ac:dyDescent="0.25">
      <c r="A496" s="25" t="str">
        <f ca="1">TEXT(Overig!A496,"000\,")&amp;TEXT(Overig!B496,"?00000000")&amp;TEXT(Overig!C496,""", ""@")&amp;SUBSTITUTE(TEXT(IF(ISTEXT(Overig!D496),Overig!D496,10*Overig!D496),""",""????0;"",""???-0;"",""????0;"", ////"""),"'","""")&amp;SUBSTITUTE(TEXT(Overig!E496,""",""?00;"",""?-00;"",""?00;"", //"""),"'","""")&amp;SUBSTITUTE(TEXT(IF(ISTEXT(Overig!F496),Overig!F496,10*Overig!F496),""",""????0;"",""???-0;"",""????0;"", ////"""),"'","""")&amp;SUBSTITUTE(TEXT(Overig!G496,""",""?00;"",""?-00;"",""?00;"", //"""),"'","""")</f>
        <v>081, 19400613, 19.45, ////, 07, ////, 07</v>
      </c>
    </row>
    <row r="497" spans="1:1" x14ac:dyDescent="0.25">
      <c r="A497" s="25" t="str">
        <f ca="1">TEXT(Overig!A497,"000\,")&amp;TEXT(Overig!B497,"?00000000")&amp;TEXT(Overig!C497,""", ""@")&amp;SUBSTITUTE(TEXT(IF(ISTEXT(Overig!D497),Overig!D497,10*Overig!D497),""",""????0;"",""???-0;"",""????0;"", ////"""),"'","""")&amp;SUBSTITUTE(TEXT(Overig!E497,""",""?00;"",""?-00;"",""?00;"", //"""),"'","""")&amp;SUBSTITUTE(TEXT(IF(ISTEXT(Overig!F497),Overig!F497,10*Overig!F497),""",""????0;"",""???-0;"",""????0;"", ////"""),"'","""")&amp;SUBSTITUTE(TEXT(Overig!G497,""",""?00;"",""?-00;"",""?00;"", //"""),"'","""")</f>
        <v>081, 19400614, 07.45, ////, 07, ////, 07</v>
      </c>
    </row>
    <row r="498" spans="1:1" x14ac:dyDescent="0.25">
      <c r="A498" s="25" t="str">
        <f ca="1">TEXT(Overig!A498,"000\,")&amp;TEXT(Overig!B498,"?00000000")&amp;TEXT(Overig!C498,""", ""@")&amp;SUBSTITUTE(TEXT(IF(ISTEXT(Overig!D498),Overig!D498,10*Overig!D498),""",""????0;"",""???-0;"",""????0;"", ////"""),"'","""")&amp;SUBSTITUTE(TEXT(Overig!E498,""",""?00;"",""?-00;"",""?00;"", //"""),"'","""")&amp;SUBSTITUTE(TEXT(IF(ISTEXT(Overig!F498),Overig!F498,10*Overig!F498),""",""????0;"",""???-0;"",""????0;"", ////"""),"'","""")&amp;SUBSTITUTE(TEXT(Overig!G498,""",""?00;"",""?-00;"",""?00;"", //"""),"'","""")</f>
        <v>081, 19400614, 13.45, ////, 07, ////, 07</v>
      </c>
    </row>
    <row r="499" spans="1:1" x14ac:dyDescent="0.25">
      <c r="A499" s="25" t="str">
        <f ca="1">TEXT(Overig!A499,"000\,")&amp;TEXT(Overig!B499,"?00000000")&amp;TEXT(Overig!C499,""", ""@")&amp;SUBSTITUTE(TEXT(IF(ISTEXT(Overig!D499),Overig!D499,10*Overig!D499),""",""????0;"",""???-0;"",""????0;"", ////"""),"'","""")&amp;SUBSTITUTE(TEXT(Overig!E499,""",""?00;"",""?-00;"",""?00;"", //"""),"'","""")&amp;SUBSTITUTE(TEXT(IF(ISTEXT(Overig!F499),Overig!F499,10*Overig!F499),""",""????0;"",""???-0;"",""????0;"", ////"""),"'","""")&amp;SUBSTITUTE(TEXT(Overig!G499,""",""?00;"",""?-00;"",""?00;"", //"""),"'","""")</f>
        <v>081, 19400614, 19.45, ////, 07, ////, 07</v>
      </c>
    </row>
    <row r="500" spans="1:1" x14ac:dyDescent="0.25">
      <c r="A500" s="25" t="str">
        <f ca="1">TEXT(Overig!A500,"000\,")&amp;TEXT(Overig!B500,"?00000000")&amp;TEXT(Overig!C500,""", ""@")&amp;SUBSTITUTE(TEXT(IF(ISTEXT(Overig!D500),Overig!D500,10*Overig!D500),""",""????0;"",""???-0;"",""????0;"", ////"""),"'","""")&amp;SUBSTITUTE(TEXT(Overig!E500,""",""?00;"",""?-00;"",""?00;"", //"""),"'","""")&amp;SUBSTITUTE(TEXT(IF(ISTEXT(Overig!F500),Overig!F500,10*Overig!F500),""",""????0;"",""???-0;"",""????0;"", ////"""),"'","""")&amp;SUBSTITUTE(TEXT(Overig!G500,""",""?00;"",""?-00;"",""?00;"", //"""),"'","""")</f>
        <v>081, 19400615, 07.45, ////, 07, ////, 07</v>
      </c>
    </row>
    <row r="501" spans="1:1" x14ac:dyDescent="0.25">
      <c r="A501" s="25" t="str">
        <f ca="1">TEXT(Overig!A501,"000\,")&amp;TEXT(Overig!B501,"?00000000")&amp;TEXT(Overig!C501,""", ""@")&amp;SUBSTITUTE(TEXT(IF(ISTEXT(Overig!D501),Overig!D501,10*Overig!D501),""",""????0;"",""???-0;"",""????0;"", ////"""),"'","""")&amp;SUBSTITUTE(TEXT(Overig!E501,""",""?00;"",""?-00;"",""?00;"", //"""),"'","""")&amp;SUBSTITUTE(TEXT(IF(ISTEXT(Overig!F501),Overig!F501,10*Overig!F501),""",""????0;"",""???-0;"",""????0;"", ////"""),"'","""")&amp;SUBSTITUTE(TEXT(Overig!G501,""",""?00;"",""?-00;"",""?00;"", //"""),"'","""")</f>
        <v>081, 19400615, 13.45, ////, 07, ////, 07</v>
      </c>
    </row>
    <row r="502" spans="1:1" x14ac:dyDescent="0.25">
      <c r="A502" s="25" t="str">
        <f ca="1">TEXT(Overig!A502,"000\,")&amp;TEXT(Overig!B502,"?00000000")&amp;TEXT(Overig!C502,""", ""@")&amp;SUBSTITUTE(TEXT(IF(ISTEXT(Overig!D502),Overig!D502,10*Overig!D502),""",""????0;"",""???-0;"",""????0;"", ////"""),"'","""")&amp;SUBSTITUTE(TEXT(Overig!E502,""",""?00;"",""?-00;"",""?00;"", //"""),"'","""")&amp;SUBSTITUTE(TEXT(IF(ISTEXT(Overig!F502),Overig!F502,10*Overig!F502),""",""????0;"",""???-0;"",""????0;"", ////"""),"'","""")&amp;SUBSTITUTE(TEXT(Overig!G502,""",""?00;"",""?-00;"",""?00;"", //"""),"'","""")</f>
        <v>081, 19400615, 19.45, ////, 07, ////, 07</v>
      </c>
    </row>
    <row r="503" spans="1:1" x14ac:dyDescent="0.25">
      <c r="A503" s="25" t="str">
        <f ca="1">TEXT(Overig!A503,"000\,")&amp;TEXT(Overig!B503,"?00000000")&amp;TEXT(Overig!C503,""", ""@")&amp;SUBSTITUTE(TEXT(IF(ISTEXT(Overig!D503),Overig!D503,10*Overig!D503),""",""????0;"",""???-0;"",""????0;"", ////"""),"'","""")&amp;SUBSTITUTE(TEXT(Overig!E503,""",""?00;"",""?-00;"",""?00;"", //"""),"'","""")&amp;SUBSTITUTE(TEXT(IF(ISTEXT(Overig!F503),Overig!F503,10*Overig!F503),""",""????0;"",""???-0;"",""????0;"", ////"""),"'","""")&amp;SUBSTITUTE(TEXT(Overig!G503,""",""?00;"",""?-00;"",""?00;"", //"""),"'","""")</f>
        <v>081, 19400616, 07.45, ////, 07, ////, 07</v>
      </c>
    </row>
    <row r="504" spans="1:1" x14ac:dyDescent="0.25">
      <c r="A504" s="25" t="str">
        <f ca="1">TEXT(Overig!A504,"000\,")&amp;TEXT(Overig!B504,"?00000000")&amp;TEXT(Overig!C504,""", ""@")&amp;SUBSTITUTE(TEXT(IF(ISTEXT(Overig!D504),Overig!D504,10*Overig!D504),""",""????0;"",""???-0;"",""????0;"", ////"""),"'","""")&amp;SUBSTITUTE(TEXT(Overig!E504,""",""?00;"",""?-00;"",""?00;"", //"""),"'","""")&amp;SUBSTITUTE(TEXT(IF(ISTEXT(Overig!F504),Overig!F504,10*Overig!F504),""",""????0;"",""???-0;"",""????0;"", ////"""),"'","""")&amp;SUBSTITUTE(TEXT(Overig!G504,""",""?00;"",""?-00;"",""?00;"", //"""),"'","""")</f>
        <v>081, 19400616, 13.45, ////, 07, ////, 07</v>
      </c>
    </row>
    <row r="505" spans="1:1" x14ac:dyDescent="0.25">
      <c r="A505" s="25" t="str">
        <f ca="1">TEXT(Overig!A505,"000\,")&amp;TEXT(Overig!B505,"?00000000")&amp;TEXT(Overig!C505,""", ""@")&amp;SUBSTITUTE(TEXT(IF(ISTEXT(Overig!D505),Overig!D505,10*Overig!D505),""",""????0;"",""???-0;"",""????0;"", ////"""),"'","""")&amp;SUBSTITUTE(TEXT(Overig!E505,""",""?00;"",""?-00;"",""?00;"", //"""),"'","""")&amp;SUBSTITUTE(TEXT(IF(ISTEXT(Overig!F505),Overig!F505,10*Overig!F505),""",""????0;"",""???-0;"",""????0;"", ////"""),"'","""")&amp;SUBSTITUTE(TEXT(Overig!G505,""",""?00;"",""?-00;"",""?00;"", //"""),"'","""")</f>
        <v>081, 19400616, 19.45, ////, 07, ////, 07</v>
      </c>
    </row>
    <row r="506" spans="1:1" x14ac:dyDescent="0.25">
      <c r="A506" s="25" t="str">
        <f ca="1">TEXT(Overig!A506,"000\,")&amp;TEXT(Overig!B506,"?00000000")&amp;TEXT(Overig!C506,""", ""@")&amp;SUBSTITUTE(TEXT(IF(ISTEXT(Overig!D506),Overig!D506,10*Overig!D506),""",""????0;"",""???-0;"",""????0;"", ////"""),"'","""")&amp;SUBSTITUTE(TEXT(Overig!E506,""",""?00;"",""?-00;"",""?00;"", //"""),"'","""")&amp;SUBSTITUTE(TEXT(IF(ISTEXT(Overig!F506),Overig!F506,10*Overig!F506),""",""????0;"",""???-0;"",""????0;"", ////"""),"'","""")&amp;SUBSTITUTE(TEXT(Overig!G506,""",""?00;"",""?-00;"",""?00;"", //"""),"'","""")</f>
        <v>081, 19400617, 07.45, ////, 07, ////, 07</v>
      </c>
    </row>
    <row r="507" spans="1:1" x14ac:dyDescent="0.25">
      <c r="A507" s="25" t="str">
        <f ca="1">TEXT(Overig!A507,"000\,")&amp;TEXT(Overig!B507,"?00000000")&amp;TEXT(Overig!C507,""", ""@")&amp;SUBSTITUTE(TEXT(IF(ISTEXT(Overig!D507),Overig!D507,10*Overig!D507),""",""????0;"",""???-0;"",""????0;"", ////"""),"'","""")&amp;SUBSTITUTE(TEXT(Overig!E507,""",""?00;"",""?-00;"",""?00;"", //"""),"'","""")&amp;SUBSTITUTE(TEXT(IF(ISTEXT(Overig!F507),Overig!F507,10*Overig!F507),""",""????0;"",""???-0;"",""????0;"", ////"""),"'","""")&amp;SUBSTITUTE(TEXT(Overig!G507,""",""?00;"",""?-00;"",""?00;"", //"""),"'","""")</f>
        <v>081, 19400617, 13.45, ////, 07, ////, 07</v>
      </c>
    </row>
    <row r="508" spans="1:1" x14ac:dyDescent="0.25">
      <c r="A508" s="25" t="str">
        <f ca="1">TEXT(Overig!A508,"000\,")&amp;TEXT(Overig!B508,"?00000000")&amp;TEXT(Overig!C508,""", ""@")&amp;SUBSTITUTE(TEXT(IF(ISTEXT(Overig!D508),Overig!D508,10*Overig!D508),""",""????0;"",""???-0;"",""????0;"", ////"""),"'","""")&amp;SUBSTITUTE(TEXT(Overig!E508,""",""?00;"",""?-00;"",""?00;"", //"""),"'","""")&amp;SUBSTITUTE(TEXT(IF(ISTEXT(Overig!F508),Overig!F508,10*Overig!F508),""",""????0;"",""???-0;"",""????0;"", ////"""),"'","""")&amp;SUBSTITUTE(TEXT(Overig!G508,""",""?00;"",""?-00;"",""?00;"", //"""),"'","""")</f>
        <v>081, 19400617, 19.45, ////, 07, ////, 07</v>
      </c>
    </row>
    <row r="509" spans="1:1" x14ac:dyDescent="0.25">
      <c r="A509" s="25" t="str">
        <f ca="1">TEXT(Overig!A509,"000\,")&amp;TEXT(Overig!B509,"?00000000")&amp;TEXT(Overig!C509,""", ""@")&amp;SUBSTITUTE(TEXT(IF(ISTEXT(Overig!D509),Overig!D509,10*Overig!D509),""",""????0;"",""???-0;"",""????0;"", ////"""),"'","""")&amp;SUBSTITUTE(TEXT(Overig!E509,""",""?00;"",""?-00;"",""?00;"", //"""),"'","""")&amp;SUBSTITUTE(TEXT(IF(ISTEXT(Overig!F509),Overig!F509,10*Overig!F509),""",""????0;"",""???-0;"",""????0;"", ////"""),"'","""")&amp;SUBSTITUTE(TEXT(Overig!G509,""",""?00;"",""?-00;"",""?00;"", //"""),"'","""")</f>
        <v>081, 19400618, 07.45, ////, 07, ////, 07</v>
      </c>
    </row>
    <row r="510" spans="1:1" x14ac:dyDescent="0.25">
      <c r="A510" s="25" t="str">
        <f ca="1">TEXT(Overig!A510,"000\,")&amp;TEXT(Overig!B510,"?00000000")&amp;TEXT(Overig!C510,""", ""@")&amp;SUBSTITUTE(TEXT(IF(ISTEXT(Overig!D510),Overig!D510,10*Overig!D510),""",""????0;"",""???-0;"",""????0;"", ////"""),"'","""")&amp;SUBSTITUTE(TEXT(Overig!E510,""",""?00;"",""?-00;"",""?00;"", //"""),"'","""")&amp;SUBSTITUTE(TEXT(IF(ISTEXT(Overig!F510),Overig!F510,10*Overig!F510),""",""????0;"",""???-0;"",""????0;"", ////"""),"'","""")&amp;SUBSTITUTE(TEXT(Overig!G510,""",""?00;"",""?-00;"",""?00;"", //"""),"'","""")</f>
        <v>081, 19400618, 13.45, ////, 07, ////, 07</v>
      </c>
    </row>
    <row r="511" spans="1:1" x14ac:dyDescent="0.25">
      <c r="A511" s="25" t="str">
        <f ca="1">TEXT(Overig!A511,"000\,")&amp;TEXT(Overig!B511,"?00000000")&amp;TEXT(Overig!C511,""", ""@")&amp;SUBSTITUTE(TEXT(IF(ISTEXT(Overig!D511),Overig!D511,10*Overig!D511),""",""????0;"",""???-0;"",""????0;"", ////"""),"'","""")&amp;SUBSTITUTE(TEXT(Overig!E511,""",""?00;"",""?-00;"",""?00;"", //"""),"'","""")&amp;SUBSTITUTE(TEXT(IF(ISTEXT(Overig!F511),Overig!F511,10*Overig!F511),""",""????0;"",""???-0;"",""????0;"", ////"""),"'","""")&amp;SUBSTITUTE(TEXT(Overig!G511,""",""?00;"",""?-00;"",""?00;"", //"""),"'","""")</f>
        <v>081, 19400618, 19.45, ////, 07, ////, 07</v>
      </c>
    </row>
    <row r="512" spans="1:1" x14ac:dyDescent="0.25">
      <c r="A512" s="25" t="str">
        <f ca="1">TEXT(Overig!A512,"000\,")&amp;TEXT(Overig!B512,"?00000000")&amp;TEXT(Overig!C512,""", ""@")&amp;SUBSTITUTE(TEXT(IF(ISTEXT(Overig!D512),Overig!D512,10*Overig!D512),""",""????0;"",""???-0;"",""????0;"", ////"""),"'","""")&amp;SUBSTITUTE(TEXT(Overig!E512,""",""?00;"",""?-00;"",""?00;"", //"""),"'","""")&amp;SUBSTITUTE(TEXT(IF(ISTEXT(Overig!F512),Overig!F512,10*Overig!F512),""",""????0;"",""???-0;"",""????0;"", ////"""),"'","""")&amp;SUBSTITUTE(TEXT(Overig!G512,""",""?00;"",""?-00;"",""?00;"", //"""),"'","""")</f>
        <v>081, 19400619, 07.45, ////, 07, ////, 07</v>
      </c>
    </row>
    <row r="513" spans="1:1" x14ac:dyDescent="0.25">
      <c r="A513" s="25" t="str">
        <f ca="1">TEXT(Overig!A513,"000\,")&amp;TEXT(Overig!B513,"?00000000")&amp;TEXT(Overig!C513,""", ""@")&amp;SUBSTITUTE(TEXT(IF(ISTEXT(Overig!D513),Overig!D513,10*Overig!D513),""",""????0;"",""???-0;"",""????0;"", ////"""),"'","""")&amp;SUBSTITUTE(TEXT(Overig!E513,""",""?00;"",""?-00;"",""?00;"", //"""),"'","""")&amp;SUBSTITUTE(TEXT(IF(ISTEXT(Overig!F513),Overig!F513,10*Overig!F513),""",""????0;"",""???-0;"",""????0;"", ////"""),"'","""")&amp;SUBSTITUTE(TEXT(Overig!G513,""",""?00;"",""?-00;"",""?00;"", //"""),"'","""")</f>
        <v>081, 19400619, 13.45, ////, 07, ////, 07</v>
      </c>
    </row>
    <row r="514" spans="1:1" x14ac:dyDescent="0.25">
      <c r="A514" s="25" t="str">
        <f ca="1">TEXT(Overig!A514,"000\,")&amp;TEXT(Overig!B514,"?00000000")&amp;TEXT(Overig!C514,""", ""@")&amp;SUBSTITUTE(TEXT(IF(ISTEXT(Overig!D514),Overig!D514,10*Overig!D514),""",""????0;"",""???-0;"",""????0;"", ////"""),"'","""")&amp;SUBSTITUTE(TEXT(Overig!E514,""",""?00;"",""?-00;"",""?00;"", //"""),"'","""")&amp;SUBSTITUTE(TEXT(IF(ISTEXT(Overig!F514),Overig!F514,10*Overig!F514),""",""????0;"",""???-0;"",""????0;"", ////"""),"'","""")&amp;SUBSTITUTE(TEXT(Overig!G514,""",""?00;"",""?-00;"",""?00;"", //"""),"'","""")</f>
        <v>081, 19400619, 19.45, ////, 07, ////, 07</v>
      </c>
    </row>
    <row r="515" spans="1:1" x14ac:dyDescent="0.25">
      <c r="A515" s="25" t="str">
        <f ca="1">TEXT(Overig!A515,"000\,")&amp;TEXT(Overig!B515,"?00000000")&amp;TEXT(Overig!C515,""", ""@")&amp;SUBSTITUTE(TEXT(IF(ISTEXT(Overig!D515),Overig!D515,10*Overig!D515),""",""????0;"",""???-0;"",""????0;"", ////"""),"'","""")&amp;SUBSTITUTE(TEXT(Overig!E515,""",""?00;"",""?-00;"",""?00;"", //"""),"'","""")&amp;SUBSTITUTE(TEXT(IF(ISTEXT(Overig!F515),Overig!F515,10*Overig!F515),""",""????0;"",""???-0;"",""????0;"", ////"""),"'","""")&amp;SUBSTITUTE(TEXT(Overig!G515,""",""?00;"",""?-00;"",""?00;"", //"""),"'","""")</f>
        <v>081, 19400620, 07.45, ////, 07, ////, 07</v>
      </c>
    </row>
    <row r="516" spans="1:1" x14ac:dyDescent="0.25">
      <c r="A516" s="25" t="str">
        <f ca="1">TEXT(Overig!A516,"000\,")&amp;TEXT(Overig!B516,"?00000000")&amp;TEXT(Overig!C516,""", ""@")&amp;SUBSTITUTE(TEXT(IF(ISTEXT(Overig!D516),Overig!D516,10*Overig!D516),""",""????0;"",""???-0;"",""????0;"", ////"""),"'","""")&amp;SUBSTITUTE(TEXT(Overig!E516,""",""?00;"",""?-00;"",""?00;"", //"""),"'","""")&amp;SUBSTITUTE(TEXT(IF(ISTEXT(Overig!F516),Overig!F516,10*Overig!F516),""",""????0;"",""???-0;"",""????0;"", ////"""),"'","""")&amp;SUBSTITUTE(TEXT(Overig!G516,""",""?00;"",""?-00;"",""?00;"", //"""),"'","""")</f>
        <v>081, 19400620, 13.45, ////, 07, ////, 07</v>
      </c>
    </row>
    <row r="517" spans="1:1" x14ac:dyDescent="0.25">
      <c r="A517" s="25" t="str">
        <f ca="1">TEXT(Overig!A517,"000\,")&amp;TEXT(Overig!B517,"?00000000")&amp;TEXT(Overig!C517,""", ""@")&amp;SUBSTITUTE(TEXT(IF(ISTEXT(Overig!D517),Overig!D517,10*Overig!D517),""",""????0;"",""???-0;"",""????0;"", ////"""),"'","""")&amp;SUBSTITUTE(TEXT(Overig!E517,""",""?00;"",""?-00;"",""?00;"", //"""),"'","""")&amp;SUBSTITUTE(TEXT(IF(ISTEXT(Overig!F517),Overig!F517,10*Overig!F517),""",""????0;"",""???-0;"",""????0;"", ////"""),"'","""")&amp;SUBSTITUTE(TEXT(Overig!G517,""",""?00;"",""?-00;"",""?00;"", //"""),"'","""")</f>
        <v>081, 19400620, 19.45, ////, 07, ////, 07</v>
      </c>
    </row>
    <row r="518" spans="1:1" x14ac:dyDescent="0.25">
      <c r="A518" s="25" t="str">
        <f ca="1">TEXT(Overig!A518,"000\,")&amp;TEXT(Overig!B518,"?00000000")&amp;TEXT(Overig!C518,""", ""@")&amp;SUBSTITUTE(TEXT(IF(ISTEXT(Overig!D518),Overig!D518,10*Overig!D518),""",""????0;"",""???-0;"",""????0;"", ////"""),"'","""")&amp;SUBSTITUTE(TEXT(Overig!E518,""",""?00;"",""?-00;"",""?00;"", //"""),"'","""")&amp;SUBSTITUTE(TEXT(IF(ISTEXT(Overig!F518),Overig!F518,10*Overig!F518),""",""????0;"",""???-0;"",""????0;"", ////"""),"'","""")&amp;SUBSTITUTE(TEXT(Overig!G518,""",""?00;"",""?-00;"",""?00;"", //"""),"'","""")</f>
        <v>081, 19400621, 07.45, ////, 07, ////, 07</v>
      </c>
    </row>
    <row r="519" spans="1:1" x14ac:dyDescent="0.25">
      <c r="A519" s="25" t="str">
        <f ca="1">TEXT(Overig!A519,"000\,")&amp;TEXT(Overig!B519,"?00000000")&amp;TEXT(Overig!C519,""", ""@")&amp;SUBSTITUTE(TEXT(IF(ISTEXT(Overig!D519),Overig!D519,10*Overig!D519),""",""????0;"",""???-0;"",""????0;"", ////"""),"'","""")&amp;SUBSTITUTE(TEXT(Overig!E519,""",""?00;"",""?-00;"",""?00;"", //"""),"'","""")&amp;SUBSTITUTE(TEXT(IF(ISTEXT(Overig!F519),Overig!F519,10*Overig!F519),""",""????0;"",""???-0;"",""????0;"", ////"""),"'","""")&amp;SUBSTITUTE(TEXT(Overig!G519,""",""?00;"",""?-00;"",""?00;"", //"""),"'","""")</f>
        <v>081, 19400621, 13.45, ////, 07, ////, 07</v>
      </c>
    </row>
    <row r="520" spans="1:1" x14ac:dyDescent="0.25">
      <c r="A520" s="25" t="str">
        <f ca="1">TEXT(Overig!A520,"000\,")&amp;TEXT(Overig!B520,"?00000000")&amp;TEXT(Overig!C520,""", ""@")&amp;SUBSTITUTE(TEXT(IF(ISTEXT(Overig!D520),Overig!D520,10*Overig!D520),""",""????0;"",""???-0;"",""????0;"", ////"""),"'","""")&amp;SUBSTITUTE(TEXT(Overig!E520,""",""?00;"",""?-00;"",""?00;"", //"""),"'","""")&amp;SUBSTITUTE(TEXT(IF(ISTEXT(Overig!F520),Overig!F520,10*Overig!F520),""",""????0;"",""???-0;"",""????0;"", ////"""),"'","""")&amp;SUBSTITUTE(TEXT(Overig!G520,""",""?00;"",""?-00;"",""?00;"", //"""),"'","""")</f>
        <v>081, 19400621, 19.45, ////, 07, ////, 07</v>
      </c>
    </row>
    <row r="521" spans="1:1" x14ac:dyDescent="0.25">
      <c r="A521" s="25" t="str">
        <f ca="1">TEXT(Overig!A521,"000\,")&amp;TEXT(Overig!B521,"?00000000")&amp;TEXT(Overig!C521,""", ""@")&amp;SUBSTITUTE(TEXT(IF(ISTEXT(Overig!D521),Overig!D521,10*Overig!D521),""",""????0;"",""???-0;"",""????0;"", ////"""),"'","""")&amp;SUBSTITUTE(TEXT(Overig!E521,""",""?00;"",""?-00;"",""?00;"", //"""),"'","""")&amp;SUBSTITUTE(TEXT(IF(ISTEXT(Overig!F521),Overig!F521,10*Overig!F521),""",""????0;"",""???-0;"",""????0;"", ////"""),"'","""")&amp;SUBSTITUTE(TEXT(Overig!G521,""",""?00;"",""?-00;"",""?00;"", //"""),"'","""")</f>
        <v>081, 19400622, 07.45, ////, 07, ////, 07</v>
      </c>
    </row>
    <row r="522" spans="1:1" x14ac:dyDescent="0.25">
      <c r="A522" s="25" t="str">
        <f ca="1">TEXT(Overig!A522,"000\,")&amp;TEXT(Overig!B522,"?00000000")&amp;TEXT(Overig!C522,""", ""@")&amp;SUBSTITUTE(TEXT(IF(ISTEXT(Overig!D522),Overig!D522,10*Overig!D522),""",""????0;"",""???-0;"",""????0;"", ////"""),"'","""")&amp;SUBSTITUTE(TEXT(Overig!E522,""",""?00;"",""?-00;"",""?00;"", //"""),"'","""")&amp;SUBSTITUTE(TEXT(IF(ISTEXT(Overig!F522),Overig!F522,10*Overig!F522),""",""????0;"",""???-0;"",""????0;"", ////"""),"'","""")&amp;SUBSTITUTE(TEXT(Overig!G522,""",""?00;"",""?-00;"",""?00;"", //"""),"'","""")</f>
        <v>081, 19400622, 13.45, ////, 07, ////, 07</v>
      </c>
    </row>
    <row r="523" spans="1:1" x14ac:dyDescent="0.25">
      <c r="A523" s="25" t="str">
        <f ca="1">TEXT(Overig!A523,"000\,")&amp;TEXT(Overig!B523,"?00000000")&amp;TEXT(Overig!C523,""", ""@")&amp;SUBSTITUTE(TEXT(IF(ISTEXT(Overig!D523),Overig!D523,10*Overig!D523),""",""????0;"",""???-0;"",""????0;"", ////"""),"'","""")&amp;SUBSTITUTE(TEXT(Overig!E523,""",""?00;"",""?-00;"",""?00;"", //"""),"'","""")&amp;SUBSTITUTE(TEXT(IF(ISTEXT(Overig!F523),Overig!F523,10*Overig!F523),""",""????0;"",""???-0;"",""????0;"", ////"""),"'","""")&amp;SUBSTITUTE(TEXT(Overig!G523,""",""?00;"",""?-00;"",""?00;"", //"""),"'","""")</f>
        <v>081, 19400622, 19.45, ////, 07, ////, 07</v>
      </c>
    </row>
    <row r="524" spans="1:1" x14ac:dyDescent="0.25">
      <c r="A524" s="25" t="str">
        <f ca="1">TEXT(Overig!A524,"000\,")&amp;TEXT(Overig!B524,"?00000000")&amp;TEXT(Overig!C524,""", ""@")&amp;SUBSTITUTE(TEXT(IF(ISTEXT(Overig!D524),Overig!D524,10*Overig!D524),""",""????0;"",""???-0;"",""????0;"", ////"""),"'","""")&amp;SUBSTITUTE(TEXT(Overig!E524,""",""?00;"",""?-00;"",""?00;"", //"""),"'","""")&amp;SUBSTITUTE(TEXT(IF(ISTEXT(Overig!F524),Overig!F524,10*Overig!F524),""",""????0;"",""???-0;"",""????0;"", ////"""),"'","""")&amp;SUBSTITUTE(TEXT(Overig!G524,""",""?00;"",""?-00;"",""?00;"", //"""),"'","""")</f>
        <v>081, 19400623, 07.45, ////, 07, ////, 07</v>
      </c>
    </row>
    <row r="525" spans="1:1" x14ac:dyDescent="0.25">
      <c r="A525" s="25" t="str">
        <f ca="1">TEXT(Overig!A525,"000\,")&amp;TEXT(Overig!B525,"?00000000")&amp;TEXT(Overig!C525,""", ""@")&amp;SUBSTITUTE(TEXT(IF(ISTEXT(Overig!D525),Overig!D525,10*Overig!D525),""",""????0;"",""???-0;"",""????0;"", ////"""),"'","""")&amp;SUBSTITUTE(TEXT(Overig!E525,""",""?00;"",""?-00;"",""?00;"", //"""),"'","""")&amp;SUBSTITUTE(TEXT(IF(ISTEXT(Overig!F525),Overig!F525,10*Overig!F525),""",""????0;"",""???-0;"",""????0;"", ////"""),"'","""")&amp;SUBSTITUTE(TEXT(Overig!G525,""",""?00;"",""?-00;"",""?00;"", //"""),"'","""")</f>
        <v>081, 19400623, 13.45, ////, 07, ////, 07</v>
      </c>
    </row>
    <row r="526" spans="1:1" x14ac:dyDescent="0.25">
      <c r="A526" s="25" t="str">
        <f ca="1">TEXT(Overig!A526,"000\,")&amp;TEXT(Overig!B526,"?00000000")&amp;TEXT(Overig!C526,""", ""@")&amp;SUBSTITUTE(TEXT(IF(ISTEXT(Overig!D526),Overig!D526,10*Overig!D526),""",""????0;"",""???-0;"",""????0;"", ////"""),"'","""")&amp;SUBSTITUTE(TEXT(Overig!E526,""",""?00;"",""?-00;"",""?00;"", //"""),"'","""")&amp;SUBSTITUTE(TEXT(IF(ISTEXT(Overig!F526),Overig!F526,10*Overig!F526),""",""????0;"",""???-0;"",""????0;"", ////"""),"'","""")&amp;SUBSTITUTE(TEXT(Overig!G526,""",""?00;"",""?-00;"",""?00;"", //"""),"'","""")</f>
        <v>081, 19400623, 19.45, ////, 07, ////, 07</v>
      </c>
    </row>
    <row r="527" spans="1:1" x14ac:dyDescent="0.25">
      <c r="A527" s="25" t="str">
        <f ca="1">TEXT(Overig!A527,"000\,")&amp;TEXT(Overig!B527,"?00000000")&amp;TEXT(Overig!C527,""", ""@")&amp;SUBSTITUTE(TEXT(IF(ISTEXT(Overig!D527),Overig!D527,10*Overig!D527),""",""????0;"",""???-0;"",""????0;"", ////"""),"'","""")&amp;SUBSTITUTE(TEXT(Overig!E527,""",""?00;"",""?-00;"",""?00;"", //"""),"'","""")&amp;SUBSTITUTE(TEXT(IF(ISTEXT(Overig!F527),Overig!F527,10*Overig!F527),""",""????0;"",""???-0;"",""????0;"", ////"""),"'","""")&amp;SUBSTITUTE(TEXT(Overig!G527,""",""?00;"",""?-00;"",""?00;"", //"""),"'","""")</f>
        <v>081, 19400624, 07.45, ////, 07, ////, 07</v>
      </c>
    </row>
    <row r="528" spans="1:1" x14ac:dyDescent="0.25">
      <c r="A528" s="25" t="str">
        <f ca="1">TEXT(Overig!A528,"000\,")&amp;TEXT(Overig!B528,"?00000000")&amp;TEXT(Overig!C528,""", ""@")&amp;SUBSTITUTE(TEXT(IF(ISTEXT(Overig!D528),Overig!D528,10*Overig!D528),""",""????0;"",""???-0;"",""????0;"", ////"""),"'","""")&amp;SUBSTITUTE(TEXT(Overig!E528,""",""?00;"",""?-00;"",""?00;"", //"""),"'","""")&amp;SUBSTITUTE(TEXT(IF(ISTEXT(Overig!F528),Overig!F528,10*Overig!F528),""",""????0;"",""???-0;"",""????0;"", ////"""),"'","""")&amp;SUBSTITUTE(TEXT(Overig!G528,""",""?00;"",""?-00;"",""?00;"", //"""),"'","""")</f>
        <v>081, 19400624, 13.45, ////, 07, ////, 07</v>
      </c>
    </row>
    <row r="529" spans="1:1" x14ac:dyDescent="0.25">
      <c r="A529" s="25" t="str">
        <f ca="1">TEXT(Overig!A529,"000\,")&amp;TEXT(Overig!B529,"?00000000")&amp;TEXT(Overig!C529,""", ""@")&amp;SUBSTITUTE(TEXT(IF(ISTEXT(Overig!D529),Overig!D529,10*Overig!D529),""",""????0;"",""???-0;"",""????0;"", ////"""),"'","""")&amp;SUBSTITUTE(TEXT(Overig!E529,""",""?00;"",""?-00;"",""?00;"", //"""),"'","""")&amp;SUBSTITUTE(TEXT(IF(ISTEXT(Overig!F529),Overig!F529,10*Overig!F529),""",""????0;"",""???-0;"",""????0;"", ////"""),"'","""")&amp;SUBSTITUTE(TEXT(Overig!G529,""",""?00;"",""?-00;"",""?00;"", //"""),"'","""")</f>
        <v>081, 19400624, 19.45, ////, 07, ////, 07</v>
      </c>
    </row>
    <row r="530" spans="1:1" x14ac:dyDescent="0.25">
      <c r="A530" s="25" t="str">
        <f ca="1">TEXT(Overig!A530,"000\,")&amp;TEXT(Overig!B530,"?00000000")&amp;TEXT(Overig!C530,""", ""@")&amp;SUBSTITUTE(TEXT(IF(ISTEXT(Overig!D530),Overig!D530,10*Overig!D530),""",""????0;"",""???-0;"",""????0;"", ////"""),"'","""")&amp;SUBSTITUTE(TEXT(Overig!E530,""",""?00;"",""?-00;"",""?00;"", //"""),"'","""")&amp;SUBSTITUTE(TEXT(IF(ISTEXT(Overig!F530),Overig!F530,10*Overig!F530),""",""????0;"",""???-0;"",""????0;"", ////"""),"'","""")&amp;SUBSTITUTE(TEXT(Overig!G530,""",""?00;"",""?-00;"",""?00;"", //"""),"'","""")</f>
        <v>081, 19400625, 07.45, ////, 07, ////, 07</v>
      </c>
    </row>
    <row r="531" spans="1:1" x14ac:dyDescent="0.25">
      <c r="A531" s="25" t="str">
        <f ca="1">TEXT(Overig!A531,"000\,")&amp;TEXT(Overig!B531,"?00000000")&amp;TEXT(Overig!C531,""", ""@")&amp;SUBSTITUTE(TEXT(IF(ISTEXT(Overig!D531),Overig!D531,10*Overig!D531),""",""????0;"",""???-0;"",""????0;"", ////"""),"'","""")&amp;SUBSTITUTE(TEXT(Overig!E531,""",""?00;"",""?-00;"",""?00;"", //"""),"'","""")&amp;SUBSTITUTE(TEXT(IF(ISTEXT(Overig!F531),Overig!F531,10*Overig!F531),""",""????0;"",""???-0;"",""????0;"", ////"""),"'","""")&amp;SUBSTITUTE(TEXT(Overig!G531,""",""?00;"",""?-00;"",""?00;"", //"""),"'","""")</f>
        <v>081, 19400625, 13.45, ////, 07, ////, 07</v>
      </c>
    </row>
    <row r="532" spans="1:1" x14ac:dyDescent="0.25">
      <c r="A532" s="25" t="str">
        <f ca="1">TEXT(Overig!A532,"000\,")&amp;TEXT(Overig!B532,"?00000000")&amp;TEXT(Overig!C532,""", ""@")&amp;SUBSTITUTE(TEXT(IF(ISTEXT(Overig!D532),Overig!D532,10*Overig!D532),""",""????0;"",""???-0;"",""????0;"", ////"""),"'","""")&amp;SUBSTITUTE(TEXT(Overig!E532,""",""?00;"",""?-00;"",""?00;"", //"""),"'","""")&amp;SUBSTITUTE(TEXT(IF(ISTEXT(Overig!F532),Overig!F532,10*Overig!F532),""",""????0;"",""???-0;"",""????0;"", ////"""),"'","""")&amp;SUBSTITUTE(TEXT(Overig!G532,""",""?00;"",""?-00;"",""?00;"", //"""),"'","""")</f>
        <v>081, 19400625, 19.45, ////, 07, ////, 07</v>
      </c>
    </row>
    <row r="533" spans="1:1" x14ac:dyDescent="0.25">
      <c r="A533" s="25" t="str">
        <f ca="1">TEXT(Overig!A533,"000\,")&amp;TEXT(Overig!B533,"?00000000")&amp;TEXT(Overig!C533,""", ""@")&amp;SUBSTITUTE(TEXT(IF(ISTEXT(Overig!D533),Overig!D533,10*Overig!D533),""",""????0;"",""???-0;"",""????0;"", ////"""),"'","""")&amp;SUBSTITUTE(TEXT(Overig!E533,""",""?00;"",""?-00;"",""?00;"", //"""),"'","""")&amp;SUBSTITUTE(TEXT(IF(ISTEXT(Overig!F533),Overig!F533,10*Overig!F533),""",""????0;"",""???-0;"",""????0;"", ////"""),"'","""")&amp;SUBSTITUTE(TEXT(Overig!G533,""",""?00;"",""?-00;"",""?00;"", //"""),"'","""")</f>
        <v>081, 19400626, 07.45, ////, 07, ////, 07</v>
      </c>
    </row>
    <row r="534" spans="1:1" x14ac:dyDescent="0.25">
      <c r="A534" s="25" t="str">
        <f ca="1">TEXT(Overig!A534,"000\,")&amp;TEXT(Overig!B534,"?00000000")&amp;TEXT(Overig!C534,""", ""@")&amp;SUBSTITUTE(TEXT(IF(ISTEXT(Overig!D534),Overig!D534,10*Overig!D534),""",""????0;"",""???-0;"",""????0;"", ////"""),"'","""")&amp;SUBSTITUTE(TEXT(Overig!E534,""",""?00;"",""?-00;"",""?00;"", //"""),"'","""")&amp;SUBSTITUTE(TEXT(IF(ISTEXT(Overig!F534),Overig!F534,10*Overig!F534),""",""????0;"",""???-0;"",""????0;"", ////"""),"'","""")&amp;SUBSTITUTE(TEXT(Overig!G534,""",""?00;"",""?-00;"",""?00;"", //"""),"'","""")</f>
        <v>081, 19400626, 13.45, ////, 07, ////, 07</v>
      </c>
    </row>
    <row r="535" spans="1:1" x14ac:dyDescent="0.25">
      <c r="A535" s="25" t="str">
        <f ca="1">TEXT(Overig!A535,"000\,")&amp;TEXT(Overig!B535,"?00000000")&amp;TEXT(Overig!C535,""", ""@")&amp;SUBSTITUTE(TEXT(IF(ISTEXT(Overig!D535),Overig!D535,10*Overig!D535),""",""????0;"",""???-0;"",""????0;"", ////"""),"'","""")&amp;SUBSTITUTE(TEXT(Overig!E535,""",""?00;"",""?-00;"",""?00;"", //"""),"'","""")&amp;SUBSTITUTE(TEXT(IF(ISTEXT(Overig!F535),Overig!F535,10*Overig!F535),""",""????0;"",""???-0;"",""????0;"", ////"""),"'","""")&amp;SUBSTITUTE(TEXT(Overig!G535,""",""?00;"",""?-00;"",""?00;"", //"""),"'","""")</f>
        <v>081, 19400626, 19.45, ////, 07, ////, 07</v>
      </c>
    </row>
    <row r="536" spans="1:1" x14ac:dyDescent="0.25">
      <c r="A536" s="25" t="str">
        <f ca="1">TEXT(Overig!A536,"000\,")&amp;TEXT(Overig!B536,"?00000000")&amp;TEXT(Overig!C536,""", ""@")&amp;SUBSTITUTE(TEXT(IF(ISTEXT(Overig!D536),Overig!D536,10*Overig!D536),""",""????0;"",""???-0;"",""????0;"", ////"""),"'","""")&amp;SUBSTITUTE(TEXT(Overig!E536,""",""?00;"",""?-00;"",""?00;"", //"""),"'","""")&amp;SUBSTITUTE(TEXT(IF(ISTEXT(Overig!F536),Overig!F536,10*Overig!F536),""",""????0;"",""???-0;"",""????0;"", ////"""),"'","""")&amp;SUBSTITUTE(TEXT(Overig!G536,""",""?00;"",""?-00;"",""?00;"", //"""),"'","""")</f>
        <v>081, 19400627, 07.45, ////, 07, ////, 07</v>
      </c>
    </row>
    <row r="537" spans="1:1" x14ac:dyDescent="0.25">
      <c r="A537" s="25" t="str">
        <f ca="1">TEXT(Overig!A537,"000\,")&amp;TEXT(Overig!B537,"?00000000")&amp;TEXT(Overig!C537,""", ""@")&amp;SUBSTITUTE(TEXT(IF(ISTEXT(Overig!D537),Overig!D537,10*Overig!D537),""",""????0;"",""???-0;"",""????0;"", ////"""),"'","""")&amp;SUBSTITUTE(TEXT(Overig!E537,""",""?00;"",""?-00;"",""?00;"", //"""),"'","""")&amp;SUBSTITUTE(TEXT(IF(ISTEXT(Overig!F537),Overig!F537,10*Overig!F537),""",""????0;"",""???-0;"",""????0;"", ////"""),"'","""")&amp;SUBSTITUTE(TEXT(Overig!G537,""",""?00;"",""?-00;"",""?00;"", //"""),"'","""")</f>
        <v>081, 19400627, 13.45, ////, 07, ////, 07</v>
      </c>
    </row>
    <row r="538" spans="1:1" x14ac:dyDescent="0.25">
      <c r="A538" s="25" t="str">
        <f ca="1">TEXT(Overig!A538,"000\,")&amp;TEXT(Overig!B538,"?00000000")&amp;TEXT(Overig!C538,""", ""@")&amp;SUBSTITUTE(TEXT(IF(ISTEXT(Overig!D538),Overig!D538,10*Overig!D538),""",""????0;"",""???-0;"",""????0;"", ////"""),"'","""")&amp;SUBSTITUTE(TEXT(Overig!E538,""",""?00;"",""?-00;"",""?00;"", //"""),"'","""")&amp;SUBSTITUTE(TEXT(IF(ISTEXT(Overig!F538),Overig!F538,10*Overig!F538),""",""????0;"",""???-0;"",""????0;"", ////"""),"'","""")&amp;SUBSTITUTE(TEXT(Overig!G538,""",""?00;"",""?-00;"",""?00;"", //"""),"'","""")</f>
        <v>081, 19400627, 19.45, ////, 07, ////, 07</v>
      </c>
    </row>
    <row r="539" spans="1:1" x14ac:dyDescent="0.25">
      <c r="A539" s="25" t="str">
        <f ca="1">TEXT(Overig!A539,"000\,")&amp;TEXT(Overig!B539,"?00000000")&amp;TEXT(Overig!C539,""", ""@")&amp;SUBSTITUTE(TEXT(IF(ISTEXT(Overig!D539),Overig!D539,10*Overig!D539),""",""????0;"",""???-0;"",""????0;"", ////"""),"'","""")&amp;SUBSTITUTE(TEXT(Overig!E539,""",""?00;"",""?-00;"",""?00;"", //"""),"'","""")&amp;SUBSTITUTE(TEXT(IF(ISTEXT(Overig!F539),Overig!F539,10*Overig!F539),""",""????0;"",""???-0;"",""????0;"", ////"""),"'","""")&amp;SUBSTITUTE(TEXT(Overig!G539,""",""?00;"",""?-00;"",""?00;"", //"""),"'","""")</f>
        <v>081, 19400628, 07.45, ////, 07, ////, 07</v>
      </c>
    </row>
    <row r="540" spans="1:1" x14ac:dyDescent="0.25">
      <c r="A540" s="25" t="str">
        <f ca="1">TEXT(Overig!A540,"000\,")&amp;TEXT(Overig!B540,"?00000000")&amp;TEXT(Overig!C540,""", ""@")&amp;SUBSTITUTE(TEXT(IF(ISTEXT(Overig!D540),Overig!D540,10*Overig!D540),""",""????0;"",""???-0;"",""????0;"", ////"""),"'","""")&amp;SUBSTITUTE(TEXT(Overig!E540,""",""?00;"",""?-00;"",""?00;"", //"""),"'","""")&amp;SUBSTITUTE(TEXT(IF(ISTEXT(Overig!F540),Overig!F540,10*Overig!F540),""",""????0;"",""???-0;"",""????0;"", ////"""),"'","""")&amp;SUBSTITUTE(TEXT(Overig!G540,""",""?00;"",""?-00;"",""?00;"", //"""),"'","""")</f>
        <v>081, 19400628, 13.45, ////, 07, ////, 07</v>
      </c>
    </row>
    <row r="541" spans="1:1" x14ac:dyDescent="0.25">
      <c r="A541" s="25" t="str">
        <f ca="1">TEXT(Overig!A541,"000\,")&amp;TEXT(Overig!B541,"?00000000")&amp;TEXT(Overig!C541,""", ""@")&amp;SUBSTITUTE(TEXT(IF(ISTEXT(Overig!D541),Overig!D541,10*Overig!D541),""",""????0;"",""???-0;"",""????0;"", ////"""),"'","""")&amp;SUBSTITUTE(TEXT(Overig!E541,""",""?00;"",""?-00;"",""?00;"", //"""),"'","""")&amp;SUBSTITUTE(TEXT(IF(ISTEXT(Overig!F541),Overig!F541,10*Overig!F541),""",""????0;"",""???-0;"",""????0;"", ////"""),"'","""")&amp;SUBSTITUTE(TEXT(Overig!G541,""",""?00;"",""?-00;"",""?00;"", //"""),"'","""")</f>
        <v>081, 19400628, 19.45, ////, 07, ////, 07</v>
      </c>
    </row>
    <row r="542" spans="1:1" x14ac:dyDescent="0.25">
      <c r="A542" s="25" t="str">
        <f ca="1">TEXT(Overig!A542,"000\,")&amp;TEXT(Overig!B542,"?00000000")&amp;TEXT(Overig!C542,""", ""@")&amp;SUBSTITUTE(TEXT(IF(ISTEXT(Overig!D542),Overig!D542,10*Overig!D542),""",""????0;"",""???-0;"",""????0;"", ////"""),"'","""")&amp;SUBSTITUTE(TEXT(Overig!E542,""",""?00;"",""?-00;"",""?00;"", //"""),"'","""")&amp;SUBSTITUTE(TEXT(IF(ISTEXT(Overig!F542),Overig!F542,10*Overig!F542),""",""????0;"",""???-0;"",""????0;"", ////"""),"'","""")&amp;SUBSTITUTE(TEXT(Overig!G542,""",""?00;"",""?-00;"",""?00;"", //"""),"'","""")</f>
        <v>081, 19400629, 07.45, ////, 07, ////, 07</v>
      </c>
    </row>
    <row r="543" spans="1:1" x14ac:dyDescent="0.25">
      <c r="A543" s="25" t="str">
        <f ca="1">TEXT(Overig!A543,"000\,")&amp;TEXT(Overig!B543,"?00000000")&amp;TEXT(Overig!C543,""", ""@")&amp;SUBSTITUTE(TEXT(IF(ISTEXT(Overig!D543),Overig!D543,10*Overig!D543),""",""????0;"",""???-0;"",""????0;"", ////"""),"'","""")&amp;SUBSTITUTE(TEXT(Overig!E543,""",""?00;"",""?-00;"",""?00;"", //"""),"'","""")&amp;SUBSTITUTE(TEXT(IF(ISTEXT(Overig!F543),Overig!F543,10*Overig!F543),""",""????0;"",""???-0;"",""????0;"", ////"""),"'","""")&amp;SUBSTITUTE(TEXT(Overig!G543,""",""?00;"",""?-00;"",""?00;"", //"""),"'","""")</f>
        <v>081, 19400629, 13.45, ////, 07, ////, 07</v>
      </c>
    </row>
    <row r="544" spans="1:1" x14ac:dyDescent="0.25">
      <c r="A544" s="25" t="str">
        <f ca="1">TEXT(Overig!A544,"000\,")&amp;TEXT(Overig!B544,"?00000000")&amp;TEXT(Overig!C544,""", ""@")&amp;SUBSTITUTE(TEXT(IF(ISTEXT(Overig!D544),Overig!D544,10*Overig!D544),""",""????0;"",""???-0;"",""????0;"", ////"""),"'","""")&amp;SUBSTITUTE(TEXT(Overig!E544,""",""?00;"",""?-00;"",""?00;"", //"""),"'","""")&amp;SUBSTITUTE(TEXT(IF(ISTEXT(Overig!F544),Overig!F544,10*Overig!F544),""",""????0;"",""???-0;"",""????0;"", ////"""),"'","""")&amp;SUBSTITUTE(TEXT(Overig!G544,""",""?00;"",""?-00;"",""?00;"", //"""),"'","""")</f>
        <v>081, 19400629, 19.45, ////, 07, ////, 07</v>
      </c>
    </row>
    <row r="545" spans="1:1" x14ac:dyDescent="0.25">
      <c r="A545" s="25" t="str">
        <f ca="1">TEXT(Overig!A545,"000\,")&amp;TEXT(Overig!B545,"?00000000")&amp;TEXT(Overig!C545,""", ""@")&amp;SUBSTITUTE(TEXT(IF(ISTEXT(Overig!D545),Overig!D545,10*Overig!D545),""",""????0;"",""???-0;"",""????0;"", ////"""),"'","""")&amp;SUBSTITUTE(TEXT(Overig!E545,""",""?00;"",""?-00;"",""?00;"", //"""),"'","""")&amp;SUBSTITUTE(TEXT(IF(ISTEXT(Overig!F545),Overig!F545,10*Overig!F545),""",""????0;"",""???-0;"",""????0;"", ////"""),"'","""")&amp;SUBSTITUTE(TEXT(Overig!G545,""",""?00;"",""?-00;"",""?00;"", //"""),"'","""")</f>
        <v>081, 19400630, 07.45, ////, 07, ////, 07</v>
      </c>
    </row>
    <row r="546" spans="1:1" x14ac:dyDescent="0.25">
      <c r="A546" s="25" t="str">
        <f ca="1">TEXT(Overig!A546,"000\,")&amp;TEXT(Overig!B546,"?00000000")&amp;TEXT(Overig!C546,""", ""@")&amp;SUBSTITUTE(TEXT(IF(ISTEXT(Overig!D546),Overig!D546,10*Overig!D546),""",""????0;"",""???-0;"",""????0;"", ////"""),"'","""")&amp;SUBSTITUTE(TEXT(Overig!E546,""",""?00;"",""?-00;"",""?00;"", //"""),"'","""")&amp;SUBSTITUTE(TEXT(IF(ISTEXT(Overig!F546),Overig!F546,10*Overig!F546),""",""????0;"",""???-0;"",""????0;"", ////"""),"'","""")&amp;SUBSTITUTE(TEXT(Overig!G546,""",""?00;"",""?-00;"",""?00;"", //"""),"'","""")</f>
        <v>081, 19400630, 13.45, ////, 07, ////, 07</v>
      </c>
    </row>
    <row r="547" spans="1:1" x14ac:dyDescent="0.25">
      <c r="A547" s="25" t="str">
        <f ca="1">TEXT(Overig!A547,"000\,")&amp;TEXT(Overig!B547,"?00000000")&amp;TEXT(Overig!C547,""", ""@")&amp;SUBSTITUTE(TEXT(IF(ISTEXT(Overig!D547),Overig!D547,10*Overig!D547),""",""????0;"",""???-0;"",""????0;"", ////"""),"'","""")&amp;SUBSTITUTE(TEXT(Overig!E547,""",""?00;"",""?-00;"",""?00;"", //"""),"'","""")&amp;SUBSTITUTE(TEXT(IF(ISTEXT(Overig!F547),Overig!F547,10*Overig!F547),""",""????0;"",""???-0;"",""????0;"", ////"""),"'","""")&amp;SUBSTITUTE(TEXT(Overig!G547,""",""?00;"",""?-00;"",""?00;"", //"""),"'","""")</f>
        <v>081, 19400630, 19.45, ////, 07, ////, 07</v>
      </c>
    </row>
    <row r="548" spans="1:1" x14ac:dyDescent="0.25">
      <c r="A548" s="25" t="str">
        <f ca="1">TEXT(Overig!A548,"000\,")&amp;TEXT(Overig!B548,"?00000000")&amp;TEXT(Overig!C548,""", ""@")&amp;SUBSTITUTE(TEXT(IF(ISTEXT(Overig!D548),Overig!D548,10*Overig!D548),""",""????0;"",""???-0;"",""????0;"", ////"""),"'","""")&amp;SUBSTITUTE(TEXT(Overig!E548,""",""?00;"",""?-00;"",""?00;"", //"""),"'","""")&amp;SUBSTITUTE(TEXT(IF(ISTEXT(Overig!F548),Overig!F548,10*Overig!F548),""",""????0;"",""???-0;"",""????0;"", ////"""),"'","""")&amp;SUBSTITUTE(TEXT(Overig!G548,""",""?00;"",""?-00;"",""?00;"", //"""),"'","""")</f>
        <v>081, 19400701, 07.45, 7510, 00,  270, 00</v>
      </c>
    </row>
    <row r="549" spans="1:1" x14ac:dyDescent="0.25">
      <c r="A549" s="25" t="str">
        <f ca="1">TEXT(Overig!A549,"000\,")&amp;TEXT(Overig!B549,"?00000000")&amp;TEXT(Overig!C549,""", ""@")&amp;SUBSTITUTE(TEXT(IF(ISTEXT(Overig!D549),Overig!D549,10*Overig!D549),""",""????0;"",""???-0;"",""????0;"", ////"""),"'","""")&amp;SUBSTITUTE(TEXT(Overig!E549,""",""?00;"",""?-00;"",""?00;"", //"""),"'","""")&amp;SUBSTITUTE(TEXT(IF(ISTEXT(Overig!F549),Overig!F549,10*Overig!F549),""",""????0;"",""???-0;"",""????0;"", ////"""),"'","""")&amp;SUBSTITUTE(TEXT(Overig!G549,""",""?00;"",""?-00;"",""?00;"", //"""),"'","""")</f>
        <v>081, 19400701, 13.45, 7510, 00,  290, 00</v>
      </c>
    </row>
    <row r="550" spans="1:1" x14ac:dyDescent="0.25">
      <c r="A550" s="25" t="str">
        <f ca="1">TEXT(Overig!A550,"000\,")&amp;TEXT(Overig!B550,"?00000000")&amp;TEXT(Overig!C550,""", ""@")&amp;SUBSTITUTE(TEXT(IF(ISTEXT(Overig!D550),Overig!D550,10*Overig!D550),""",""????0;"",""???-0;"",""????0;"", ////"""),"'","""")&amp;SUBSTITUTE(TEXT(Overig!E550,""",""?00;"",""?-00;"",""?00;"", //"""),"'","""")&amp;SUBSTITUTE(TEXT(IF(ISTEXT(Overig!F550),Overig!F550,10*Overig!F550),""",""????0;"",""???-0;"",""????0;"", ////"""),"'","""")&amp;SUBSTITUTE(TEXT(Overig!G550,""",""?00;"",""?-00;"",""?00;"", //"""),"'","""")</f>
        <v>081, 19400701, 19.45, 7510, 00,  280, 00</v>
      </c>
    </row>
    <row r="551" spans="1:1" x14ac:dyDescent="0.25">
      <c r="A551" s="25" t="str">
        <f ca="1">TEXT(Overig!A551,"000\,")&amp;TEXT(Overig!B551,"?00000000")&amp;TEXT(Overig!C551,""", ""@")&amp;SUBSTITUTE(TEXT(IF(ISTEXT(Overig!D551),Overig!D551,10*Overig!D551),""",""????0;"",""???-0;"",""????0;"", ////"""),"'","""")&amp;SUBSTITUTE(TEXT(Overig!E551,""",""?00;"",""?-00;"",""?00;"", //"""),"'","""")&amp;SUBSTITUTE(TEXT(IF(ISTEXT(Overig!F551),Overig!F551,10*Overig!F551),""",""????0;"",""???-0;"",""????0;"", ////"""),"'","""")&amp;SUBSTITUTE(TEXT(Overig!G551,""",""?00;"",""?-00;"",""?00;"", //"""),"'","""")</f>
        <v>081, 19400702, 07.45, 7500, 00,  270, 00</v>
      </c>
    </row>
    <row r="552" spans="1:1" x14ac:dyDescent="0.25">
      <c r="A552" s="25" t="str">
        <f ca="1">TEXT(Overig!A552,"000\,")&amp;TEXT(Overig!B552,"?00000000")&amp;TEXT(Overig!C552,""", ""@")&amp;SUBSTITUTE(TEXT(IF(ISTEXT(Overig!D552),Overig!D552,10*Overig!D552),""",""????0;"",""???-0;"",""????0;"", ////"""),"'","""")&amp;SUBSTITUTE(TEXT(Overig!E552,""",""?00;"",""?-00;"",""?00;"", //"""),"'","""")&amp;SUBSTITUTE(TEXT(IF(ISTEXT(Overig!F552),Overig!F552,10*Overig!F552),""",""????0;"",""???-0;"",""????0;"", ////"""),"'","""")&amp;SUBSTITUTE(TEXT(Overig!G552,""",""?00;"",""?-00;"",""?00;"", //"""),"'","""")</f>
        <v>081, 19400702, 13.45, 7500, 00,  300, 00</v>
      </c>
    </row>
    <row r="553" spans="1:1" x14ac:dyDescent="0.25">
      <c r="A553" s="25" t="str">
        <f ca="1">TEXT(Overig!A553,"000\,")&amp;TEXT(Overig!B553,"?00000000")&amp;TEXT(Overig!C553,""", ""@")&amp;SUBSTITUTE(TEXT(IF(ISTEXT(Overig!D553),Overig!D553,10*Overig!D553),""",""????0;"",""???-0;"",""????0;"", ////"""),"'","""")&amp;SUBSTITUTE(TEXT(Overig!E553,""",""?00;"",""?-00;"",""?00;"", //"""),"'","""")&amp;SUBSTITUTE(TEXT(IF(ISTEXT(Overig!F553),Overig!F553,10*Overig!F553),""",""????0;"",""???-0;"",""????0;"", ////"""),"'","""")&amp;SUBSTITUTE(TEXT(Overig!G553,""",""?00;"",""?-00;"",""?00;"", //"""),"'","""")</f>
        <v>081, 19400702, 19.45, 7500, 00,  290, 00</v>
      </c>
    </row>
    <row r="554" spans="1:1" x14ac:dyDescent="0.25">
      <c r="A554" s="25" t="str">
        <f ca="1">TEXT(Overig!A554,"000\,")&amp;TEXT(Overig!B554,"?00000000")&amp;TEXT(Overig!C554,""", ""@")&amp;SUBSTITUTE(TEXT(IF(ISTEXT(Overig!D554),Overig!D554,10*Overig!D554),""",""????0;"",""???-0;"",""????0;"", ////"""),"'","""")&amp;SUBSTITUTE(TEXT(Overig!E554,""",""?00;"",""?-00;"",""?00;"", //"""),"'","""")&amp;SUBSTITUTE(TEXT(IF(ISTEXT(Overig!F554),Overig!F554,10*Overig!F554),""",""????0;"",""???-0;"",""????0;"", ////"""),"'","""")&amp;SUBSTITUTE(TEXT(Overig!G554,""",""?00;"",""?-00;"",""?00;"", //"""),"'","""")</f>
        <v>081, 19400703, 07.45, 7500, 00,  270, 00</v>
      </c>
    </row>
    <row r="555" spans="1:1" x14ac:dyDescent="0.25">
      <c r="A555" s="25" t="str">
        <f ca="1">TEXT(Overig!A555,"000\,")&amp;TEXT(Overig!B555,"?00000000")&amp;TEXT(Overig!C555,""", ""@")&amp;SUBSTITUTE(TEXT(IF(ISTEXT(Overig!D555),Overig!D555,10*Overig!D555),""",""????0;"",""???-0;"",""????0;"", ////"""),"'","""")&amp;SUBSTITUTE(TEXT(Overig!E555,""",""?00;"",""?-00;"",""?00;"", //"""),"'","""")&amp;SUBSTITUTE(TEXT(IF(ISTEXT(Overig!F555),Overig!F555,10*Overig!F555),""",""????0;"",""???-0;"",""????0;"", ////"""),"'","""")&amp;SUBSTITUTE(TEXT(Overig!G555,""",""?00;"",""?-00;"",""?00;"", //"""),"'","""")</f>
        <v>081, 19400703, 13.45, 7500, 00,  300, 00</v>
      </c>
    </row>
    <row r="556" spans="1:1" x14ac:dyDescent="0.25">
      <c r="A556" s="25" t="str">
        <f ca="1">TEXT(Overig!A556,"000\,")&amp;TEXT(Overig!B556,"?00000000")&amp;TEXT(Overig!C556,""", ""@")&amp;SUBSTITUTE(TEXT(IF(ISTEXT(Overig!D556),Overig!D556,10*Overig!D556),""",""????0;"",""???-0;"",""????0;"", ////"""),"'","""")&amp;SUBSTITUTE(TEXT(Overig!E556,""",""?00;"",""?-00;"",""?00;"", //"""),"'","""")&amp;SUBSTITUTE(TEXT(IF(ISTEXT(Overig!F556),Overig!F556,10*Overig!F556),""",""????0;"",""???-0;"",""????0;"", ////"""),"'","""")&amp;SUBSTITUTE(TEXT(Overig!G556,""",""?00;"",""?-00;"",""?00;"", //"""),"'","""")</f>
        <v>081, 19400703, 19.45, 7500, 00,  290, 00</v>
      </c>
    </row>
    <row r="557" spans="1:1" x14ac:dyDescent="0.25">
      <c r="A557" s="25" t="str">
        <f ca="1">TEXT(Overig!A557,"000\,")&amp;TEXT(Overig!B557,"?00000000")&amp;TEXT(Overig!C557,""", ""@")&amp;SUBSTITUTE(TEXT(IF(ISTEXT(Overig!D557),Overig!D557,10*Overig!D557),""",""????0;"",""???-0;"",""????0;"", ////"""),"'","""")&amp;SUBSTITUTE(TEXT(Overig!E557,""",""?00;"",""?-00;"",""?00;"", //"""),"'","""")&amp;SUBSTITUTE(TEXT(IF(ISTEXT(Overig!F557),Overig!F557,10*Overig!F557),""",""????0;"",""???-0;"",""????0;"", ////"""),"'","""")&amp;SUBSTITUTE(TEXT(Overig!G557,""",""?00;"",""?-00;"",""?00;"", //"""),"'","""")</f>
        <v>081, 19400704, 07.45, 7500, 00,  280, 00</v>
      </c>
    </row>
    <row r="558" spans="1:1" x14ac:dyDescent="0.25">
      <c r="A558" s="25" t="str">
        <f ca="1">TEXT(Overig!A558,"000\,")&amp;TEXT(Overig!B558,"?00000000")&amp;TEXT(Overig!C558,""", ""@")&amp;SUBSTITUTE(TEXT(IF(ISTEXT(Overig!D558),Overig!D558,10*Overig!D558),""",""????0;"",""???-0;"",""????0;"", ////"""),"'","""")&amp;SUBSTITUTE(TEXT(Overig!E558,""",""?00;"",""?-00;"",""?00;"", //"""),"'","""")&amp;SUBSTITUTE(TEXT(IF(ISTEXT(Overig!F558),Overig!F558,10*Overig!F558),""",""????0;"",""???-0;"",""????0;"", ////"""),"'","""")&amp;SUBSTITUTE(TEXT(Overig!G558,""",""?00;"",""?-00;"",""?00;"", //"""),"'","""")</f>
        <v>081, 19400704, 13.45, 7500, 00,  300, 00</v>
      </c>
    </row>
    <row r="559" spans="1:1" x14ac:dyDescent="0.25">
      <c r="A559" s="25" t="str">
        <f ca="1">TEXT(Overig!A559,"000\,")&amp;TEXT(Overig!B559,"?00000000")&amp;TEXT(Overig!C559,""", ""@")&amp;SUBSTITUTE(TEXT(IF(ISTEXT(Overig!D559),Overig!D559,10*Overig!D559),""",""????0;"",""???-0;"",""????0;"", ////"""),"'","""")&amp;SUBSTITUTE(TEXT(Overig!E559,""",""?00;"",""?-00;"",""?00;"", //"""),"'","""")&amp;SUBSTITUTE(TEXT(IF(ISTEXT(Overig!F559),Overig!F559,10*Overig!F559),""",""????0;"",""???-0;"",""????0;"", ////"""),"'","""")&amp;SUBSTITUTE(TEXT(Overig!G559,""",""?00;"",""?-00;"",""?00;"", //"""),"'","""")</f>
        <v>081, 19400704, 19.45, 7500, 00,  290, 00</v>
      </c>
    </row>
    <row r="560" spans="1:1" x14ac:dyDescent="0.25">
      <c r="A560" s="25" t="str">
        <f ca="1">TEXT(Overig!A560,"000\,")&amp;TEXT(Overig!B560,"?00000000")&amp;TEXT(Overig!C560,""", ""@")&amp;SUBSTITUTE(TEXT(IF(ISTEXT(Overig!D560),Overig!D560,10*Overig!D560),""",""????0;"",""???-0;"",""????0;"", ////"""),"'","""")&amp;SUBSTITUTE(TEXT(Overig!E560,""",""?00;"",""?-00;"",""?00;"", //"""),"'","""")&amp;SUBSTITUTE(TEXT(IF(ISTEXT(Overig!F560),Overig!F560,10*Overig!F560),""",""????0;"",""???-0;"",""????0;"", ////"""),"'","""")&amp;SUBSTITUTE(TEXT(Overig!G560,""",""?00;"",""?-00;"",""?00;"", //"""),"'","""")</f>
        <v>081, 19400705, 07.45, 7510, 00,  280, 00</v>
      </c>
    </row>
    <row r="561" spans="1:1" x14ac:dyDescent="0.25">
      <c r="A561" s="25" t="str">
        <f ca="1">TEXT(Overig!A561,"000\,")&amp;TEXT(Overig!B561,"?00000000")&amp;TEXT(Overig!C561,""", ""@")&amp;SUBSTITUTE(TEXT(IF(ISTEXT(Overig!D561),Overig!D561,10*Overig!D561),""",""????0;"",""???-0;"",""????0;"", ////"""),"'","""")&amp;SUBSTITUTE(TEXT(Overig!E561,""",""?00;"",""?-00;"",""?00;"", //"""),"'","""")&amp;SUBSTITUTE(TEXT(IF(ISTEXT(Overig!F561),Overig!F561,10*Overig!F561),""",""????0;"",""???-0;"",""????0;"", ////"""),"'","""")&amp;SUBSTITUTE(TEXT(Overig!G561,""",""?00;"",""?-00;"",""?00;"", //"""),"'","""")</f>
        <v>081, 19400705, 13.45, 7500, 00,  300, 00</v>
      </c>
    </row>
    <row r="562" spans="1:1" x14ac:dyDescent="0.25">
      <c r="A562" s="25" t="str">
        <f ca="1">TEXT(Overig!A562,"000\,")&amp;TEXT(Overig!B562,"?00000000")&amp;TEXT(Overig!C562,""", ""@")&amp;SUBSTITUTE(TEXT(IF(ISTEXT(Overig!D562),Overig!D562,10*Overig!D562),""",""????0;"",""???-0;"",""????0;"", ////"""),"'","""")&amp;SUBSTITUTE(TEXT(Overig!E562,""",""?00;"",""?-00;"",""?00;"", //"""),"'","""")&amp;SUBSTITUTE(TEXT(IF(ISTEXT(Overig!F562),Overig!F562,10*Overig!F562),""",""????0;"",""???-0;"",""????0;"", ////"""),"'","""")&amp;SUBSTITUTE(TEXT(Overig!G562,""",""?00;"",""?-00;"",""?00;"", //"""),"'","""")</f>
        <v>081, 19400705, 19.45, 7510, 00,  290, 00</v>
      </c>
    </row>
    <row r="563" spans="1:1" x14ac:dyDescent="0.25">
      <c r="A563" s="25" t="str">
        <f ca="1">TEXT(Overig!A563,"000\,")&amp;TEXT(Overig!B563,"?00000000")&amp;TEXT(Overig!C563,""", ""@")&amp;SUBSTITUTE(TEXT(IF(ISTEXT(Overig!D563),Overig!D563,10*Overig!D563),""",""????0;"",""???-0;"",""????0;"", ////"""),"'","""")&amp;SUBSTITUTE(TEXT(Overig!E563,""",""?00;"",""?-00;"",""?00;"", //"""),"'","""")&amp;SUBSTITUTE(TEXT(IF(ISTEXT(Overig!F563),Overig!F563,10*Overig!F563),""",""????0;"",""???-0;"",""????0;"", ////"""),"'","""")&amp;SUBSTITUTE(TEXT(Overig!G563,""",""?00;"",""?-00;"",""?00;"", //"""),"'","""")</f>
        <v>081, 19400706, 07.45, 7500, 00,  270, 00</v>
      </c>
    </row>
    <row r="564" spans="1:1" x14ac:dyDescent="0.25">
      <c r="A564" s="25" t="str">
        <f ca="1">TEXT(Overig!A564,"000\,")&amp;TEXT(Overig!B564,"?00000000")&amp;TEXT(Overig!C564,""", ""@")&amp;SUBSTITUTE(TEXT(IF(ISTEXT(Overig!D564),Overig!D564,10*Overig!D564),""",""????0;"",""???-0;"",""????0;"", ////"""),"'","""")&amp;SUBSTITUTE(TEXT(Overig!E564,""",""?00;"",""?-00;"",""?00;"", //"""),"'","""")&amp;SUBSTITUTE(TEXT(IF(ISTEXT(Overig!F564),Overig!F564,10*Overig!F564),""",""????0;"",""???-0;"",""????0;"", ////"""),"'","""")&amp;SUBSTITUTE(TEXT(Overig!G564,""",""?00;"",""?-00;"",""?00;"", //"""),"'","""")</f>
        <v>081, 19400706, 13.45, 7500, 00,  290, 00</v>
      </c>
    </row>
    <row r="565" spans="1:1" x14ac:dyDescent="0.25">
      <c r="A565" s="25" t="str">
        <f ca="1">TEXT(Overig!A565,"000\,")&amp;TEXT(Overig!B565,"?00000000")&amp;TEXT(Overig!C565,""", ""@")&amp;SUBSTITUTE(TEXT(IF(ISTEXT(Overig!D565),Overig!D565,10*Overig!D565),""",""????0;"",""???-0;"",""????0;"", ////"""),"'","""")&amp;SUBSTITUTE(TEXT(Overig!E565,""",""?00;"",""?-00;"",""?00;"", //"""),"'","""")&amp;SUBSTITUTE(TEXT(IF(ISTEXT(Overig!F565),Overig!F565,10*Overig!F565),""",""????0;"",""???-0;"",""????0;"", ////"""),"'","""")&amp;SUBSTITUTE(TEXT(Overig!G565,""",""?00;"",""?-00;"",""?00;"", //"""),"'","""")</f>
        <v>081, 19400706, 19.45, 7500, 00,  280, 00</v>
      </c>
    </row>
    <row r="566" spans="1:1" x14ac:dyDescent="0.25">
      <c r="A566" s="25" t="str">
        <f ca="1">TEXT(Overig!A566,"000\,")&amp;TEXT(Overig!B566,"?00000000")&amp;TEXT(Overig!C566,""", ""@")&amp;SUBSTITUTE(TEXT(IF(ISTEXT(Overig!D566),Overig!D566,10*Overig!D566),""",""????0;"",""???-0;"",""????0;"", ////"""),"'","""")&amp;SUBSTITUTE(TEXT(Overig!E566,""",""?00;"",""?-00;"",""?00;"", //"""),"'","""")&amp;SUBSTITUTE(TEXT(IF(ISTEXT(Overig!F566),Overig!F566,10*Overig!F566),""",""????0;"",""???-0;"",""????0;"", ////"""),"'","""")&amp;SUBSTITUTE(TEXT(Overig!G566,""",""?00;"",""?-00;"",""?00;"", //"""),"'","""")</f>
        <v>081, 19400707, 07.45, 7490, 00,  270, 00</v>
      </c>
    </row>
    <row r="567" spans="1:1" x14ac:dyDescent="0.25">
      <c r="A567" s="25" t="str">
        <f ca="1">TEXT(Overig!A567,"000\,")&amp;TEXT(Overig!B567,"?00000000")&amp;TEXT(Overig!C567,""", ""@")&amp;SUBSTITUTE(TEXT(IF(ISTEXT(Overig!D567),Overig!D567,10*Overig!D567),""",""????0;"",""???-0;"",""????0;"", ////"""),"'","""")&amp;SUBSTITUTE(TEXT(Overig!E567,""",""?00;"",""?-00;"",""?00;"", //"""),"'","""")&amp;SUBSTITUTE(TEXT(IF(ISTEXT(Overig!F567),Overig!F567,10*Overig!F567),""",""????0;"",""???-0;"",""????0;"", ////"""),"'","""")&amp;SUBSTITUTE(TEXT(Overig!G567,""",""?00;"",""?-00;"",""?00;"", //"""),"'","""")</f>
        <v>081, 19400707, 13.45, 7490, 00,  290, 00</v>
      </c>
    </row>
    <row r="568" spans="1:1" x14ac:dyDescent="0.25">
      <c r="A568" s="25" t="str">
        <f ca="1">TEXT(Overig!A568,"000\,")&amp;TEXT(Overig!B568,"?00000000")&amp;TEXT(Overig!C568,""", ""@")&amp;SUBSTITUTE(TEXT(IF(ISTEXT(Overig!D568),Overig!D568,10*Overig!D568),""",""????0;"",""???-0;"",""????0;"", ////"""),"'","""")&amp;SUBSTITUTE(TEXT(Overig!E568,""",""?00;"",""?-00;"",""?00;"", //"""),"'","""")&amp;SUBSTITUTE(TEXT(IF(ISTEXT(Overig!F568),Overig!F568,10*Overig!F568),""",""????0;"",""???-0;"",""????0;"", ////"""),"'","""")&amp;SUBSTITUTE(TEXT(Overig!G568,""",""?00;"",""?-00;"",""?00;"", //"""),"'","""")</f>
        <v>081, 19400707, 19.45, 7500, 00,  280, 00</v>
      </c>
    </row>
    <row r="569" spans="1:1" x14ac:dyDescent="0.25">
      <c r="A569" s="25" t="str">
        <f ca="1">TEXT(Overig!A569,"000\,")&amp;TEXT(Overig!B569,"?00000000")&amp;TEXT(Overig!C569,""", ""@")&amp;SUBSTITUTE(TEXT(IF(ISTEXT(Overig!D569),Overig!D569,10*Overig!D569),""",""????0;"",""???-0;"",""????0;"", ////"""),"'","""")&amp;SUBSTITUTE(TEXT(Overig!E569,""",""?00;"",""?-00;"",""?00;"", //"""),"'","""")&amp;SUBSTITUTE(TEXT(IF(ISTEXT(Overig!F569),Overig!F569,10*Overig!F569),""",""????0;"",""???-0;"",""????0;"", ////"""),"'","""")&amp;SUBSTITUTE(TEXT(Overig!G569,""",""?00;"",""?-00;"",""?00;"", //"""),"'","""")</f>
        <v>081, 19400708, 07.45, 7510, 00,  270, 00</v>
      </c>
    </row>
    <row r="570" spans="1:1" x14ac:dyDescent="0.25">
      <c r="A570" s="25" t="str">
        <f ca="1">TEXT(Overig!A570,"000\,")&amp;TEXT(Overig!B570,"?00000000")&amp;TEXT(Overig!C570,""", ""@")&amp;SUBSTITUTE(TEXT(IF(ISTEXT(Overig!D570),Overig!D570,10*Overig!D570),""",""????0;"",""???-0;"",""????0;"", ////"""),"'","""")&amp;SUBSTITUTE(TEXT(Overig!E570,""",""?00;"",""?-00;"",""?00;"", //"""),"'","""")&amp;SUBSTITUTE(TEXT(IF(ISTEXT(Overig!F570),Overig!F570,10*Overig!F570),""",""????0;"",""???-0;"",""????0;"", ////"""),"'","""")&amp;SUBSTITUTE(TEXT(Overig!G570,""",""?00;"",""?-00;"",""?00;"", //"""),"'","""")</f>
        <v>081, 19400708, 13.45, 7510, 00,  310, 00</v>
      </c>
    </row>
    <row r="571" spans="1:1" x14ac:dyDescent="0.25">
      <c r="A571" s="25" t="str">
        <f ca="1">TEXT(Overig!A571,"000\,")&amp;TEXT(Overig!B571,"?00000000")&amp;TEXT(Overig!C571,""", ""@")&amp;SUBSTITUTE(TEXT(IF(ISTEXT(Overig!D571),Overig!D571,10*Overig!D571),""",""????0;"",""???-0;"",""????0;"", ////"""),"'","""")&amp;SUBSTITUTE(TEXT(Overig!E571,""",""?00;"",""?-00;"",""?00;"", //"""),"'","""")&amp;SUBSTITUTE(TEXT(IF(ISTEXT(Overig!F571),Overig!F571,10*Overig!F571),""",""????0;"",""???-0;"",""????0;"", ////"""),"'","""")&amp;SUBSTITUTE(TEXT(Overig!G571,""",""?00;"",""?-00;"",""?00;"", //"""),"'","""")</f>
        <v>081, 19400708, 19.45, 7520, 00,  300, 00</v>
      </c>
    </row>
    <row r="572" spans="1:1" x14ac:dyDescent="0.25">
      <c r="A572" s="25" t="str">
        <f ca="1">TEXT(Overig!A572,"000\,")&amp;TEXT(Overig!B572,"?00000000")&amp;TEXT(Overig!C572,""", ""@")&amp;SUBSTITUTE(TEXT(IF(ISTEXT(Overig!D572),Overig!D572,10*Overig!D572),""",""????0;"",""???-0;"",""????0;"", ////"""),"'","""")&amp;SUBSTITUTE(TEXT(Overig!E572,""",""?00;"",""?-00;"",""?00;"", //"""),"'","""")&amp;SUBSTITUTE(TEXT(IF(ISTEXT(Overig!F572),Overig!F572,10*Overig!F572),""",""????0;"",""???-0;"",""????0;"", ////"""),"'","""")&amp;SUBSTITUTE(TEXT(Overig!G572,""",""?00;"",""?-00;"",""?00;"", //"""),"'","""")</f>
        <v>081, 19400709, 07.45, 7530, 00,  270, 00</v>
      </c>
    </row>
    <row r="573" spans="1:1" x14ac:dyDescent="0.25">
      <c r="A573" s="25" t="str">
        <f ca="1">TEXT(Overig!A573,"000\,")&amp;TEXT(Overig!B573,"?00000000")&amp;TEXT(Overig!C573,""", ""@")&amp;SUBSTITUTE(TEXT(IF(ISTEXT(Overig!D573),Overig!D573,10*Overig!D573),""",""????0;"",""???-0;"",""????0;"", ////"""),"'","""")&amp;SUBSTITUTE(TEXT(Overig!E573,""",""?00;"",""?-00;"",""?00;"", //"""),"'","""")&amp;SUBSTITUTE(TEXT(IF(ISTEXT(Overig!F573),Overig!F573,10*Overig!F573),""",""????0;"",""???-0;"",""????0;"", ////"""),"'","""")&amp;SUBSTITUTE(TEXT(Overig!G573,""",""?00;"",""?-00;"",""?00;"", //"""),"'","""")</f>
        <v>081, 19400709, 13.45, 7530, 00,  310, 00</v>
      </c>
    </row>
    <row r="574" spans="1:1" x14ac:dyDescent="0.25">
      <c r="A574" s="25" t="str">
        <f ca="1">TEXT(Overig!A574,"000\,")&amp;TEXT(Overig!B574,"?00000000")&amp;TEXT(Overig!C574,""", ""@")&amp;SUBSTITUTE(TEXT(IF(ISTEXT(Overig!D574),Overig!D574,10*Overig!D574),""",""????0;"",""???-0;"",""????0;"", ////"""),"'","""")&amp;SUBSTITUTE(TEXT(Overig!E574,""",""?00;"",""?-00;"",""?00;"", //"""),"'","""")&amp;SUBSTITUTE(TEXT(IF(ISTEXT(Overig!F574),Overig!F574,10*Overig!F574),""",""????0;"",""???-0;"",""????0;"", ////"""),"'","""")&amp;SUBSTITUTE(TEXT(Overig!G574,""",""?00;"",""?-00;"",""?00;"", //"""),"'","""")</f>
        <v>081, 19400709, 19.45, 7530, 00,  290, 00</v>
      </c>
    </row>
    <row r="575" spans="1:1" x14ac:dyDescent="0.25">
      <c r="A575" s="25" t="str">
        <f ca="1">TEXT(Overig!A575,"000\,")&amp;TEXT(Overig!B575,"?00000000")&amp;TEXT(Overig!C575,""", ""@")&amp;SUBSTITUTE(TEXT(IF(ISTEXT(Overig!D575),Overig!D575,10*Overig!D575),""",""????0;"",""???-0;"",""????0;"", ////"""),"'","""")&amp;SUBSTITUTE(TEXT(Overig!E575,""",""?00;"",""?-00;"",""?00;"", //"""),"'","""")&amp;SUBSTITUTE(TEXT(IF(ISTEXT(Overig!F575),Overig!F575,10*Overig!F575),""",""????0;"",""???-0;"",""????0;"", ////"""),"'","""")&amp;SUBSTITUTE(TEXT(Overig!G575,""",""?00;"",""?-00;"",""?00;"", //"""),"'","""")</f>
        <v>081, 19400710, 07.45, 7520, 00,  280, 00</v>
      </c>
    </row>
    <row r="576" spans="1:1" x14ac:dyDescent="0.25">
      <c r="A576" s="25" t="str">
        <f ca="1">TEXT(Overig!A576,"000\,")&amp;TEXT(Overig!B576,"?00000000")&amp;TEXT(Overig!C576,""", ""@")&amp;SUBSTITUTE(TEXT(IF(ISTEXT(Overig!D576),Overig!D576,10*Overig!D576),""",""????0;"",""???-0;"",""????0;"", ////"""),"'","""")&amp;SUBSTITUTE(TEXT(Overig!E576,""",""?00;"",""?-00;"",""?00;"", //"""),"'","""")&amp;SUBSTITUTE(TEXT(IF(ISTEXT(Overig!F576),Overig!F576,10*Overig!F576),""",""????0;"",""???-0;"",""????0;"", ////"""),"'","""")&amp;SUBSTITUTE(TEXT(Overig!G576,""",""?00;"",""?-00;"",""?00;"", //"""),"'","""")</f>
        <v>081, 19400710, 13.45, 7510, 00,  300, 00</v>
      </c>
    </row>
    <row r="577" spans="1:1" x14ac:dyDescent="0.25">
      <c r="A577" s="25" t="str">
        <f ca="1">TEXT(Overig!A577,"000\,")&amp;TEXT(Overig!B577,"?00000000")&amp;TEXT(Overig!C577,""", ""@")&amp;SUBSTITUTE(TEXT(IF(ISTEXT(Overig!D577),Overig!D577,10*Overig!D577),""",""????0;"",""???-0;"",""????0;"", ////"""),"'","""")&amp;SUBSTITUTE(TEXT(Overig!E577,""",""?00;"",""?-00;"",""?00;"", //"""),"'","""")&amp;SUBSTITUTE(TEXT(IF(ISTEXT(Overig!F577),Overig!F577,10*Overig!F577),""",""????0;"",""???-0;"",""????0;"", ////"""),"'","""")&amp;SUBSTITUTE(TEXT(Overig!G577,""",""?00;"",""?-00;"",""?00;"", //"""),"'","""")</f>
        <v>081, 19400710, 19.45, 7510, 00,  290, 00</v>
      </c>
    </row>
    <row r="578" spans="1:1" x14ac:dyDescent="0.25">
      <c r="A578" s="25" t="str">
        <f ca="1">TEXT(Overig!A578,"000\,")&amp;TEXT(Overig!B578,"?00000000")&amp;TEXT(Overig!C578,""", ""@")&amp;SUBSTITUTE(TEXT(IF(ISTEXT(Overig!D578),Overig!D578,10*Overig!D578),""",""????0;"",""???-0;"",""????0;"", ////"""),"'","""")&amp;SUBSTITUTE(TEXT(Overig!E578,""",""?00;"",""?-00;"",""?00;"", //"""),"'","""")&amp;SUBSTITUTE(TEXT(IF(ISTEXT(Overig!F578),Overig!F578,10*Overig!F578),""",""????0;"",""???-0;"",""????0;"", ////"""),"'","""")&amp;SUBSTITUTE(TEXT(Overig!G578,""",""?00;"",""?-00;"",""?00;"", //"""),"'","""")</f>
        <v>081, 19400711, 07.45, 7510, 00,  270, 00</v>
      </c>
    </row>
    <row r="579" spans="1:1" x14ac:dyDescent="0.25">
      <c r="A579" s="25" t="str">
        <f ca="1">TEXT(Overig!A579,"000\,")&amp;TEXT(Overig!B579,"?00000000")&amp;TEXT(Overig!C579,""", ""@")&amp;SUBSTITUTE(TEXT(IF(ISTEXT(Overig!D579),Overig!D579,10*Overig!D579),""",""????0;"",""???-0;"",""????0;"", ////"""),"'","""")&amp;SUBSTITUTE(TEXT(Overig!E579,""",""?00;"",""?-00;"",""?00;"", //"""),"'","""")&amp;SUBSTITUTE(TEXT(IF(ISTEXT(Overig!F579),Overig!F579,10*Overig!F579),""",""????0;"",""???-0;"",""????0;"", ////"""),"'","""")&amp;SUBSTITUTE(TEXT(Overig!G579,""",""?00;"",""?-00;"",""?00;"", //"""),"'","""")</f>
        <v>081, 19400711, 13.45, 7500, 00,  300, 00</v>
      </c>
    </row>
    <row r="580" spans="1:1" x14ac:dyDescent="0.25">
      <c r="A580" s="25" t="str">
        <f ca="1">TEXT(Overig!A580,"000\,")&amp;TEXT(Overig!B580,"?00000000")&amp;TEXT(Overig!C580,""", ""@")&amp;SUBSTITUTE(TEXT(IF(ISTEXT(Overig!D580),Overig!D580,10*Overig!D580),""",""????0;"",""???-0;"",""????0;"", ////"""),"'","""")&amp;SUBSTITUTE(TEXT(Overig!E580,""",""?00;"",""?-00;"",""?00;"", //"""),"'","""")&amp;SUBSTITUTE(TEXT(IF(ISTEXT(Overig!F580),Overig!F580,10*Overig!F580),""",""????0;"",""???-0;"",""????0;"", ////"""),"'","""")&amp;SUBSTITUTE(TEXT(Overig!G580,""",""?00;"",""?-00;"",""?00;"", //"""),"'","""")</f>
        <v>081, 19400711, 19.45, 7500, 00,  290, 00</v>
      </c>
    </row>
    <row r="581" spans="1:1" x14ac:dyDescent="0.25">
      <c r="A581" s="25" t="str">
        <f ca="1">TEXT(Overig!A581,"000\,")&amp;TEXT(Overig!B581,"?00000000")&amp;TEXT(Overig!C581,""", ""@")&amp;SUBSTITUTE(TEXT(IF(ISTEXT(Overig!D581),Overig!D581,10*Overig!D581),""",""????0;"",""???-0;"",""????0;"", ////"""),"'","""")&amp;SUBSTITUTE(TEXT(Overig!E581,""",""?00;"",""?-00;"",""?00;"", //"""),"'","""")&amp;SUBSTITUTE(TEXT(IF(ISTEXT(Overig!F581),Overig!F581,10*Overig!F581),""",""????0;"",""???-0;"",""????0;"", ////"""),"'","""")&amp;SUBSTITUTE(TEXT(Overig!G581,""",""?00;"",""?-00;"",""?00;"", //"""),"'","""")</f>
        <v>081, 19400712, 07.45, 7510, 00,  270, 00</v>
      </c>
    </row>
    <row r="582" spans="1:1" x14ac:dyDescent="0.25">
      <c r="A582" s="25" t="str">
        <f ca="1">TEXT(Overig!A582,"000\,")&amp;TEXT(Overig!B582,"?00000000")&amp;TEXT(Overig!C582,""", ""@")&amp;SUBSTITUTE(TEXT(IF(ISTEXT(Overig!D582),Overig!D582,10*Overig!D582),""",""????0;"",""???-0;"",""????0;"", ////"""),"'","""")&amp;SUBSTITUTE(TEXT(Overig!E582,""",""?00;"",""?-00;"",""?00;"", //"""),"'","""")&amp;SUBSTITUTE(TEXT(IF(ISTEXT(Overig!F582),Overig!F582,10*Overig!F582),""",""????0;"",""???-0;"",""????0;"", ////"""),"'","""")&amp;SUBSTITUTE(TEXT(Overig!G582,""",""?00;"",""?-00;"",""?00;"", //"""),"'","""")</f>
        <v>081, 19400712, 13.45, 7510, 00,  300, 00</v>
      </c>
    </row>
    <row r="583" spans="1:1" x14ac:dyDescent="0.25">
      <c r="A583" s="25" t="str">
        <f ca="1">TEXT(Overig!A583,"000\,")&amp;TEXT(Overig!B583,"?00000000")&amp;TEXT(Overig!C583,""", ""@")&amp;SUBSTITUTE(TEXT(IF(ISTEXT(Overig!D583),Overig!D583,10*Overig!D583),""",""????0;"",""???-0;"",""????0;"", ////"""),"'","""")&amp;SUBSTITUTE(TEXT(Overig!E583,""",""?00;"",""?-00;"",""?00;"", //"""),"'","""")&amp;SUBSTITUTE(TEXT(IF(ISTEXT(Overig!F583),Overig!F583,10*Overig!F583),""",""????0;"",""???-0;"",""????0;"", ////"""),"'","""")&amp;SUBSTITUTE(TEXT(Overig!G583,""",""?00;"",""?-00;"",""?00;"", //"""),"'","""")</f>
        <v>081, 19400712, 19.45, 7520, 00,  290, 00</v>
      </c>
    </row>
    <row r="584" spans="1:1" x14ac:dyDescent="0.25">
      <c r="A584" s="25" t="str">
        <f ca="1">TEXT(Overig!A584,"000\,")&amp;TEXT(Overig!B584,"?00000000")&amp;TEXT(Overig!C584,""", ""@")&amp;SUBSTITUTE(TEXT(IF(ISTEXT(Overig!D584),Overig!D584,10*Overig!D584),""",""????0;"",""???-0;"",""????0;"", ////"""),"'","""")&amp;SUBSTITUTE(TEXT(Overig!E584,""",""?00;"",""?-00;"",""?00;"", //"""),"'","""")&amp;SUBSTITUTE(TEXT(IF(ISTEXT(Overig!F584),Overig!F584,10*Overig!F584),""",""????0;"",""???-0;"",""????0;"", ////"""),"'","""")&amp;SUBSTITUTE(TEXT(Overig!G584,""",""?00;"",""?-00;"",""?00;"", //"""),"'","""")</f>
        <v>081, 19400713, 07.45, 7520, 00,  280, 00</v>
      </c>
    </row>
    <row r="585" spans="1:1" x14ac:dyDescent="0.25">
      <c r="A585" s="25" t="str">
        <f ca="1">TEXT(Overig!A585,"000\,")&amp;TEXT(Overig!B585,"?00000000")&amp;TEXT(Overig!C585,""", ""@")&amp;SUBSTITUTE(TEXT(IF(ISTEXT(Overig!D585),Overig!D585,10*Overig!D585),""",""????0;"",""???-0;"",""????0;"", ////"""),"'","""")&amp;SUBSTITUTE(TEXT(Overig!E585,""",""?00;"",""?-00;"",""?00;"", //"""),"'","""")&amp;SUBSTITUTE(TEXT(IF(ISTEXT(Overig!F585),Overig!F585,10*Overig!F585),""",""????0;"",""???-0;"",""????0;"", ////"""),"'","""")&amp;SUBSTITUTE(TEXT(Overig!G585,""",""?00;"",""?-00;"",""?00;"", //"""),"'","""")</f>
        <v>081, 19400713, 13.45, 7520, 00,  300, 00</v>
      </c>
    </row>
    <row r="586" spans="1:1" x14ac:dyDescent="0.25">
      <c r="A586" s="25" t="str">
        <f ca="1">TEXT(Overig!A586,"000\,")&amp;TEXT(Overig!B586,"?00000000")&amp;TEXT(Overig!C586,""", ""@")&amp;SUBSTITUTE(TEXT(IF(ISTEXT(Overig!D586),Overig!D586,10*Overig!D586),""",""????0;"",""???-0;"",""????0;"", ////"""),"'","""")&amp;SUBSTITUTE(TEXT(Overig!E586,""",""?00;"",""?-00;"",""?00;"", //"""),"'","""")&amp;SUBSTITUTE(TEXT(IF(ISTEXT(Overig!F586),Overig!F586,10*Overig!F586),""",""????0;"",""???-0;"",""????0;"", ////"""),"'","""")&amp;SUBSTITUTE(TEXT(Overig!G586,""",""?00;"",""?-00;"",""?00;"", //"""),"'","""")</f>
        <v>081, 19400713, 19.45, 7520, 00,  290, 00</v>
      </c>
    </row>
    <row r="587" spans="1:1" x14ac:dyDescent="0.25">
      <c r="A587" s="25" t="str">
        <f ca="1">TEXT(Overig!A587,"000\,")&amp;TEXT(Overig!B587,"?00000000")&amp;TEXT(Overig!C587,""", ""@")&amp;SUBSTITUTE(TEXT(IF(ISTEXT(Overig!D587),Overig!D587,10*Overig!D587),""",""????0;"",""???-0;"",""????0;"", ////"""),"'","""")&amp;SUBSTITUTE(TEXT(Overig!E587,""",""?00;"",""?-00;"",""?00;"", //"""),"'","""")&amp;SUBSTITUTE(TEXT(IF(ISTEXT(Overig!F587),Overig!F587,10*Overig!F587),""",""????0;"",""???-0;"",""????0;"", ////"""),"'","""")&amp;SUBSTITUTE(TEXT(Overig!G587,""",""?00;"",""?-00;"",""?00;"", //"""),"'","""")</f>
        <v>081, 19400714, 07.45, 7510, 00,  280, 00</v>
      </c>
    </row>
    <row r="588" spans="1:1" x14ac:dyDescent="0.25">
      <c r="A588" s="25" t="str">
        <f ca="1">TEXT(Overig!A588,"000\,")&amp;TEXT(Overig!B588,"?00000000")&amp;TEXT(Overig!C588,""", ""@")&amp;SUBSTITUTE(TEXT(IF(ISTEXT(Overig!D588),Overig!D588,10*Overig!D588),""",""????0;"",""???-0;"",""????0;"", ////"""),"'","""")&amp;SUBSTITUTE(TEXT(Overig!E588,""",""?00;"",""?-00;"",""?00;"", //"""),"'","""")&amp;SUBSTITUTE(TEXT(IF(ISTEXT(Overig!F588),Overig!F588,10*Overig!F588),""",""????0;"",""???-0;"",""????0;"", ////"""),"'","""")&amp;SUBSTITUTE(TEXT(Overig!G588,""",""?00;"",""?-00;"",""?00;"", //"""),"'","""")</f>
        <v>081, 19400714, 13.45, 7500, 00,  300, 00</v>
      </c>
    </row>
    <row r="589" spans="1:1" x14ac:dyDescent="0.25">
      <c r="A589" s="25" t="str">
        <f ca="1">TEXT(Overig!A589,"000\,")&amp;TEXT(Overig!B589,"?00000000")&amp;TEXT(Overig!C589,""", ""@")&amp;SUBSTITUTE(TEXT(IF(ISTEXT(Overig!D589),Overig!D589,10*Overig!D589),""",""????0;"",""???-0;"",""????0;"", ////"""),"'","""")&amp;SUBSTITUTE(TEXT(Overig!E589,""",""?00;"",""?-00;"",""?00;"", //"""),"'","""")&amp;SUBSTITUTE(TEXT(IF(ISTEXT(Overig!F589),Overig!F589,10*Overig!F589),""",""????0;"",""???-0;"",""????0;"", ////"""),"'","""")&amp;SUBSTITUTE(TEXT(Overig!G589,""",""?00;"",""?-00;"",""?00;"", //"""),"'","""")</f>
        <v>081, 19400714, 19.45, 7500, 00,  290, 00</v>
      </c>
    </row>
    <row r="590" spans="1:1" x14ac:dyDescent="0.25">
      <c r="A590" s="25" t="str">
        <f ca="1">TEXT(Overig!A590,"000\,")&amp;TEXT(Overig!B590,"?00000000")&amp;TEXT(Overig!C590,""", ""@")&amp;SUBSTITUTE(TEXT(IF(ISTEXT(Overig!D590),Overig!D590,10*Overig!D590),""",""????0;"",""???-0;"",""????0;"", ////"""),"'","""")&amp;SUBSTITUTE(TEXT(Overig!E590,""",""?00;"",""?-00;"",""?00;"", //"""),"'","""")&amp;SUBSTITUTE(TEXT(IF(ISTEXT(Overig!F590),Overig!F590,10*Overig!F590),""",""????0;"",""???-0;"",""????0;"", ////"""),"'","""")&amp;SUBSTITUTE(TEXT(Overig!G590,""",""?00;"",""?-00;"",""?00;"", //"""),"'","""")</f>
        <v>081, 19400715, 07.45, 7490, 00,  270, 00</v>
      </c>
    </row>
    <row r="591" spans="1:1" x14ac:dyDescent="0.25">
      <c r="A591" s="25" t="str">
        <f ca="1">TEXT(Overig!A591,"000\,")&amp;TEXT(Overig!B591,"?00000000")&amp;TEXT(Overig!C591,""", ""@")&amp;SUBSTITUTE(TEXT(IF(ISTEXT(Overig!D591),Overig!D591,10*Overig!D591),""",""????0;"",""???-0;"",""????0;"", ////"""),"'","""")&amp;SUBSTITUTE(TEXT(Overig!E591,""",""?00;"",""?-00;"",""?00;"", //"""),"'","""")&amp;SUBSTITUTE(TEXT(IF(ISTEXT(Overig!F591),Overig!F591,10*Overig!F591),""",""????0;"",""???-0;"",""????0;"", ////"""),"'","""")&amp;SUBSTITUTE(TEXT(Overig!G591,""",""?00;"",""?-00;"",""?00;"", //"""),"'","""")</f>
        <v>081, 19400715, 13.45, 7500, 00,  290, 00</v>
      </c>
    </row>
    <row r="592" spans="1:1" x14ac:dyDescent="0.25">
      <c r="A592" s="25" t="str">
        <f ca="1">TEXT(Overig!A592,"000\,")&amp;TEXT(Overig!B592,"?00000000")&amp;TEXT(Overig!C592,""", ""@")&amp;SUBSTITUTE(TEXT(IF(ISTEXT(Overig!D592),Overig!D592,10*Overig!D592),""",""????0;"",""???-0;"",""????0;"", ////"""),"'","""")&amp;SUBSTITUTE(TEXT(Overig!E592,""",""?00;"",""?-00;"",""?00;"", //"""),"'","""")&amp;SUBSTITUTE(TEXT(IF(ISTEXT(Overig!F592),Overig!F592,10*Overig!F592),""",""????0;"",""???-0;"",""????0;"", ////"""),"'","""")&amp;SUBSTITUTE(TEXT(Overig!G592,""",""?00;"",""?-00;"",""?00;"", //"""),"'","""")</f>
        <v>081, 19400715, 19.45, 7500, 00,  280, 00</v>
      </c>
    </row>
    <row r="593" spans="1:1" x14ac:dyDescent="0.25">
      <c r="A593" s="25" t="str">
        <f ca="1">TEXT(Overig!A593,"000\,")&amp;TEXT(Overig!B593,"?00000000")&amp;TEXT(Overig!C593,""", ""@")&amp;SUBSTITUTE(TEXT(IF(ISTEXT(Overig!D593),Overig!D593,10*Overig!D593),""",""????0;"",""???-0;"",""????0;"", ////"""),"'","""")&amp;SUBSTITUTE(TEXT(Overig!E593,""",""?00;"",""?-00;"",""?00;"", //"""),"'","""")&amp;SUBSTITUTE(TEXT(IF(ISTEXT(Overig!F593),Overig!F593,10*Overig!F593),""",""????0;"",""???-0;"",""????0;"", ////"""),"'","""")&amp;SUBSTITUTE(TEXT(Overig!G593,""",""?00;"",""?-00;"",""?00;"", //"""),"'","""")</f>
        <v>081, 19400716, 07.45, 7500, 00,  270, 00</v>
      </c>
    </row>
    <row r="594" spans="1:1" x14ac:dyDescent="0.25">
      <c r="A594" s="25" t="str">
        <f ca="1">TEXT(Overig!A594,"000\,")&amp;TEXT(Overig!B594,"?00000000")&amp;TEXT(Overig!C594,""", ""@")&amp;SUBSTITUTE(TEXT(IF(ISTEXT(Overig!D594),Overig!D594,10*Overig!D594),""",""????0;"",""???-0;"",""????0;"", ////"""),"'","""")&amp;SUBSTITUTE(TEXT(Overig!E594,""",""?00;"",""?-00;"",""?00;"", //"""),"'","""")&amp;SUBSTITUTE(TEXT(IF(ISTEXT(Overig!F594),Overig!F594,10*Overig!F594),""",""????0;"",""???-0;"",""????0;"", ////"""),"'","""")&amp;SUBSTITUTE(TEXT(Overig!G594,""",""?00;"",""?-00;"",""?00;"", //"""),"'","""")</f>
        <v>081, 19400716, 13.45, 7500, 00,  300, 00</v>
      </c>
    </row>
    <row r="595" spans="1:1" x14ac:dyDescent="0.25">
      <c r="A595" s="25" t="str">
        <f ca="1">TEXT(Overig!A595,"000\,")&amp;TEXT(Overig!B595,"?00000000")&amp;TEXT(Overig!C595,""", ""@")&amp;SUBSTITUTE(TEXT(IF(ISTEXT(Overig!D595),Overig!D595,10*Overig!D595),""",""????0;"",""???-0;"",""????0;"", ////"""),"'","""")&amp;SUBSTITUTE(TEXT(Overig!E595,""",""?00;"",""?-00;"",""?00;"", //"""),"'","""")&amp;SUBSTITUTE(TEXT(IF(ISTEXT(Overig!F595),Overig!F595,10*Overig!F595),""",""????0;"",""???-0;"",""????0;"", ////"""),"'","""")&amp;SUBSTITUTE(TEXT(Overig!G595,""",""?00;"",""?-00;"",""?00;"", //"""),"'","""")</f>
        <v>081, 19400716, 19.45, 7500, 00,  290, 00</v>
      </c>
    </row>
    <row r="596" spans="1:1" x14ac:dyDescent="0.25">
      <c r="A596" s="25" t="str">
        <f ca="1">TEXT(Overig!A596,"000\,")&amp;TEXT(Overig!B596,"?00000000")&amp;TEXT(Overig!C596,""", ""@")&amp;SUBSTITUTE(TEXT(IF(ISTEXT(Overig!D596),Overig!D596,10*Overig!D596),""",""????0;"",""???-0;"",""????0;"", ////"""),"'","""")&amp;SUBSTITUTE(TEXT(Overig!E596,""",""?00;"",""?-00;"",""?00;"", //"""),"'","""")&amp;SUBSTITUTE(TEXT(IF(ISTEXT(Overig!F596),Overig!F596,10*Overig!F596),""",""????0;"",""???-0;"",""????0;"", ////"""),"'","""")&amp;SUBSTITUTE(TEXT(Overig!G596,""",""?00;"",""?-00;"",""?00;"", //"""),"'","""")</f>
        <v>081, 19400717, 07.45, 7500, 00,  270, 00</v>
      </c>
    </row>
    <row r="597" spans="1:1" x14ac:dyDescent="0.25">
      <c r="A597" s="25" t="str">
        <f ca="1">TEXT(Overig!A597,"000\,")&amp;TEXT(Overig!B597,"?00000000")&amp;TEXT(Overig!C597,""", ""@")&amp;SUBSTITUTE(TEXT(IF(ISTEXT(Overig!D597),Overig!D597,10*Overig!D597),""",""????0;"",""???-0;"",""????0;"", ////"""),"'","""")&amp;SUBSTITUTE(TEXT(Overig!E597,""",""?00;"",""?-00;"",""?00;"", //"""),"'","""")&amp;SUBSTITUTE(TEXT(IF(ISTEXT(Overig!F597),Overig!F597,10*Overig!F597),""",""????0;"",""???-0;"",""????0;"", ////"""),"'","""")&amp;SUBSTITUTE(TEXT(Overig!G597,""",""?00;"",""?-00;"",""?00;"", //"""),"'","""")</f>
        <v>081, 19400717, 13.45, 7500, 00,  290, 00</v>
      </c>
    </row>
    <row r="598" spans="1:1" x14ac:dyDescent="0.25">
      <c r="A598" s="25" t="str">
        <f ca="1">TEXT(Overig!A598,"000\,")&amp;TEXT(Overig!B598,"?00000000")&amp;TEXT(Overig!C598,""", ""@")&amp;SUBSTITUTE(TEXT(IF(ISTEXT(Overig!D598),Overig!D598,10*Overig!D598),""",""????0;"",""???-0;"",""????0;"", ////"""),"'","""")&amp;SUBSTITUTE(TEXT(Overig!E598,""",""?00;"",""?-00;"",""?00;"", //"""),"'","""")&amp;SUBSTITUTE(TEXT(IF(ISTEXT(Overig!F598),Overig!F598,10*Overig!F598),""",""????0;"",""???-0;"",""????0;"", ////"""),"'","""")&amp;SUBSTITUTE(TEXT(Overig!G598,""",""?00;"",""?-00;"",""?00;"", //"""),"'","""")</f>
        <v>081, 19400717, 19.45, 7510, 00,  280, 00</v>
      </c>
    </row>
    <row r="599" spans="1:1" x14ac:dyDescent="0.25">
      <c r="A599" s="25" t="str">
        <f ca="1">TEXT(Overig!A599,"000\,")&amp;TEXT(Overig!B599,"?00000000")&amp;TEXT(Overig!C599,""", ""@")&amp;SUBSTITUTE(TEXT(IF(ISTEXT(Overig!D599),Overig!D599,10*Overig!D599),""",""????0;"",""???-0;"",""????0;"", ////"""),"'","""")&amp;SUBSTITUTE(TEXT(Overig!E599,""",""?00;"",""?-00;"",""?00;"", //"""),"'","""")&amp;SUBSTITUTE(TEXT(IF(ISTEXT(Overig!F599),Overig!F599,10*Overig!F599),""",""????0;"",""???-0;"",""????0;"", ////"""),"'","""")&amp;SUBSTITUTE(TEXT(Overig!G599,""",""?00;"",""?-00;"",""?00;"", //"""),"'","""")</f>
        <v>081, 19400718, 07.45, 7510, 00,  280, 00</v>
      </c>
    </row>
    <row r="600" spans="1:1" x14ac:dyDescent="0.25">
      <c r="A600" s="25" t="str">
        <f ca="1">TEXT(Overig!A600,"000\,")&amp;TEXT(Overig!B600,"?00000000")&amp;TEXT(Overig!C600,""", ""@")&amp;SUBSTITUTE(TEXT(IF(ISTEXT(Overig!D600),Overig!D600,10*Overig!D600),""",""????0;"",""???-0;"",""????0;"", ////"""),"'","""")&amp;SUBSTITUTE(TEXT(Overig!E600,""",""?00;"",""?-00;"",""?00;"", //"""),"'","""")&amp;SUBSTITUTE(TEXT(IF(ISTEXT(Overig!F600),Overig!F600,10*Overig!F600),""",""????0;"",""???-0;"",""????0;"", ////"""),"'","""")&amp;SUBSTITUTE(TEXT(Overig!G600,""",""?00;"",""?-00;"",""?00;"", //"""),"'","""")</f>
        <v>081, 19400718, 13.45, 7500, 00,  300, 00</v>
      </c>
    </row>
    <row r="601" spans="1:1" x14ac:dyDescent="0.25">
      <c r="A601" s="25" t="str">
        <f ca="1">TEXT(Overig!A601,"000\,")&amp;TEXT(Overig!B601,"?00000000")&amp;TEXT(Overig!C601,""", ""@")&amp;SUBSTITUTE(TEXT(IF(ISTEXT(Overig!D601),Overig!D601,10*Overig!D601),""",""????0;"",""???-0;"",""????0;"", ////"""),"'","""")&amp;SUBSTITUTE(TEXT(Overig!E601,""",""?00;"",""?-00;"",""?00;"", //"""),"'","""")&amp;SUBSTITUTE(TEXT(IF(ISTEXT(Overig!F601),Overig!F601,10*Overig!F601),""",""????0;"",""???-0;"",""????0;"", ////"""),"'","""")&amp;SUBSTITUTE(TEXT(Overig!G601,""",""?00;"",""?-00;"",""?00;"", //"""),"'","""")</f>
        <v>081, 19400718, 19.45, 7500, 00,  290, 00</v>
      </c>
    </row>
    <row r="602" spans="1:1" x14ac:dyDescent="0.25">
      <c r="A602" s="25" t="str">
        <f ca="1">TEXT(Overig!A602,"000\,")&amp;TEXT(Overig!B602,"?00000000")&amp;TEXT(Overig!C602,""", ""@")&amp;SUBSTITUTE(TEXT(IF(ISTEXT(Overig!D602),Overig!D602,10*Overig!D602),""",""????0;"",""???-0;"",""????0;"", ////"""),"'","""")&amp;SUBSTITUTE(TEXT(Overig!E602,""",""?00;"",""?-00;"",""?00;"", //"""),"'","""")&amp;SUBSTITUTE(TEXT(IF(ISTEXT(Overig!F602),Overig!F602,10*Overig!F602),""",""????0;"",""???-0;"",""????0;"", ////"""),"'","""")&amp;SUBSTITUTE(TEXT(Overig!G602,""",""?00;"",""?-00;"",""?00;"", //"""),"'","""")</f>
        <v>081, 19400719, 07.45, 7500, 00,  270, 00</v>
      </c>
    </row>
    <row r="603" spans="1:1" x14ac:dyDescent="0.25">
      <c r="A603" s="25" t="str">
        <f ca="1">TEXT(Overig!A603,"000\,")&amp;TEXT(Overig!B603,"?00000000")&amp;TEXT(Overig!C603,""", ""@")&amp;SUBSTITUTE(TEXT(IF(ISTEXT(Overig!D603),Overig!D603,10*Overig!D603),""",""????0;"",""???-0;"",""????0;"", ////"""),"'","""")&amp;SUBSTITUTE(TEXT(Overig!E603,""",""?00;"",""?-00;"",""?00;"", //"""),"'","""")&amp;SUBSTITUTE(TEXT(IF(ISTEXT(Overig!F603),Overig!F603,10*Overig!F603),""",""????0;"",""???-0;"",""????0;"", ////"""),"'","""")&amp;SUBSTITUTE(TEXT(Overig!G603,""",""?00;"",""?-00;"",""?00;"", //"""),"'","""")</f>
        <v>081, 19400719, 13.45, 7500, 00,  290, 00</v>
      </c>
    </row>
    <row r="604" spans="1:1" x14ac:dyDescent="0.25">
      <c r="A604" s="25" t="str">
        <f ca="1">TEXT(Overig!A604,"000\,")&amp;TEXT(Overig!B604,"?00000000")&amp;TEXT(Overig!C604,""", ""@")&amp;SUBSTITUTE(TEXT(IF(ISTEXT(Overig!D604),Overig!D604,10*Overig!D604),""",""????0;"",""???-0;"",""????0;"", ////"""),"'","""")&amp;SUBSTITUTE(TEXT(Overig!E604,""",""?00;"",""?-00;"",""?00;"", //"""),"'","""")&amp;SUBSTITUTE(TEXT(IF(ISTEXT(Overig!F604),Overig!F604,10*Overig!F604),""",""????0;"",""???-0;"",""????0;"", ////"""),"'","""")&amp;SUBSTITUTE(TEXT(Overig!G604,""",""?00;"",""?-00;"",""?00;"", //"""),"'","""")</f>
        <v>081, 19400719, 19.45, 7490, 00,  280, 00</v>
      </c>
    </row>
    <row r="605" spans="1:1" x14ac:dyDescent="0.25">
      <c r="A605" s="25" t="str">
        <f ca="1">TEXT(Overig!A605,"000\,")&amp;TEXT(Overig!B605,"?00000000")&amp;TEXT(Overig!C605,""", ""@")&amp;SUBSTITUTE(TEXT(IF(ISTEXT(Overig!D605),Overig!D605,10*Overig!D605),""",""????0;"",""???-0;"",""????0;"", ////"""),"'","""")&amp;SUBSTITUTE(TEXT(Overig!E605,""",""?00;"",""?-00;"",""?00;"", //"""),"'","""")&amp;SUBSTITUTE(TEXT(IF(ISTEXT(Overig!F605),Overig!F605,10*Overig!F605),""",""????0;"",""???-0;"",""????0;"", ////"""),"'","""")&amp;SUBSTITUTE(TEXT(Overig!G605,""",""?00;"",""?-00;"",""?00;"", //"""),"'","""")</f>
        <v>081, 19400720, 07.45, 7490, 00,  270, 00</v>
      </c>
    </row>
    <row r="606" spans="1:1" x14ac:dyDescent="0.25">
      <c r="A606" s="25" t="str">
        <f ca="1">TEXT(Overig!A606,"000\,")&amp;TEXT(Overig!B606,"?00000000")&amp;TEXT(Overig!C606,""", ""@")&amp;SUBSTITUTE(TEXT(IF(ISTEXT(Overig!D606),Overig!D606,10*Overig!D606),""",""????0;"",""???-0;"",""????0;"", ////"""),"'","""")&amp;SUBSTITUTE(TEXT(Overig!E606,""",""?00;"",""?-00;"",""?00;"", //"""),"'","""")&amp;SUBSTITUTE(TEXT(IF(ISTEXT(Overig!F606),Overig!F606,10*Overig!F606),""",""????0;"",""???-0;"",""????0;"", ////"""),"'","""")&amp;SUBSTITUTE(TEXT(Overig!G606,""",""?00;"",""?-00;"",""?00;"", //"""),"'","""")</f>
        <v>081, 19400720, 13.45, 7490, 00,  290, 00</v>
      </c>
    </row>
    <row r="607" spans="1:1" x14ac:dyDescent="0.25">
      <c r="A607" s="25" t="str">
        <f ca="1">TEXT(Overig!A607,"000\,")&amp;TEXT(Overig!B607,"?00000000")&amp;TEXT(Overig!C607,""", ""@")&amp;SUBSTITUTE(TEXT(IF(ISTEXT(Overig!D607),Overig!D607,10*Overig!D607),""",""????0;"",""???-0;"",""????0;"", ////"""),"'","""")&amp;SUBSTITUTE(TEXT(Overig!E607,""",""?00;"",""?-00;"",""?00;"", //"""),"'","""")&amp;SUBSTITUTE(TEXT(IF(ISTEXT(Overig!F607),Overig!F607,10*Overig!F607),""",""????0;"",""???-0;"",""????0;"", ////"""),"'","""")&amp;SUBSTITUTE(TEXT(Overig!G607,""",""?00;"",""?-00;"",""?00;"", //"""),"'","""")</f>
        <v>081, 19400720, 19.45, 7500, 00,  280, 00</v>
      </c>
    </row>
    <row r="608" spans="1:1" x14ac:dyDescent="0.25">
      <c r="A608" s="25" t="str">
        <f ca="1">TEXT(Overig!A608,"000\,")&amp;TEXT(Overig!B608,"?00000000")&amp;TEXT(Overig!C608,""", ""@")&amp;SUBSTITUTE(TEXT(IF(ISTEXT(Overig!D608),Overig!D608,10*Overig!D608),""",""????0;"",""???-0;"",""????0;"", ////"""),"'","""")&amp;SUBSTITUTE(TEXT(Overig!E608,""",""?00;"",""?-00;"",""?00;"", //"""),"'","""")&amp;SUBSTITUTE(TEXT(IF(ISTEXT(Overig!F608),Overig!F608,10*Overig!F608),""",""????0;"",""???-0;"",""????0;"", ////"""),"'","""")&amp;SUBSTITUTE(TEXT(Overig!G608,""",""?00;"",""?-00;"",""?00;"", //"""),"'","""")</f>
        <v>081, 19400721, 07.45, 7500, 00,  270, 00</v>
      </c>
    </row>
    <row r="609" spans="1:1" x14ac:dyDescent="0.25">
      <c r="A609" s="25" t="str">
        <f ca="1">TEXT(Overig!A609,"000\,")&amp;TEXT(Overig!B609,"?00000000")&amp;TEXT(Overig!C609,""", ""@")&amp;SUBSTITUTE(TEXT(IF(ISTEXT(Overig!D609),Overig!D609,10*Overig!D609),""",""????0;"",""???-0;"",""????0;"", ////"""),"'","""")&amp;SUBSTITUTE(TEXT(Overig!E609,""",""?00;"",""?-00;"",""?00;"", //"""),"'","""")&amp;SUBSTITUTE(TEXT(IF(ISTEXT(Overig!F609),Overig!F609,10*Overig!F609),""",""????0;"",""???-0;"",""????0;"", ////"""),"'","""")&amp;SUBSTITUTE(TEXT(Overig!G609,""",""?00;"",""?-00;"",""?00;"", //"""),"'","""")</f>
        <v>081, 19400721, 13.45, 7500, 00,  290, 00</v>
      </c>
    </row>
    <row r="610" spans="1:1" x14ac:dyDescent="0.25">
      <c r="A610" s="25" t="str">
        <f ca="1">TEXT(Overig!A610,"000\,")&amp;TEXT(Overig!B610,"?00000000")&amp;TEXT(Overig!C610,""", ""@")&amp;SUBSTITUTE(TEXT(IF(ISTEXT(Overig!D610),Overig!D610,10*Overig!D610),""",""????0;"",""???-0;"",""????0;"", ////"""),"'","""")&amp;SUBSTITUTE(TEXT(Overig!E610,""",""?00;"",""?-00;"",""?00;"", //"""),"'","""")&amp;SUBSTITUTE(TEXT(IF(ISTEXT(Overig!F610),Overig!F610,10*Overig!F610),""",""????0;"",""???-0;"",""????0;"", ////"""),"'","""")&amp;SUBSTITUTE(TEXT(Overig!G610,""",""?00;"",""?-00;"",""?00;"", //"""),"'","""")</f>
        <v>081, 19400721, 19.45, 7500, 00,  280, 00</v>
      </c>
    </row>
    <row r="611" spans="1:1" x14ac:dyDescent="0.25">
      <c r="A611" s="25" t="str">
        <f ca="1">TEXT(Overig!A611,"000\,")&amp;TEXT(Overig!B611,"?00000000")&amp;TEXT(Overig!C611,""", ""@")&amp;SUBSTITUTE(TEXT(IF(ISTEXT(Overig!D611),Overig!D611,10*Overig!D611),""",""????0;"",""???-0;"",""????0;"", ////"""),"'","""")&amp;SUBSTITUTE(TEXT(Overig!E611,""",""?00;"",""?-00;"",""?00;"", //"""),"'","""")&amp;SUBSTITUTE(TEXT(IF(ISTEXT(Overig!F611),Overig!F611,10*Overig!F611),""",""????0;"",""???-0;"",""????0;"", ////"""),"'","""")&amp;SUBSTITUTE(TEXT(Overig!G611,""",""?00;"",""?-00;"",""?00;"", //"""),"'","""")</f>
        <v>081, 19400722, 07.45, 7500, 00,  280, 00</v>
      </c>
    </row>
    <row r="612" spans="1:1" x14ac:dyDescent="0.25">
      <c r="A612" s="25" t="str">
        <f ca="1">TEXT(Overig!A612,"000\,")&amp;TEXT(Overig!B612,"?00000000")&amp;TEXT(Overig!C612,""", ""@")&amp;SUBSTITUTE(TEXT(IF(ISTEXT(Overig!D612),Overig!D612,10*Overig!D612),""",""????0;"",""???-0;"",""????0;"", ////"""),"'","""")&amp;SUBSTITUTE(TEXT(Overig!E612,""",""?00;"",""?-00;"",""?00;"", //"""),"'","""")&amp;SUBSTITUTE(TEXT(IF(ISTEXT(Overig!F612),Overig!F612,10*Overig!F612),""",""????0;"",""???-0;"",""????0;"", ////"""),"'","""")&amp;SUBSTITUTE(TEXT(Overig!G612,""",""?00;"",""?-00;"",""?00;"", //"""),"'","""")</f>
        <v>081, 19400722, 13.45, 7500, 00,  290, 00</v>
      </c>
    </row>
    <row r="613" spans="1:1" x14ac:dyDescent="0.25">
      <c r="A613" s="25" t="str">
        <f ca="1">TEXT(Overig!A613,"000\,")&amp;TEXT(Overig!B613,"?00000000")&amp;TEXT(Overig!C613,""", ""@")&amp;SUBSTITUTE(TEXT(IF(ISTEXT(Overig!D613),Overig!D613,10*Overig!D613),""",""????0;"",""???-0;"",""????0;"", ////"""),"'","""")&amp;SUBSTITUTE(TEXT(Overig!E613,""",""?00;"",""?-00;"",""?00;"", //"""),"'","""")&amp;SUBSTITUTE(TEXT(IF(ISTEXT(Overig!F613),Overig!F613,10*Overig!F613),""",""????0;"",""???-0;"",""????0;"", ////"""),"'","""")&amp;SUBSTITUTE(TEXT(Overig!G613,""",""?00;"",""?-00;"",""?00;"", //"""),"'","""")</f>
        <v>081, 19400722, 19.45, 7500, 00,  280, 00</v>
      </c>
    </row>
    <row r="614" spans="1:1" x14ac:dyDescent="0.25">
      <c r="A614" s="25" t="str">
        <f ca="1">TEXT(Overig!A614,"000\,")&amp;TEXT(Overig!B614,"?00000000")&amp;TEXT(Overig!C614,""", ""@")&amp;SUBSTITUTE(TEXT(IF(ISTEXT(Overig!D614),Overig!D614,10*Overig!D614),""",""????0;"",""???-0;"",""????0;"", ////"""),"'","""")&amp;SUBSTITUTE(TEXT(Overig!E614,""",""?00;"",""?-00;"",""?00;"", //"""),"'","""")&amp;SUBSTITUTE(TEXT(IF(ISTEXT(Overig!F614),Overig!F614,10*Overig!F614),""",""????0;"",""???-0;"",""????0;"", ////"""),"'","""")&amp;SUBSTITUTE(TEXT(Overig!G614,""",""?00;"",""?-00;"",""?00;"", //"""),"'","""")</f>
        <v>081, 19400723, 07.45, 7500, 00,  270, 00</v>
      </c>
    </row>
    <row r="615" spans="1:1" x14ac:dyDescent="0.25">
      <c r="A615" s="25" t="str">
        <f ca="1">TEXT(Overig!A615,"000\,")&amp;TEXT(Overig!B615,"?00000000")&amp;TEXT(Overig!C615,""", ""@")&amp;SUBSTITUTE(TEXT(IF(ISTEXT(Overig!D615),Overig!D615,10*Overig!D615),""",""????0;"",""???-0;"",""????0;"", ////"""),"'","""")&amp;SUBSTITUTE(TEXT(Overig!E615,""",""?00;"",""?-00;"",""?00;"", //"""),"'","""")&amp;SUBSTITUTE(TEXT(IF(ISTEXT(Overig!F615),Overig!F615,10*Overig!F615),""",""????0;"",""???-0;"",""????0;"", ////"""),"'","""")&amp;SUBSTITUTE(TEXT(Overig!G615,""",""?00;"",""?-00;"",""?00;"", //"""),"'","""")</f>
        <v>081, 19400723, 13.45, 7500, 00,  290, 00</v>
      </c>
    </row>
    <row r="616" spans="1:1" x14ac:dyDescent="0.25">
      <c r="A616" s="25" t="str">
        <f ca="1">TEXT(Overig!A616,"000\,")&amp;TEXT(Overig!B616,"?00000000")&amp;TEXT(Overig!C616,""", ""@")&amp;SUBSTITUTE(TEXT(IF(ISTEXT(Overig!D616),Overig!D616,10*Overig!D616),""",""????0;"",""???-0;"",""????0;"", ////"""),"'","""")&amp;SUBSTITUTE(TEXT(Overig!E616,""",""?00;"",""?-00;"",""?00;"", //"""),"'","""")&amp;SUBSTITUTE(TEXT(IF(ISTEXT(Overig!F616),Overig!F616,10*Overig!F616),""",""????0;"",""???-0;"",""????0;"", ////"""),"'","""")&amp;SUBSTITUTE(TEXT(Overig!G616,""",""?00;"",""?-00;"",""?00;"", //"""),"'","""")</f>
        <v>081, 19400723, 19.45, 7500, 00,  280, 00</v>
      </c>
    </row>
    <row r="617" spans="1:1" x14ac:dyDescent="0.25">
      <c r="A617" s="25" t="str">
        <f ca="1">TEXT(Overig!A617,"000\,")&amp;TEXT(Overig!B617,"?00000000")&amp;TEXT(Overig!C617,""", ""@")&amp;SUBSTITUTE(TEXT(IF(ISTEXT(Overig!D617),Overig!D617,10*Overig!D617),""",""????0;"",""???-0;"",""????0;"", ////"""),"'","""")&amp;SUBSTITUTE(TEXT(Overig!E617,""",""?00;"",""?-00;"",""?00;"", //"""),"'","""")&amp;SUBSTITUTE(TEXT(IF(ISTEXT(Overig!F617),Overig!F617,10*Overig!F617),""",""????0;"",""???-0;"",""????0;"", ////"""),"'","""")&amp;SUBSTITUTE(TEXT(Overig!G617,""",""?00;"",""?-00;"",""?00;"", //"""),"'","""")</f>
        <v>081, 19400724, 07.45, 7500, 00,  270, 00</v>
      </c>
    </row>
    <row r="618" spans="1:1" x14ac:dyDescent="0.25">
      <c r="A618" s="25" t="str">
        <f ca="1">TEXT(Overig!A618,"000\,")&amp;TEXT(Overig!B618,"?00000000")&amp;TEXT(Overig!C618,""", ""@")&amp;SUBSTITUTE(TEXT(IF(ISTEXT(Overig!D618),Overig!D618,10*Overig!D618),""",""????0;"",""???-0;"",""????0;"", ////"""),"'","""")&amp;SUBSTITUTE(TEXT(Overig!E618,""",""?00;"",""?-00;"",""?00;"", //"""),"'","""")&amp;SUBSTITUTE(TEXT(IF(ISTEXT(Overig!F618),Overig!F618,10*Overig!F618),""",""????0;"",""???-0;"",""????0;"", ////"""),"'","""")&amp;SUBSTITUTE(TEXT(Overig!G618,""",""?00;"",""?-00;"",""?00;"", //"""),"'","""")</f>
        <v>081, 19400724, 13.45, 7500, 00,  290, 00</v>
      </c>
    </row>
    <row r="619" spans="1:1" x14ac:dyDescent="0.25">
      <c r="A619" s="25" t="str">
        <f ca="1">TEXT(Overig!A619,"000\,")&amp;TEXT(Overig!B619,"?00000000")&amp;TEXT(Overig!C619,""", ""@")&amp;SUBSTITUTE(TEXT(IF(ISTEXT(Overig!D619),Overig!D619,10*Overig!D619),""",""????0;"",""???-0;"",""????0;"", ////"""),"'","""")&amp;SUBSTITUTE(TEXT(Overig!E619,""",""?00;"",""?-00;"",""?00;"", //"""),"'","""")&amp;SUBSTITUTE(TEXT(IF(ISTEXT(Overig!F619),Overig!F619,10*Overig!F619),""",""????0;"",""???-0;"",""????0;"", ////"""),"'","""")&amp;SUBSTITUTE(TEXT(Overig!G619,""",""?00;"",""?-00;"",""?00;"", //"""),"'","""")</f>
        <v>081, 19400724, 19.45, 7500, 00,  280, 00</v>
      </c>
    </row>
    <row r="620" spans="1:1" x14ac:dyDescent="0.25">
      <c r="A620" s="25" t="str">
        <f ca="1">TEXT(Overig!A620,"000\,")&amp;TEXT(Overig!B620,"?00000000")&amp;TEXT(Overig!C620,""", ""@")&amp;SUBSTITUTE(TEXT(IF(ISTEXT(Overig!D620),Overig!D620,10*Overig!D620),""",""????0;"",""???-0;"",""????0;"", ////"""),"'","""")&amp;SUBSTITUTE(TEXT(Overig!E620,""",""?00;"",""?-00;"",""?00;"", //"""),"'","""")&amp;SUBSTITUTE(TEXT(IF(ISTEXT(Overig!F620),Overig!F620,10*Overig!F620),""",""????0;"",""???-0;"",""????0;"", ////"""),"'","""")&amp;SUBSTITUTE(TEXT(Overig!G620,""",""?00;"",""?-00;"",""?00;"", //"""),"'","""")</f>
        <v>081, 19400725, 07.45, 7500, 00,  270, 00</v>
      </c>
    </row>
    <row r="621" spans="1:1" x14ac:dyDescent="0.25">
      <c r="A621" s="25" t="str">
        <f ca="1">TEXT(Overig!A621,"000\,")&amp;TEXT(Overig!B621,"?00000000")&amp;TEXT(Overig!C621,""", ""@")&amp;SUBSTITUTE(TEXT(IF(ISTEXT(Overig!D621),Overig!D621,10*Overig!D621),""",""????0;"",""???-0;"",""????0;"", ////"""),"'","""")&amp;SUBSTITUTE(TEXT(Overig!E621,""",""?00;"",""?-00;"",""?00;"", //"""),"'","""")&amp;SUBSTITUTE(TEXT(IF(ISTEXT(Overig!F621),Overig!F621,10*Overig!F621),""",""????0;"",""???-0;"",""????0;"", ////"""),"'","""")&amp;SUBSTITUTE(TEXT(Overig!G621,""",""?00;"",""?-00;"",""?00;"", //"""),"'","""")</f>
        <v>081, 19400725, 13.45, 7500, 00,  290, 00</v>
      </c>
    </row>
    <row r="622" spans="1:1" x14ac:dyDescent="0.25">
      <c r="A622" s="25" t="str">
        <f ca="1">TEXT(Overig!A622,"000\,")&amp;TEXT(Overig!B622,"?00000000")&amp;TEXT(Overig!C622,""", ""@")&amp;SUBSTITUTE(TEXT(IF(ISTEXT(Overig!D622),Overig!D622,10*Overig!D622),""",""????0;"",""???-0;"",""????0;"", ////"""),"'","""")&amp;SUBSTITUTE(TEXT(Overig!E622,""",""?00;"",""?-00;"",""?00;"", //"""),"'","""")&amp;SUBSTITUTE(TEXT(IF(ISTEXT(Overig!F622),Overig!F622,10*Overig!F622),""",""????0;"",""???-0;"",""????0;"", ////"""),"'","""")&amp;SUBSTITUTE(TEXT(Overig!G622,""",""?00;"",""?-00;"",""?00;"", //"""),"'","""")</f>
        <v>081, 19400725, 19.45, 7500, 00,  280, 00</v>
      </c>
    </row>
    <row r="623" spans="1:1" x14ac:dyDescent="0.25">
      <c r="A623" s="25" t="str">
        <f ca="1">TEXT(Overig!A623,"000\,")&amp;TEXT(Overig!B623,"?00000000")&amp;TEXT(Overig!C623,""", ""@")&amp;SUBSTITUTE(TEXT(IF(ISTEXT(Overig!D623),Overig!D623,10*Overig!D623),""",""????0;"",""???-0;"",""????0;"", ////"""),"'","""")&amp;SUBSTITUTE(TEXT(Overig!E623,""",""?00;"",""?-00;"",""?00;"", //"""),"'","""")&amp;SUBSTITUTE(TEXT(IF(ISTEXT(Overig!F623),Overig!F623,10*Overig!F623),""",""????0;"",""???-0;"",""????0;"", ////"""),"'","""")&amp;SUBSTITUTE(TEXT(Overig!G623,""",""?00;"",""?-00;"",""?00;"", //"""),"'","""")</f>
        <v>081, 19400726, 07.45, 7500, 00,  270, 00</v>
      </c>
    </row>
    <row r="624" spans="1:1" x14ac:dyDescent="0.25">
      <c r="A624" s="25" t="str">
        <f ca="1">TEXT(Overig!A624,"000\,")&amp;TEXT(Overig!B624,"?00000000")&amp;TEXT(Overig!C624,""", ""@")&amp;SUBSTITUTE(TEXT(IF(ISTEXT(Overig!D624),Overig!D624,10*Overig!D624),""",""????0;"",""???-0;"",""????0;"", ////"""),"'","""")&amp;SUBSTITUTE(TEXT(Overig!E624,""",""?00;"",""?-00;"",""?00;"", //"""),"'","""")&amp;SUBSTITUTE(TEXT(IF(ISTEXT(Overig!F624),Overig!F624,10*Overig!F624),""",""????0;"",""???-0;"",""????0;"", ////"""),"'","""")&amp;SUBSTITUTE(TEXT(Overig!G624,""",""?00;"",""?-00;"",""?00;"", //"""),"'","""")</f>
        <v>081, 19400726, 13.45, 7500, 00,  290, 00</v>
      </c>
    </row>
    <row r="625" spans="1:1" x14ac:dyDescent="0.25">
      <c r="A625" s="25" t="str">
        <f ca="1">TEXT(Overig!A625,"000\,")&amp;TEXT(Overig!B625,"?00000000")&amp;TEXT(Overig!C625,""", ""@")&amp;SUBSTITUTE(TEXT(IF(ISTEXT(Overig!D625),Overig!D625,10*Overig!D625),""",""????0;"",""???-0;"",""????0;"", ////"""),"'","""")&amp;SUBSTITUTE(TEXT(Overig!E625,""",""?00;"",""?-00;"",""?00;"", //"""),"'","""")&amp;SUBSTITUTE(TEXT(IF(ISTEXT(Overig!F625),Overig!F625,10*Overig!F625),""",""????0;"",""???-0;"",""????0;"", ////"""),"'","""")&amp;SUBSTITUTE(TEXT(Overig!G625,""",""?00;"",""?-00;"",""?00;"", //"""),"'","""")</f>
        <v>081, 19400726, 19.45, 7500, 00,  280, 00</v>
      </c>
    </row>
    <row r="626" spans="1:1" x14ac:dyDescent="0.25">
      <c r="A626" s="25" t="str">
        <f ca="1">TEXT(Overig!A626,"000\,")&amp;TEXT(Overig!B626,"?00000000")&amp;TEXT(Overig!C626,""", ""@")&amp;SUBSTITUTE(TEXT(IF(ISTEXT(Overig!D626),Overig!D626,10*Overig!D626),""",""????0;"",""???-0;"",""????0;"", ////"""),"'","""")&amp;SUBSTITUTE(TEXT(Overig!E626,""",""?00;"",""?-00;"",""?00;"", //"""),"'","""")&amp;SUBSTITUTE(TEXT(IF(ISTEXT(Overig!F626),Overig!F626,10*Overig!F626),""",""????0;"",""???-0;"",""????0;"", ////"""),"'","""")&amp;SUBSTITUTE(TEXT(Overig!G626,""",""?00;"",""?-00;"",""?00;"", //"""),"'","""")</f>
        <v>081, 19400727, 07.45, 7500, 00,  280, 00</v>
      </c>
    </row>
    <row r="627" spans="1:1" x14ac:dyDescent="0.25">
      <c r="A627" s="25" t="str">
        <f ca="1">TEXT(Overig!A627,"000\,")&amp;TEXT(Overig!B627,"?00000000")&amp;TEXT(Overig!C627,""", ""@")&amp;SUBSTITUTE(TEXT(IF(ISTEXT(Overig!D627),Overig!D627,10*Overig!D627),""",""????0;"",""???-0;"",""????0;"", ////"""),"'","""")&amp;SUBSTITUTE(TEXT(Overig!E627,""",""?00;"",""?-00;"",""?00;"", //"""),"'","""")&amp;SUBSTITUTE(TEXT(IF(ISTEXT(Overig!F627),Overig!F627,10*Overig!F627),""",""????0;"",""???-0;"",""????0;"", ////"""),"'","""")&amp;SUBSTITUTE(TEXT(Overig!G627,""",""?00;"",""?-00;"",""?00;"", //"""),"'","""")</f>
        <v>081, 19400727, 13.45, 7500, 00,  300, 00</v>
      </c>
    </row>
    <row r="628" spans="1:1" x14ac:dyDescent="0.25">
      <c r="A628" s="25" t="str">
        <f ca="1">TEXT(Overig!A628,"000\,")&amp;TEXT(Overig!B628,"?00000000")&amp;TEXT(Overig!C628,""", ""@")&amp;SUBSTITUTE(TEXT(IF(ISTEXT(Overig!D628),Overig!D628,10*Overig!D628),""",""????0;"",""???-0;"",""????0;"", ////"""),"'","""")&amp;SUBSTITUTE(TEXT(Overig!E628,""",""?00;"",""?-00;"",""?00;"", //"""),"'","""")&amp;SUBSTITUTE(TEXT(IF(ISTEXT(Overig!F628),Overig!F628,10*Overig!F628),""",""????0;"",""???-0;"",""????0;"", ////"""),"'","""")&amp;SUBSTITUTE(TEXT(Overig!G628,""",""?00;"",""?-00;"",""?00;"", //"""),"'","""")</f>
        <v>081, 19400727, 19.45, 7490, 00,  290, 00</v>
      </c>
    </row>
    <row r="629" spans="1:1" x14ac:dyDescent="0.25">
      <c r="A629" s="25" t="str">
        <f ca="1">TEXT(Overig!A629,"000\,")&amp;TEXT(Overig!B629,"?00000000")&amp;TEXT(Overig!C629,""", ""@")&amp;SUBSTITUTE(TEXT(IF(ISTEXT(Overig!D629),Overig!D629,10*Overig!D629),""",""????0;"",""???-0;"",""????0;"", ////"""),"'","""")&amp;SUBSTITUTE(TEXT(Overig!E629,""",""?00;"",""?-00;"",""?00;"", //"""),"'","""")&amp;SUBSTITUTE(TEXT(IF(ISTEXT(Overig!F629),Overig!F629,10*Overig!F629),""",""????0;"",""???-0;"",""????0;"", ////"""),"'","""")&amp;SUBSTITUTE(TEXT(Overig!G629,""",""?00;"",""?-00;"",""?00;"", //"""),"'","""")</f>
        <v>081, 19400728, 07.45, 7500, 00,  280, 00</v>
      </c>
    </row>
    <row r="630" spans="1:1" x14ac:dyDescent="0.25">
      <c r="A630" s="25" t="str">
        <f ca="1">TEXT(Overig!A630,"000\,")&amp;TEXT(Overig!B630,"?00000000")&amp;TEXT(Overig!C630,""", ""@")&amp;SUBSTITUTE(TEXT(IF(ISTEXT(Overig!D630),Overig!D630,10*Overig!D630),""",""????0;"",""???-0;"",""????0;"", ////"""),"'","""")&amp;SUBSTITUTE(TEXT(Overig!E630,""",""?00;"",""?-00;"",""?00;"", //"""),"'","""")&amp;SUBSTITUTE(TEXT(IF(ISTEXT(Overig!F630),Overig!F630,10*Overig!F630),""",""????0;"",""???-0;"",""????0;"", ////"""),"'","""")&amp;SUBSTITUTE(TEXT(Overig!G630,""",""?00;"",""?-00;"",""?00;"", //"""),"'","""")</f>
        <v>081, 19400728, 13.45, 7500, 00,  300, 00</v>
      </c>
    </row>
    <row r="631" spans="1:1" x14ac:dyDescent="0.25">
      <c r="A631" s="25" t="str">
        <f ca="1">TEXT(Overig!A631,"000\,")&amp;TEXT(Overig!B631,"?00000000")&amp;TEXT(Overig!C631,""", ""@")&amp;SUBSTITUTE(TEXT(IF(ISTEXT(Overig!D631),Overig!D631,10*Overig!D631),""",""????0;"",""???-0;"",""????0;"", ////"""),"'","""")&amp;SUBSTITUTE(TEXT(Overig!E631,""",""?00;"",""?-00;"",""?00;"", //"""),"'","""")&amp;SUBSTITUTE(TEXT(IF(ISTEXT(Overig!F631),Overig!F631,10*Overig!F631),""",""????0;"",""???-0;"",""????0;"", ////"""),"'","""")&amp;SUBSTITUTE(TEXT(Overig!G631,""",""?00;"",""?-00;"",""?00;"", //"""),"'","""")</f>
        <v>081, 19400728, 19.45, 7510, 00,  290, 00</v>
      </c>
    </row>
    <row r="632" spans="1:1" x14ac:dyDescent="0.25">
      <c r="A632" s="25" t="str">
        <f ca="1">TEXT(Overig!A632,"000\,")&amp;TEXT(Overig!B632,"?00000000")&amp;TEXT(Overig!C632,""", ""@")&amp;SUBSTITUTE(TEXT(IF(ISTEXT(Overig!D632),Overig!D632,10*Overig!D632),""",""????0;"",""???-0;"",""????0;"", ////"""),"'","""")&amp;SUBSTITUTE(TEXT(Overig!E632,""",""?00;"",""?-00;"",""?00;"", //"""),"'","""")&amp;SUBSTITUTE(TEXT(IF(ISTEXT(Overig!F632),Overig!F632,10*Overig!F632),""",""????0;"",""???-0;"",""????0;"", ////"""),"'","""")&amp;SUBSTITUTE(TEXT(Overig!G632,""",""?00;"",""?-00;"",""?00;"", //"""),"'","""")</f>
        <v>081, 19400729, 07.45, 7510, 00,  280, 00</v>
      </c>
    </row>
    <row r="633" spans="1:1" x14ac:dyDescent="0.25">
      <c r="A633" s="25" t="str">
        <f ca="1">TEXT(Overig!A633,"000\,")&amp;TEXT(Overig!B633,"?00000000")&amp;TEXT(Overig!C633,""", ""@")&amp;SUBSTITUTE(TEXT(IF(ISTEXT(Overig!D633),Overig!D633,10*Overig!D633),""",""????0;"",""???-0;"",""????0;"", ////"""),"'","""")&amp;SUBSTITUTE(TEXT(Overig!E633,""",""?00;"",""?-00;"",""?00;"", //"""),"'","""")&amp;SUBSTITUTE(TEXT(IF(ISTEXT(Overig!F633),Overig!F633,10*Overig!F633),""",""????0;"",""???-0;"",""????0;"", ////"""),"'","""")&amp;SUBSTITUTE(TEXT(Overig!G633,""",""?00;"",""?-00;"",""?00;"", //"""),"'","""")</f>
        <v>081, 19400729, 13.45, 7500, 00,  310, 00</v>
      </c>
    </row>
    <row r="634" spans="1:1" x14ac:dyDescent="0.25">
      <c r="A634" s="25" t="str">
        <f ca="1">TEXT(Overig!A634,"000\,")&amp;TEXT(Overig!B634,"?00000000")&amp;TEXT(Overig!C634,""", ""@")&amp;SUBSTITUTE(TEXT(IF(ISTEXT(Overig!D634),Overig!D634,10*Overig!D634),""",""????0;"",""???-0;"",""????0;"", ////"""),"'","""")&amp;SUBSTITUTE(TEXT(Overig!E634,""",""?00;"",""?-00;"",""?00;"", //"""),"'","""")&amp;SUBSTITUTE(TEXT(IF(ISTEXT(Overig!F634),Overig!F634,10*Overig!F634),""",""????0;"",""???-0;"",""????0;"", ////"""),"'","""")&amp;SUBSTITUTE(TEXT(Overig!G634,""",""?00;"",""?-00;"",""?00;"", //"""),"'","""")</f>
        <v>081, 19400729, 19.45, 7500, 00,  290, 00</v>
      </c>
    </row>
    <row r="635" spans="1:1" x14ac:dyDescent="0.25">
      <c r="A635" s="25" t="str">
        <f ca="1">TEXT(Overig!A635,"000\,")&amp;TEXT(Overig!B635,"?00000000")&amp;TEXT(Overig!C635,""", ""@")&amp;SUBSTITUTE(TEXT(IF(ISTEXT(Overig!D635),Overig!D635,10*Overig!D635),""",""????0;"",""???-0;"",""????0;"", ////"""),"'","""")&amp;SUBSTITUTE(TEXT(Overig!E635,""",""?00;"",""?-00;"",""?00;"", //"""),"'","""")&amp;SUBSTITUTE(TEXT(IF(ISTEXT(Overig!F635),Overig!F635,10*Overig!F635),""",""????0;"",""???-0;"",""????0;"", ////"""),"'","""")&amp;SUBSTITUTE(TEXT(Overig!G635,""",""?00;"",""?-00;"",""?00;"", //"""),"'","""")</f>
        <v>081, 19400730, 07.45, 7500, 00,  280, 00</v>
      </c>
    </row>
    <row r="636" spans="1:1" x14ac:dyDescent="0.25">
      <c r="A636" s="25" t="str">
        <f ca="1">TEXT(Overig!A636,"000\,")&amp;TEXT(Overig!B636,"?00000000")&amp;TEXT(Overig!C636,""", ""@")&amp;SUBSTITUTE(TEXT(IF(ISTEXT(Overig!D636),Overig!D636,10*Overig!D636),""",""????0;"",""???-0;"",""????0;"", ////"""),"'","""")&amp;SUBSTITUTE(TEXT(Overig!E636,""",""?00;"",""?-00;"",""?00;"", //"""),"'","""")&amp;SUBSTITUTE(TEXT(IF(ISTEXT(Overig!F636),Overig!F636,10*Overig!F636),""",""????0;"",""???-0;"",""????0;"", ////"""),"'","""")&amp;SUBSTITUTE(TEXT(Overig!G636,""",""?00;"",""?-00;"",""?00;"", //"""),"'","""")</f>
        <v>081, 19400730, 13.45, 7500, 00,  310, 00</v>
      </c>
    </row>
    <row r="637" spans="1:1" x14ac:dyDescent="0.25">
      <c r="A637" s="25" t="str">
        <f ca="1">TEXT(Overig!A637,"000\,")&amp;TEXT(Overig!B637,"?00000000")&amp;TEXT(Overig!C637,""", ""@")&amp;SUBSTITUTE(TEXT(IF(ISTEXT(Overig!D637),Overig!D637,10*Overig!D637),""",""????0;"",""???-0;"",""????0;"", ////"""),"'","""")&amp;SUBSTITUTE(TEXT(Overig!E637,""",""?00;"",""?-00;"",""?00;"", //"""),"'","""")&amp;SUBSTITUTE(TEXT(IF(ISTEXT(Overig!F637),Overig!F637,10*Overig!F637),""",""????0;"",""???-0;"",""????0;"", ////"""),"'","""")&amp;SUBSTITUTE(TEXT(Overig!G637,""",""?00;"",""?-00;"",""?00;"", //"""),"'","""")</f>
        <v>081, 19400730, 19.45, 7500, 00,  290, 00</v>
      </c>
    </row>
    <row r="638" spans="1:1" x14ac:dyDescent="0.25">
      <c r="A638" s="25" t="str">
        <f ca="1">TEXT(Overig!A638,"000\,")&amp;TEXT(Overig!B638,"?00000000")&amp;TEXT(Overig!C638,""", ""@")&amp;SUBSTITUTE(TEXT(IF(ISTEXT(Overig!D638),Overig!D638,10*Overig!D638),""",""????0;"",""???-0;"",""????0;"", ////"""),"'","""")&amp;SUBSTITUTE(TEXT(Overig!E638,""",""?00;"",""?-00;"",""?00;"", //"""),"'","""")&amp;SUBSTITUTE(TEXT(IF(ISTEXT(Overig!F638),Overig!F638,10*Overig!F638),""",""????0;"",""???-0;"",""????0;"", ////"""),"'","""")&amp;SUBSTITUTE(TEXT(Overig!G638,""",""?00;"",""?-00;"",""?00;"", //"""),"'","""")</f>
        <v>081, 19400731, 07.45, 7500, 00,  270, 00</v>
      </c>
    </row>
    <row r="639" spans="1:1" x14ac:dyDescent="0.25">
      <c r="A639" s="25" t="str">
        <f ca="1">TEXT(Overig!A639,"000\,")&amp;TEXT(Overig!B639,"?00000000")&amp;TEXT(Overig!C639,""", ""@")&amp;SUBSTITUTE(TEXT(IF(ISTEXT(Overig!D639),Overig!D639,10*Overig!D639),""",""????0;"",""???-0;"",""????0;"", ////"""),"'","""")&amp;SUBSTITUTE(TEXT(Overig!E639,""",""?00;"",""?-00;"",""?00;"", //"""),"'","""")&amp;SUBSTITUTE(TEXT(IF(ISTEXT(Overig!F639),Overig!F639,10*Overig!F639),""",""????0;"",""???-0;"",""????0;"", ////"""),"'","""")&amp;SUBSTITUTE(TEXT(Overig!G639,""",""?00;"",""?-00;"",""?00;"", //"""),"'","""")</f>
        <v>081, 19400731, 13.45, 7500, 00,  300, 00</v>
      </c>
    </row>
    <row r="640" spans="1:1" x14ac:dyDescent="0.25">
      <c r="A640" s="25" t="str">
        <f ca="1">TEXT(Overig!A640,"000\,")&amp;TEXT(Overig!B640,"?00000000")&amp;TEXT(Overig!C640,""", ""@")&amp;SUBSTITUTE(TEXT(IF(ISTEXT(Overig!D640),Overig!D640,10*Overig!D640),""",""????0;"",""???-0;"",""????0;"", ////"""),"'","""")&amp;SUBSTITUTE(TEXT(Overig!E640,""",""?00;"",""?-00;"",""?00;"", //"""),"'","""")&amp;SUBSTITUTE(TEXT(IF(ISTEXT(Overig!F640),Overig!F640,10*Overig!F640),""",""????0;"",""???-0;"",""????0;"", ////"""),"'","""")&amp;SUBSTITUTE(TEXT(Overig!G640,""",""?00;"",""?-00;"",""?00;"", //"""),"'","""")</f>
        <v>081, 19400731, 19.45, 7490, 00,  290, 00</v>
      </c>
    </row>
    <row r="641" spans="1:1" x14ac:dyDescent="0.25">
      <c r="A641" s="25" t="str">
        <f ca="1">TEXT(Overig!A641,"000\,")&amp;TEXT(Overig!B641,"?00000000")&amp;TEXT(Overig!C641,""", ""@")&amp;SUBSTITUTE(TEXT(IF(ISTEXT(Overig!D641),Overig!D641,10*Overig!D641),""",""????0;"",""???-0;"",""????0;"", ////"""),"'","""")&amp;SUBSTITUTE(TEXT(Overig!E641,""",""?00;"",""?-00;"",""?00;"", //"""),"'","""")&amp;SUBSTITUTE(TEXT(IF(ISTEXT(Overig!F641),Overig!F641,10*Overig!F641),""",""????0;"",""???-0;"",""????0;"", ////"""),"'","""")&amp;SUBSTITUTE(TEXT(Overig!G641,""",""?00;"",""?-00;"",""?00;"", //"""),"'","""")</f>
        <v>081, 19400801, 07.45, 7500, 00,  280, 00</v>
      </c>
    </row>
    <row r="642" spans="1:1" x14ac:dyDescent="0.25">
      <c r="A642" s="25" t="str">
        <f ca="1">TEXT(Overig!A642,"000\,")&amp;TEXT(Overig!B642,"?00000000")&amp;TEXT(Overig!C642,""", ""@")&amp;SUBSTITUTE(TEXT(IF(ISTEXT(Overig!D642),Overig!D642,10*Overig!D642),""",""????0;"",""???-0;"",""????0;"", ////"""),"'","""")&amp;SUBSTITUTE(TEXT(Overig!E642,""",""?00;"",""?-00;"",""?00;"", //"""),"'","""")&amp;SUBSTITUTE(TEXT(IF(ISTEXT(Overig!F642),Overig!F642,10*Overig!F642),""",""????0;"",""???-0;"",""????0;"", ////"""),"'","""")&amp;SUBSTITUTE(TEXT(Overig!G642,""",""?00;"",""?-00;"",""?00;"", //"""),"'","""")</f>
        <v>081, 19400801, 13.45, 7500, 00,  300, 00</v>
      </c>
    </row>
    <row r="643" spans="1:1" x14ac:dyDescent="0.25">
      <c r="A643" s="25" t="str">
        <f ca="1">TEXT(Overig!A643,"000\,")&amp;TEXT(Overig!B643,"?00000000")&amp;TEXT(Overig!C643,""", ""@")&amp;SUBSTITUTE(TEXT(IF(ISTEXT(Overig!D643),Overig!D643,10*Overig!D643),""",""????0;"",""???-0;"",""????0;"", ////"""),"'","""")&amp;SUBSTITUTE(TEXT(Overig!E643,""",""?00;"",""?-00;"",""?00;"", //"""),"'","""")&amp;SUBSTITUTE(TEXT(IF(ISTEXT(Overig!F643),Overig!F643,10*Overig!F643),""",""????0;"",""???-0;"",""????0;"", ////"""),"'","""")&amp;SUBSTITUTE(TEXT(Overig!G643,""",""?00;"",""?-00;"",""?00;"", //"""),"'","""")</f>
        <v>081, 19400801, 19.45, 7500, 00,  280, 00</v>
      </c>
    </row>
    <row r="644" spans="1:1" x14ac:dyDescent="0.25">
      <c r="A644" s="25" t="str">
        <f ca="1">TEXT(Overig!A644,"000\,")&amp;TEXT(Overig!B644,"?00000000")&amp;TEXT(Overig!C644,""", ""@")&amp;SUBSTITUTE(TEXT(IF(ISTEXT(Overig!D644),Overig!D644,10*Overig!D644),""",""????0;"",""???-0;"",""????0;"", ////"""),"'","""")&amp;SUBSTITUTE(TEXT(Overig!E644,""",""?00;"",""?-00;"",""?00;"", //"""),"'","""")&amp;SUBSTITUTE(TEXT(IF(ISTEXT(Overig!F644),Overig!F644,10*Overig!F644),""",""????0;"",""???-0;"",""????0;"", ////"""),"'","""")&amp;SUBSTITUTE(TEXT(Overig!G644,""",""?00;"",""?-00;"",""?00;"", //"""),"'","""")</f>
        <v>081, 19400802, 07.45, 7510, 00,  280, 00</v>
      </c>
    </row>
    <row r="645" spans="1:1" x14ac:dyDescent="0.25">
      <c r="A645" s="25" t="str">
        <f ca="1">TEXT(Overig!A645,"000\,")&amp;TEXT(Overig!B645,"?00000000")&amp;TEXT(Overig!C645,""", ""@")&amp;SUBSTITUTE(TEXT(IF(ISTEXT(Overig!D645),Overig!D645,10*Overig!D645),""",""????0;"",""???-0;"",""????0;"", ////"""),"'","""")&amp;SUBSTITUTE(TEXT(Overig!E645,""",""?00;"",""?-00;"",""?00;"", //"""),"'","""")&amp;SUBSTITUTE(TEXT(IF(ISTEXT(Overig!F645),Overig!F645,10*Overig!F645),""",""????0;"",""???-0;"",""????0;"", ////"""),"'","""")&amp;SUBSTITUTE(TEXT(Overig!G645,""",""?00;"",""?-00;"",""?00;"", //"""),"'","""")</f>
        <v>081, 19400802, 13.45, 7510, 00,  310, 00</v>
      </c>
    </row>
    <row r="646" spans="1:1" x14ac:dyDescent="0.25">
      <c r="A646" s="25" t="str">
        <f ca="1">TEXT(Overig!A646,"000\,")&amp;TEXT(Overig!B646,"?00000000")&amp;TEXT(Overig!C646,""", ""@")&amp;SUBSTITUTE(TEXT(IF(ISTEXT(Overig!D646),Overig!D646,10*Overig!D646),""",""????0;"",""???-0;"",""????0;"", ////"""),"'","""")&amp;SUBSTITUTE(TEXT(Overig!E646,""",""?00;"",""?-00;"",""?00;"", //"""),"'","""")&amp;SUBSTITUTE(TEXT(IF(ISTEXT(Overig!F646),Overig!F646,10*Overig!F646),""",""????0;"",""???-0;"",""????0;"", ////"""),"'","""")&amp;SUBSTITUTE(TEXT(Overig!G646,""",""?00;"",""?-00;"",""?00;"", //"""),"'","""")</f>
        <v>081, 19400802, 19.45, 7510, 00,  280, 00</v>
      </c>
    </row>
    <row r="647" spans="1:1" x14ac:dyDescent="0.25">
      <c r="A647" s="25" t="str">
        <f ca="1">TEXT(Overig!A647,"000\,")&amp;TEXT(Overig!B647,"?00000000")&amp;TEXT(Overig!C647,""", ""@")&amp;SUBSTITUTE(TEXT(IF(ISTEXT(Overig!D647),Overig!D647,10*Overig!D647),""",""????0;"",""???-0;"",""????0;"", ////"""),"'","""")&amp;SUBSTITUTE(TEXT(Overig!E647,""",""?00;"",""?-00;"",""?00;"", //"""),"'","""")&amp;SUBSTITUTE(TEXT(IF(ISTEXT(Overig!F647),Overig!F647,10*Overig!F647),""",""????0;"",""???-0;"",""????0;"", ////"""),"'","""")&amp;SUBSTITUTE(TEXT(Overig!G647,""",""?00;"",""?-00;"",""?00;"", //"""),"'","""")</f>
        <v>081, 19400803, 07.45, 7510, 00,  280, 00</v>
      </c>
    </row>
    <row r="648" spans="1:1" x14ac:dyDescent="0.25">
      <c r="A648" s="25" t="str">
        <f ca="1">TEXT(Overig!A648,"000\,")&amp;TEXT(Overig!B648,"?00000000")&amp;TEXT(Overig!C648,""", ""@")&amp;SUBSTITUTE(TEXT(IF(ISTEXT(Overig!D648),Overig!D648,10*Overig!D648),""",""????0;"",""???-0;"",""????0;"", ////"""),"'","""")&amp;SUBSTITUTE(TEXT(Overig!E648,""",""?00;"",""?-00;"",""?00;"", //"""),"'","""")&amp;SUBSTITUTE(TEXT(IF(ISTEXT(Overig!F648),Overig!F648,10*Overig!F648),""",""????0;"",""???-0;"",""????0;"", ////"""),"'","""")&amp;SUBSTITUTE(TEXT(Overig!G648,""",""?00;"",""?-00;"",""?00;"", //"""),"'","""")</f>
        <v>081, 19400803, 13.45, 7500, 00,  310, 00</v>
      </c>
    </row>
    <row r="649" spans="1:1" x14ac:dyDescent="0.25">
      <c r="A649" s="25" t="str">
        <f ca="1">TEXT(Overig!A649,"000\,")&amp;TEXT(Overig!B649,"?00000000")&amp;TEXT(Overig!C649,""", ""@")&amp;SUBSTITUTE(TEXT(IF(ISTEXT(Overig!D649),Overig!D649,10*Overig!D649),""",""????0;"",""???-0;"",""????0;"", ////"""),"'","""")&amp;SUBSTITUTE(TEXT(Overig!E649,""",""?00;"",""?-00;"",""?00;"", //"""),"'","""")&amp;SUBSTITUTE(TEXT(IF(ISTEXT(Overig!F649),Overig!F649,10*Overig!F649),""",""????0;"",""???-0;"",""????0;"", ////"""),"'","""")&amp;SUBSTITUTE(TEXT(Overig!G649,""",""?00;"",""?-00;"",""?00;"", //"""),"'","""")</f>
        <v>081, 19400803, 19.45, 7510, 00,  280, 00</v>
      </c>
    </row>
    <row r="650" spans="1:1" x14ac:dyDescent="0.25">
      <c r="A650" s="25" t="str">
        <f ca="1">TEXT(Overig!A650,"000\,")&amp;TEXT(Overig!B650,"?00000000")&amp;TEXT(Overig!C650,""", ""@")&amp;SUBSTITUTE(TEXT(IF(ISTEXT(Overig!D650),Overig!D650,10*Overig!D650),""",""????0;"",""???-0;"",""????0;"", ////"""),"'","""")&amp;SUBSTITUTE(TEXT(Overig!E650,""",""?00;"",""?-00;"",""?00;"", //"""),"'","""")&amp;SUBSTITUTE(TEXT(IF(ISTEXT(Overig!F650),Overig!F650,10*Overig!F650),""",""????0;"",""???-0;"",""????0;"", ////"""),"'","""")&amp;SUBSTITUTE(TEXT(Overig!G650,""",""?00;"",""?-00;"",""?00;"", //"""),"'","""")</f>
        <v>081, 19400804, 07.45, 7500, 00,  280, 00</v>
      </c>
    </row>
    <row r="651" spans="1:1" x14ac:dyDescent="0.25">
      <c r="A651" s="25" t="str">
        <f ca="1">TEXT(Overig!A651,"000\,")&amp;TEXT(Overig!B651,"?00000000")&amp;TEXT(Overig!C651,""", ""@")&amp;SUBSTITUTE(TEXT(IF(ISTEXT(Overig!D651),Overig!D651,10*Overig!D651),""",""????0;"",""???-0;"",""????0;"", ////"""),"'","""")&amp;SUBSTITUTE(TEXT(Overig!E651,""",""?00;"",""?-00;"",""?00;"", //"""),"'","""")&amp;SUBSTITUTE(TEXT(IF(ISTEXT(Overig!F651),Overig!F651,10*Overig!F651),""",""????0;"",""???-0;"",""????0;"", ////"""),"'","""")&amp;SUBSTITUTE(TEXT(Overig!G651,""",""?00;"",""?-00;"",""?00;"", //"""),"'","""")</f>
        <v>081, 19400804, 13.45, 7490, 00,  300, 00</v>
      </c>
    </row>
    <row r="652" spans="1:1" x14ac:dyDescent="0.25">
      <c r="A652" s="25" t="str">
        <f ca="1">TEXT(Overig!A652,"000\,")&amp;TEXT(Overig!B652,"?00000000")&amp;TEXT(Overig!C652,""", ""@")&amp;SUBSTITUTE(TEXT(IF(ISTEXT(Overig!D652),Overig!D652,10*Overig!D652),""",""????0;"",""???-0;"",""????0;"", ////"""),"'","""")&amp;SUBSTITUTE(TEXT(Overig!E652,""",""?00;"",""?-00;"",""?00;"", //"""),"'","""")&amp;SUBSTITUTE(TEXT(IF(ISTEXT(Overig!F652),Overig!F652,10*Overig!F652),""",""????0;"",""???-0;"",""????0;"", ////"""),"'","""")&amp;SUBSTITUTE(TEXT(Overig!G652,""",""?00;"",""?-00;"",""?00;"", //"""),"'","""")</f>
        <v>081, 19400804, 19.45, 7490, 00,  280, 00</v>
      </c>
    </row>
    <row r="653" spans="1:1" x14ac:dyDescent="0.25">
      <c r="A653" s="25" t="str">
        <f ca="1">TEXT(Overig!A653,"000\,")&amp;TEXT(Overig!B653,"?00000000")&amp;TEXT(Overig!C653,""", ""@")&amp;SUBSTITUTE(TEXT(IF(ISTEXT(Overig!D653),Overig!D653,10*Overig!D653),""",""????0;"",""???-0;"",""????0;"", ////"""),"'","""")&amp;SUBSTITUTE(TEXT(Overig!E653,""",""?00;"",""?-00;"",""?00;"", //"""),"'","""")&amp;SUBSTITUTE(TEXT(IF(ISTEXT(Overig!F653),Overig!F653,10*Overig!F653),""",""????0;"",""???-0;"",""????0;"", ////"""),"'","""")&amp;SUBSTITUTE(TEXT(Overig!G653,""",""?00;"",""?-00;"",""?00;"", //"""),"'","""")</f>
        <v>081, 19400805, 07.45, 7470, 00,  260, 00</v>
      </c>
    </row>
    <row r="654" spans="1:1" x14ac:dyDescent="0.25">
      <c r="A654" s="25" t="str">
        <f ca="1">TEXT(Overig!A654,"000\,")&amp;TEXT(Overig!B654,"?00000000")&amp;TEXT(Overig!C654,""", ""@")&amp;SUBSTITUTE(TEXT(IF(ISTEXT(Overig!D654),Overig!D654,10*Overig!D654),""",""????0;"",""???-0;"",""????0;"", ////"""),"'","""")&amp;SUBSTITUTE(TEXT(Overig!E654,""",""?00;"",""?-00;"",""?00;"", //"""),"'","""")&amp;SUBSTITUTE(TEXT(IF(ISTEXT(Overig!F654),Overig!F654,10*Overig!F654),""",""????0;"",""???-0;"",""????0;"", ////"""),"'","""")&amp;SUBSTITUTE(TEXT(Overig!G654,""",""?00;"",""?-00;"",""?00;"", //"""),"'","""")</f>
        <v>081, 19400805, 13.45, 7460, 00,  270, 00</v>
      </c>
    </row>
    <row r="655" spans="1:1" x14ac:dyDescent="0.25">
      <c r="A655" s="25" t="str">
        <f ca="1">TEXT(Overig!A655,"000\,")&amp;TEXT(Overig!B655,"?00000000")&amp;TEXT(Overig!C655,""", ""@")&amp;SUBSTITUTE(TEXT(IF(ISTEXT(Overig!D655),Overig!D655,10*Overig!D655),""",""????0;"",""???-0;"",""????0;"", ////"""),"'","""")&amp;SUBSTITUTE(TEXT(Overig!E655,""",""?00;"",""?-00;"",""?00;"", //"""),"'","""")&amp;SUBSTITUTE(TEXT(IF(ISTEXT(Overig!F655),Overig!F655,10*Overig!F655),""",""????0;"",""???-0;"",""????0;"", ////"""),"'","""")&amp;SUBSTITUTE(TEXT(Overig!G655,""",""?00;"",""?-00;"",""?00;"", //"""),"'","""")</f>
        <v>081, 19400805, 19.45, 7470, 00,  260, 00</v>
      </c>
    </row>
    <row r="656" spans="1:1" x14ac:dyDescent="0.25">
      <c r="A656" s="25" t="str">
        <f ca="1">TEXT(Overig!A656,"000\,")&amp;TEXT(Overig!B656,"?00000000")&amp;TEXT(Overig!C656,""", ""@")&amp;SUBSTITUTE(TEXT(IF(ISTEXT(Overig!D656),Overig!D656,10*Overig!D656),""",""????0;"",""???-0;"",""????0;"", ////"""),"'","""")&amp;SUBSTITUTE(TEXT(Overig!E656,""",""?00;"",""?-00;"",""?00;"", //"""),"'","""")&amp;SUBSTITUTE(TEXT(IF(ISTEXT(Overig!F656),Overig!F656,10*Overig!F656),""",""????0;"",""???-0;"",""????0;"", ////"""),"'","""")&amp;SUBSTITUTE(TEXT(Overig!G656,""",""?00;"",""?-00;"",""?00;"", //"""),"'","""")</f>
        <v>081, 19400806, 07.45, 7480, 00,  270, 00</v>
      </c>
    </row>
    <row r="657" spans="1:1" x14ac:dyDescent="0.25">
      <c r="A657" s="25" t="str">
        <f ca="1">TEXT(Overig!A657,"000\,")&amp;TEXT(Overig!B657,"?00000000")&amp;TEXT(Overig!C657,""", ""@")&amp;SUBSTITUTE(TEXT(IF(ISTEXT(Overig!D657),Overig!D657,10*Overig!D657),""",""????0;"",""???-0;"",""????0;"", ////"""),"'","""")&amp;SUBSTITUTE(TEXT(Overig!E657,""",""?00;"",""?-00;"",""?00;"", //"""),"'","""")&amp;SUBSTITUTE(TEXT(IF(ISTEXT(Overig!F657),Overig!F657,10*Overig!F657),""",""????0;"",""???-0;"",""????0;"", ////"""),"'","""")&amp;SUBSTITUTE(TEXT(Overig!G657,""",""?00;"",""?-00;"",""?00;"", //"""),"'","""")</f>
        <v>081, 19400806, 13.45, 7480, 00,  320, 00</v>
      </c>
    </row>
    <row r="658" spans="1:1" x14ac:dyDescent="0.25">
      <c r="A658" s="25" t="str">
        <f ca="1">TEXT(Overig!A658,"000\,")&amp;TEXT(Overig!B658,"?00000000")&amp;TEXT(Overig!C658,""", ""@")&amp;SUBSTITUTE(TEXT(IF(ISTEXT(Overig!D658),Overig!D658,10*Overig!D658),""",""????0;"",""???-0;"",""????0;"", ////"""),"'","""")&amp;SUBSTITUTE(TEXT(Overig!E658,""",""?00;"",""?-00;"",""?00;"", //"""),"'","""")&amp;SUBSTITUTE(TEXT(IF(ISTEXT(Overig!F658),Overig!F658,10*Overig!F658),""",""????0;"",""???-0;"",""????0;"", ////"""),"'","""")&amp;SUBSTITUTE(TEXT(Overig!G658,""",""?00;"",""?-00;"",""?00;"", //"""),"'","""")</f>
        <v>081, 19400806, 19.45, 7480, 00,  280, 00</v>
      </c>
    </row>
    <row r="659" spans="1:1" x14ac:dyDescent="0.25">
      <c r="A659" s="25" t="str">
        <f ca="1">TEXT(Overig!A659,"000\,")&amp;TEXT(Overig!B659,"?00000000")&amp;TEXT(Overig!C659,""", ""@")&amp;SUBSTITUTE(TEXT(IF(ISTEXT(Overig!D659),Overig!D659,10*Overig!D659),""",""????0;"",""???-0;"",""????0;"", ////"""),"'","""")&amp;SUBSTITUTE(TEXT(Overig!E659,""",""?00;"",""?-00;"",""?00;"", //"""),"'","""")&amp;SUBSTITUTE(TEXT(IF(ISTEXT(Overig!F659),Overig!F659,10*Overig!F659),""",""????0;"",""???-0;"",""????0;"", ////"""),"'","""")&amp;SUBSTITUTE(TEXT(Overig!G659,""",""?00;"",""?-00;"",""?00;"", //"""),"'","""")</f>
        <v>081, 19400807, 07.45, 7480, 00,  280, 00</v>
      </c>
    </row>
    <row r="660" spans="1:1" x14ac:dyDescent="0.25">
      <c r="A660" s="25" t="str">
        <f ca="1">TEXT(Overig!A660,"000\,")&amp;TEXT(Overig!B660,"?00000000")&amp;TEXT(Overig!C660,""", ""@")&amp;SUBSTITUTE(TEXT(IF(ISTEXT(Overig!D660),Overig!D660,10*Overig!D660),""",""????0;"",""???-0;"",""????0;"", ////"""),"'","""")&amp;SUBSTITUTE(TEXT(Overig!E660,""",""?00;"",""?-00;"",""?00;"", //"""),"'","""")&amp;SUBSTITUTE(TEXT(IF(ISTEXT(Overig!F660),Overig!F660,10*Overig!F660),""",""????0;"",""???-0;"",""????0;"", ////"""),"'","""")&amp;SUBSTITUTE(TEXT(Overig!G660,""",""?00;"",""?-00;"",""?00;"", //"""),"'","""")</f>
        <v>081, 19400807, 13.45, 7480, 00,  300, 00</v>
      </c>
    </row>
    <row r="661" spans="1:1" x14ac:dyDescent="0.25">
      <c r="A661" s="25" t="str">
        <f ca="1">TEXT(Overig!A661,"000\,")&amp;TEXT(Overig!B661,"?00000000")&amp;TEXT(Overig!C661,""", ""@")&amp;SUBSTITUTE(TEXT(IF(ISTEXT(Overig!D661),Overig!D661,10*Overig!D661),""",""????0;"",""???-0;"",""????0;"", ////"""),"'","""")&amp;SUBSTITUTE(TEXT(Overig!E661,""",""?00;"",""?-00;"",""?00;"", //"""),"'","""")&amp;SUBSTITUTE(TEXT(IF(ISTEXT(Overig!F661),Overig!F661,10*Overig!F661),""",""????0;"",""???-0;"",""????0;"", ////"""),"'","""")&amp;SUBSTITUTE(TEXT(Overig!G661,""",""?00;"",""?-00;"",""?00;"", //"""),"'","""")</f>
        <v>081, 19400807, 19.45, 7480, 00,  280, 00</v>
      </c>
    </row>
    <row r="662" spans="1:1" x14ac:dyDescent="0.25">
      <c r="A662" s="25" t="str">
        <f ca="1">TEXT(Overig!A662,"000\,")&amp;TEXT(Overig!B662,"?00000000")&amp;TEXT(Overig!C662,""", ""@")&amp;SUBSTITUTE(TEXT(IF(ISTEXT(Overig!D662),Overig!D662,10*Overig!D662),""",""????0;"",""???-0;"",""????0;"", ////"""),"'","""")&amp;SUBSTITUTE(TEXT(Overig!E662,""",""?00;"",""?-00;"",""?00;"", //"""),"'","""")&amp;SUBSTITUTE(TEXT(IF(ISTEXT(Overig!F662),Overig!F662,10*Overig!F662),""",""????0;"",""???-0;"",""????0;"", ////"""),"'","""")&amp;SUBSTITUTE(TEXT(Overig!G662,""",""?00;"",""?-00;"",""?00;"", //"""),"'","""")</f>
        <v>081, 19400808, 07.45, 7480, 00,  280, 00</v>
      </c>
    </row>
    <row r="663" spans="1:1" x14ac:dyDescent="0.25">
      <c r="A663" s="25" t="str">
        <f ca="1">TEXT(Overig!A663,"000\,")&amp;TEXT(Overig!B663,"?00000000")&amp;TEXT(Overig!C663,""", ""@")&amp;SUBSTITUTE(TEXT(IF(ISTEXT(Overig!D663),Overig!D663,10*Overig!D663),""",""????0;"",""???-0;"",""????0;"", ////"""),"'","""")&amp;SUBSTITUTE(TEXT(Overig!E663,""",""?00;"",""?-00;"",""?00;"", //"""),"'","""")&amp;SUBSTITUTE(TEXT(IF(ISTEXT(Overig!F663),Overig!F663,10*Overig!F663),""",""????0;"",""???-0;"",""????0;"", ////"""),"'","""")&amp;SUBSTITUTE(TEXT(Overig!G663,""",""?00;"",""?-00;"",""?00;"", //"""),"'","""")</f>
        <v>081, 19400808, 13.45, 7480, 00,  320, 00</v>
      </c>
    </row>
    <row r="664" spans="1:1" x14ac:dyDescent="0.25">
      <c r="A664" s="25" t="str">
        <f ca="1">TEXT(Overig!A664,"000\,")&amp;TEXT(Overig!B664,"?00000000")&amp;TEXT(Overig!C664,""", ""@")&amp;SUBSTITUTE(TEXT(IF(ISTEXT(Overig!D664),Overig!D664,10*Overig!D664),""",""????0;"",""???-0;"",""????0;"", ////"""),"'","""")&amp;SUBSTITUTE(TEXT(Overig!E664,""",""?00;"",""?-00;"",""?00;"", //"""),"'","""")&amp;SUBSTITUTE(TEXT(IF(ISTEXT(Overig!F664),Overig!F664,10*Overig!F664),""",""????0;"",""???-0;"",""????0;"", ////"""),"'","""")&amp;SUBSTITUTE(TEXT(Overig!G664,""",""?00;"",""?-00;"",""?00;"", //"""),"'","""")</f>
        <v>081, 19400808, 19.45, 7480, 00,  280, 00</v>
      </c>
    </row>
    <row r="665" spans="1:1" x14ac:dyDescent="0.25">
      <c r="A665" s="25" t="str">
        <f ca="1">TEXT(Overig!A665,"000\,")&amp;TEXT(Overig!B665,"?00000000")&amp;TEXT(Overig!C665,""", ""@")&amp;SUBSTITUTE(TEXT(IF(ISTEXT(Overig!D665),Overig!D665,10*Overig!D665),""",""????0;"",""???-0;"",""????0;"", ////"""),"'","""")&amp;SUBSTITUTE(TEXT(Overig!E665,""",""?00;"",""?-00;"",""?00;"", //"""),"'","""")&amp;SUBSTITUTE(TEXT(IF(ISTEXT(Overig!F665),Overig!F665,10*Overig!F665),""",""????0;"",""???-0;"",""????0;"", ////"""),"'","""")&amp;SUBSTITUTE(TEXT(Overig!G665,""",""?00;"",""?-00;"",""?00;"", //"""),"'","""")</f>
        <v>081, 19400809, 07.45, 7490, 00,  270, 00</v>
      </c>
    </row>
    <row r="666" spans="1:1" x14ac:dyDescent="0.25">
      <c r="A666" s="25" t="str">
        <f ca="1">TEXT(Overig!A666,"000\,")&amp;TEXT(Overig!B666,"?00000000")&amp;TEXT(Overig!C666,""", ""@")&amp;SUBSTITUTE(TEXT(IF(ISTEXT(Overig!D666),Overig!D666,10*Overig!D666),""",""????0;"",""???-0;"",""????0;"", ////"""),"'","""")&amp;SUBSTITUTE(TEXT(Overig!E666,""",""?00;"",""?-00;"",""?00;"", //"""),"'","""")&amp;SUBSTITUTE(TEXT(IF(ISTEXT(Overig!F666),Overig!F666,10*Overig!F666),""",""????0;"",""???-0;"",""????0;"", ////"""),"'","""")&amp;SUBSTITUTE(TEXT(Overig!G666,""",""?00;"",""?-00;"",""?00;"", //"""),"'","""")</f>
        <v>081, 19400809, 13.45, 7490, 00,  310, 00</v>
      </c>
    </row>
    <row r="667" spans="1:1" x14ac:dyDescent="0.25">
      <c r="A667" s="25" t="str">
        <f ca="1">TEXT(Overig!A667,"000\,")&amp;TEXT(Overig!B667,"?00000000")&amp;TEXT(Overig!C667,""", ""@")&amp;SUBSTITUTE(TEXT(IF(ISTEXT(Overig!D667),Overig!D667,10*Overig!D667),""",""????0;"",""???-0;"",""????0;"", ////"""),"'","""")&amp;SUBSTITUTE(TEXT(Overig!E667,""",""?00;"",""?-00;"",""?00;"", //"""),"'","""")&amp;SUBSTITUTE(TEXT(IF(ISTEXT(Overig!F667),Overig!F667,10*Overig!F667),""",""????0;"",""???-0;"",""????0;"", ////"""),"'","""")&amp;SUBSTITUTE(TEXT(Overig!G667,""",""?00;"",""?-00;"",""?00;"", //"""),"'","""")</f>
        <v>081, 19400809, 19.45, 7480, 00,  280, 00</v>
      </c>
    </row>
    <row r="668" spans="1:1" x14ac:dyDescent="0.25">
      <c r="A668" s="25" t="str">
        <f ca="1">TEXT(Overig!A668,"000\,")&amp;TEXT(Overig!B668,"?00000000")&amp;TEXT(Overig!C668,""", ""@")&amp;SUBSTITUTE(TEXT(IF(ISTEXT(Overig!D668),Overig!D668,10*Overig!D668),""",""????0;"",""???-0;"",""????0;"", ////"""),"'","""")&amp;SUBSTITUTE(TEXT(Overig!E668,""",""?00;"",""?-00;"",""?00;"", //"""),"'","""")&amp;SUBSTITUTE(TEXT(IF(ISTEXT(Overig!F668),Overig!F668,10*Overig!F668),""",""????0;"",""???-0;"",""????0;"", ////"""),"'","""")&amp;SUBSTITUTE(TEXT(Overig!G668,""",""?00;"",""?-00;"",""?00;"", //"""),"'","""")</f>
        <v>081, 19400810, 07.45, 7490, 00,  270, 00</v>
      </c>
    </row>
    <row r="669" spans="1:1" x14ac:dyDescent="0.25">
      <c r="A669" s="25" t="str">
        <f ca="1">TEXT(Overig!A669,"000\,")&amp;TEXT(Overig!B669,"?00000000")&amp;TEXT(Overig!C669,""", ""@")&amp;SUBSTITUTE(TEXT(IF(ISTEXT(Overig!D669),Overig!D669,10*Overig!D669),""",""????0;"",""???-0;"",""????0;"", ////"""),"'","""")&amp;SUBSTITUTE(TEXT(Overig!E669,""",""?00;"",""?-00;"",""?00;"", //"""),"'","""")&amp;SUBSTITUTE(TEXT(IF(ISTEXT(Overig!F669),Overig!F669,10*Overig!F669),""",""????0;"",""???-0;"",""????0;"", ////"""),"'","""")&amp;SUBSTITUTE(TEXT(Overig!G669,""",""?00;"",""?-00;"",""?00;"", //"""),"'","""")</f>
        <v>081, 19400810, 13.45, 7480, 00,  320, 00</v>
      </c>
    </row>
    <row r="670" spans="1:1" x14ac:dyDescent="0.25">
      <c r="A670" s="25" t="str">
        <f ca="1">TEXT(Overig!A670,"000\,")&amp;TEXT(Overig!B670,"?00000000")&amp;TEXT(Overig!C670,""", ""@")&amp;SUBSTITUTE(TEXT(IF(ISTEXT(Overig!D670),Overig!D670,10*Overig!D670),""",""????0;"",""???-0;"",""????0;"", ////"""),"'","""")&amp;SUBSTITUTE(TEXT(Overig!E670,""",""?00;"",""?-00;"",""?00;"", //"""),"'","""")&amp;SUBSTITUTE(TEXT(IF(ISTEXT(Overig!F670),Overig!F670,10*Overig!F670),""",""????0;"",""???-0;"",""????0;"", ////"""),"'","""")&amp;SUBSTITUTE(TEXT(Overig!G670,""",""?00;"",""?-00;"",""?00;"", //"""),"'","""")</f>
        <v>081, 19400810, 19.45, 7480, 00,  280, 00</v>
      </c>
    </row>
    <row r="671" spans="1:1" x14ac:dyDescent="0.25">
      <c r="A671" s="25" t="str">
        <f ca="1">TEXT(Overig!A671,"000\,")&amp;TEXT(Overig!B671,"?00000000")&amp;TEXT(Overig!C671,""", ""@")&amp;SUBSTITUTE(TEXT(IF(ISTEXT(Overig!D671),Overig!D671,10*Overig!D671),""",""????0;"",""???-0;"",""????0;"", ////"""),"'","""")&amp;SUBSTITUTE(TEXT(Overig!E671,""",""?00;"",""?-00;"",""?00;"", //"""),"'","""")&amp;SUBSTITUTE(TEXT(IF(ISTEXT(Overig!F671),Overig!F671,10*Overig!F671),""",""????0;"",""???-0;"",""????0;"", ////"""),"'","""")&amp;SUBSTITUTE(TEXT(Overig!G671,""",""?00;"",""?-00;"",""?00;"", //"""),"'","""")</f>
        <v>081, 19400811, 07.45, 7480, 00,  280, 00</v>
      </c>
    </row>
    <row r="672" spans="1:1" x14ac:dyDescent="0.25">
      <c r="A672" s="25" t="str">
        <f ca="1">TEXT(Overig!A672,"000\,")&amp;TEXT(Overig!B672,"?00000000")&amp;TEXT(Overig!C672,""", ""@")&amp;SUBSTITUTE(TEXT(IF(ISTEXT(Overig!D672),Overig!D672,10*Overig!D672),""",""????0;"",""???-0;"",""????0;"", ////"""),"'","""")&amp;SUBSTITUTE(TEXT(Overig!E672,""",""?00;"",""?-00;"",""?00;"", //"""),"'","""")&amp;SUBSTITUTE(TEXT(IF(ISTEXT(Overig!F672),Overig!F672,10*Overig!F672),""",""????0;"",""???-0;"",""????0;"", ////"""),"'","""")&amp;SUBSTITUTE(TEXT(Overig!G672,""",""?00;"",""?-00;"",""?00;"", //"""),"'","""")</f>
        <v>081, 19400811, 13.45, 7470, 00,  320, 00</v>
      </c>
    </row>
    <row r="673" spans="1:1" x14ac:dyDescent="0.25">
      <c r="A673" s="25" t="str">
        <f ca="1">TEXT(Overig!A673,"000\,")&amp;TEXT(Overig!B673,"?00000000")&amp;TEXT(Overig!C673,""", ""@")&amp;SUBSTITUTE(TEXT(IF(ISTEXT(Overig!D673),Overig!D673,10*Overig!D673),""",""????0;"",""???-0;"",""????0;"", ////"""),"'","""")&amp;SUBSTITUTE(TEXT(Overig!E673,""",""?00;"",""?-00;"",""?00;"", //"""),"'","""")&amp;SUBSTITUTE(TEXT(IF(ISTEXT(Overig!F673),Overig!F673,10*Overig!F673),""",""????0;"",""???-0;"",""????0;"", ////"""),"'","""")&amp;SUBSTITUTE(TEXT(Overig!G673,""",""?00;"",""?-00;"",""?00;"", //"""),"'","""")</f>
        <v>081, 19400811, 19.45, 7470, 00,  280, 00</v>
      </c>
    </row>
    <row r="674" spans="1:1" x14ac:dyDescent="0.25">
      <c r="A674" s="25" t="str">
        <f ca="1">TEXT(Overig!A674,"000\,")&amp;TEXT(Overig!B674,"?00000000")&amp;TEXT(Overig!C674,""", ""@")&amp;SUBSTITUTE(TEXT(IF(ISTEXT(Overig!D674),Overig!D674,10*Overig!D674),""",""????0;"",""???-0;"",""????0;"", ////"""),"'","""")&amp;SUBSTITUTE(TEXT(Overig!E674,""",""?00;"",""?-00;"",""?00;"", //"""),"'","""")&amp;SUBSTITUTE(TEXT(IF(ISTEXT(Overig!F674),Overig!F674,10*Overig!F674),""",""????0;"",""???-0;"",""????0;"", ////"""),"'","""")&amp;SUBSTITUTE(TEXT(Overig!G674,""",""?00;"",""?-00;"",""?00;"", //"""),"'","""")</f>
        <v>081, 19400812, 07.45, 7480, 00,  270, 00</v>
      </c>
    </row>
    <row r="675" spans="1:1" x14ac:dyDescent="0.25">
      <c r="A675" s="25" t="str">
        <f ca="1">TEXT(Overig!A675,"000\,")&amp;TEXT(Overig!B675,"?00000000")&amp;TEXT(Overig!C675,""", ""@")&amp;SUBSTITUTE(TEXT(IF(ISTEXT(Overig!D675),Overig!D675,10*Overig!D675),""",""????0;"",""???-0;"",""????0;"", ////"""),"'","""")&amp;SUBSTITUTE(TEXT(Overig!E675,""",""?00;"",""?-00;"",""?00;"", //"""),"'","""")&amp;SUBSTITUTE(TEXT(IF(ISTEXT(Overig!F675),Overig!F675,10*Overig!F675),""",""????0;"",""???-0;"",""????0;"", ////"""),"'","""")&amp;SUBSTITUTE(TEXT(Overig!G675,""",""?00;"",""?-00;"",""?00;"", //"""),"'","""")</f>
        <v>081, 19400812, 13.45, 7480, 00,  320, 00</v>
      </c>
    </row>
    <row r="676" spans="1:1" x14ac:dyDescent="0.25">
      <c r="A676" s="25" t="str">
        <f ca="1">TEXT(Overig!A676,"000\,")&amp;TEXT(Overig!B676,"?00000000")&amp;TEXT(Overig!C676,""", ""@")&amp;SUBSTITUTE(TEXT(IF(ISTEXT(Overig!D676),Overig!D676,10*Overig!D676),""",""????0;"",""???-0;"",""????0;"", ////"""),"'","""")&amp;SUBSTITUTE(TEXT(Overig!E676,""",""?00;"",""?-00;"",""?00;"", //"""),"'","""")&amp;SUBSTITUTE(TEXT(IF(ISTEXT(Overig!F676),Overig!F676,10*Overig!F676),""",""????0;"",""???-0;"",""????0;"", ////"""),"'","""")&amp;SUBSTITUTE(TEXT(Overig!G676,""",""?00;"",""?-00;"",""?00;"", //"""),"'","""")</f>
        <v>081, 19400812, 19.45, 7480, 00,  290, 00</v>
      </c>
    </row>
    <row r="677" spans="1:1" x14ac:dyDescent="0.25">
      <c r="A677" s="25" t="str">
        <f ca="1">TEXT(Overig!A677,"000\,")&amp;TEXT(Overig!B677,"?00000000")&amp;TEXT(Overig!C677,""", ""@")&amp;SUBSTITUTE(TEXT(IF(ISTEXT(Overig!D677),Overig!D677,10*Overig!D677),""",""????0;"",""???-0;"",""????0;"", ////"""),"'","""")&amp;SUBSTITUTE(TEXT(Overig!E677,""",""?00;"",""?-00;"",""?00;"", //"""),"'","""")&amp;SUBSTITUTE(TEXT(IF(ISTEXT(Overig!F677),Overig!F677,10*Overig!F677),""",""????0;"",""???-0;"",""????0;"", ////"""),"'","""")&amp;SUBSTITUTE(TEXT(Overig!G677,""",""?00;"",""?-00;"",""?00;"", //"""),"'","""")</f>
        <v>081, 19400813, 07.45, 7490, 00,  280, 00</v>
      </c>
    </row>
    <row r="678" spans="1:1" x14ac:dyDescent="0.25">
      <c r="A678" s="25" t="str">
        <f ca="1">TEXT(Overig!A678,"000\,")&amp;TEXT(Overig!B678,"?00000000")&amp;TEXT(Overig!C678,""", ""@")&amp;SUBSTITUTE(TEXT(IF(ISTEXT(Overig!D678),Overig!D678,10*Overig!D678),""",""????0;"",""???-0;"",""????0;"", ////"""),"'","""")&amp;SUBSTITUTE(TEXT(Overig!E678,""",""?00;"",""?-00;"",""?00;"", //"""),"'","""")&amp;SUBSTITUTE(TEXT(IF(ISTEXT(Overig!F678),Overig!F678,10*Overig!F678),""",""????0;"",""???-0;"",""????0;"", ////"""),"'","""")&amp;SUBSTITUTE(TEXT(Overig!G678,""",""?00;"",""?-00;"",""?00;"", //"""),"'","""")</f>
        <v>081, 19400813, 13.45, 7480, 00,  320, 00</v>
      </c>
    </row>
    <row r="679" spans="1:1" x14ac:dyDescent="0.25">
      <c r="A679" s="25" t="str">
        <f ca="1">TEXT(Overig!A679,"000\,")&amp;TEXT(Overig!B679,"?00000000")&amp;TEXT(Overig!C679,""", ""@")&amp;SUBSTITUTE(TEXT(IF(ISTEXT(Overig!D679),Overig!D679,10*Overig!D679),""",""????0;"",""???-0;"",""????0;"", ////"""),"'","""")&amp;SUBSTITUTE(TEXT(Overig!E679,""",""?00;"",""?-00;"",""?00;"", //"""),"'","""")&amp;SUBSTITUTE(TEXT(IF(ISTEXT(Overig!F679),Overig!F679,10*Overig!F679),""",""????0;"",""???-0;"",""????0;"", ////"""),"'","""")&amp;SUBSTITUTE(TEXT(Overig!G679,""",""?00;"",""?-00;"",""?00;"", //"""),"'","""")</f>
        <v>081, 19400813, 19.45, 7490, 00,  290, 00</v>
      </c>
    </row>
    <row r="680" spans="1:1" x14ac:dyDescent="0.25">
      <c r="A680" s="25" t="str">
        <f ca="1">TEXT(Overig!A680,"000\,")&amp;TEXT(Overig!B680,"?00000000")&amp;TEXT(Overig!C680,""", ""@")&amp;SUBSTITUTE(TEXT(IF(ISTEXT(Overig!D680),Overig!D680,10*Overig!D680),""",""????0;"",""???-0;"",""????0;"", ////"""),"'","""")&amp;SUBSTITUTE(TEXT(Overig!E680,""",""?00;"",""?-00;"",""?00;"", //"""),"'","""")&amp;SUBSTITUTE(TEXT(IF(ISTEXT(Overig!F680),Overig!F680,10*Overig!F680),""",""????0;"",""???-0;"",""????0;"", ////"""),"'","""")&amp;SUBSTITUTE(TEXT(Overig!G680,""",""?00;"",""?-00;"",""?00;"", //"""),"'","""")</f>
        <v>081, 19400814, 07.45, 7490, 00,  280, 00</v>
      </c>
    </row>
    <row r="681" spans="1:1" x14ac:dyDescent="0.25">
      <c r="A681" s="25" t="str">
        <f ca="1">TEXT(Overig!A681,"000\,")&amp;TEXT(Overig!B681,"?00000000")&amp;TEXT(Overig!C681,""", ""@")&amp;SUBSTITUTE(TEXT(IF(ISTEXT(Overig!D681),Overig!D681,10*Overig!D681),""",""????0;"",""???-0;"",""????0;"", ////"""),"'","""")&amp;SUBSTITUTE(TEXT(Overig!E681,""",""?00;"",""?-00;"",""?00;"", //"""),"'","""")&amp;SUBSTITUTE(TEXT(IF(ISTEXT(Overig!F681),Overig!F681,10*Overig!F681),""",""????0;"",""???-0;"",""????0;"", ////"""),"'","""")&amp;SUBSTITUTE(TEXT(Overig!G681,""",""?00;"",""?-00;"",""?00;"", //"""),"'","""")</f>
        <v>081, 19400814, 13.45, 7480, 00,  310, 00</v>
      </c>
    </row>
    <row r="682" spans="1:1" x14ac:dyDescent="0.25">
      <c r="A682" s="25" t="str">
        <f ca="1">TEXT(Overig!A682,"000\,")&amp;TEXT(Overig!B682,"?00000000")&amp;TEXT(Overig!C682,""", ""@")&amp;SUBSTITUTE(TEXT(IF(ISTEXT(Overig!D682),Overig!D682,10*Overig!D682),""",""????0;"",""???-0;"",""????0;"", ////"""),"'","""")&amp;SUBSTITUTE(TEXT(Overig!E682,""",""?00;"",""?-00;"",""?00;"", //"""),"'","""")&amp;SUBSTITUTE(TEXT(IF(ISTEXT(Overig!F682),Overig!F682,10*Overig!F682),""",""????0;"",""???-0;"",""????0;"", ////"""),"'","""")&amp;SUBSTITUTE(TEXT(Overig!G682,""",""?00;"",""?-00;"",""?00;"", //"""),"'","""")</f>
        <v>081, 19400814, 19.45, 7490, 00,  290, 00</v>
      </c>
    </row>
    <row r="683" spans="1:1" x14ac:dyDescent="0.25">
      <c r="A683" s="25" t="str">
        <f ca="1">TEXT(Overig!A683,"000\,")&amp;TEXT(Overig!B683,"?00000000")&amp;TEXT(Overig!C683,""", ""@")&amp;SUBSTITUTE(TEXT(IF(ISTEXT(Overig!D683),Overig!D683,10*Overig!D683),""",""????0;"",""???-0;"",""????0;"", ////"""),"'","""")&amp;SUBSTITUTE(TEXT(Overig!E683,""",""?00;"",""?-00;"",""?00;"", //"""),"'","""")&amp;SUBSTITUTE(TEXT(IF(ISTEXT(Overig!F683),Overig!F683,10*Overig!F683),""",""????0;"",""???-0;"",""????0;"", ////"""),"'","""")&amp;SUBSTITUTE(TEXT(Overig!G683,""",""?00;"",""?-00;"",""?00;"", //"""),"'","""")</f>
        <v>081, 19400815, 07.45, 7480, 00,  280, 00</v>
      </c>
    </row>
    <row r="684" spans="1:1" x14ac:dyDescent="0.25">
      <c r="A684" s="25" t="str">
        <f ca="1">TEXT(Overig!A684,"000\,")&amp;TEXT(Overig!B684,"?00000000")&amp;TEXT(Overig!C684,""", ""@")&amp;SUBSTITUTE(TEXT(IF(ISTEXT(Overig!D684),Overig!D684,10*Overig!D684),""",""????0;"",""???-0;"",""????0;"", ////"""),"'","""")&amp;SUBSTITUTE(TEXT(Overig!E684,""",""?00;"",""?-00;"",""?00;"", //"""),"'","""")&amp;SUBSTITUTE(TEXT(IF(ISTEXT(Overig!F684),Overig!F684,10*Overig!F684),""",""????0;"",""???-0;"",""????0;"", ////"""),"'","""")&amp;SUBSTITUTE(TEXT(Overig!G684,""",""?00;"",""?-00;"",""?00;"", //"""),"'","""")</f>
        <v>081, 19400815, 13.45, 7480, 00,  310, 00</v>
      </c>
    </row>
    <row r="685" spans="1:1" x14ac:dyDescent="0.25">
      <c r="A685" s="25" t="str">
        <f ca="1">TEXT(Overig!A685,"000\,")&amp;TEXT(Overig!B685,"?00000000")&amp;TEXT(Overig!C685,""", ""@")&amp;SUBSTITUTE(TEXT(IF(ISTEXT(Overig!D685),Overig!D685,10*Overig!D685),""",""????0;"",""???-0;"",""????0;"", ////"""),"'","""")&amp;SUBSTITUTE(TEXT(Overig!E685,""",""?00;"",""?-00;"",""?00;"", //"""),"'","""")&amp;SUBSTITUTE(TEXT(IF(ISTEXT(Overig!F685),Overig!F685,10*Overig!F685),""",""????0;"",""???-0;"",""????0;"", ////"""),"'","""")&amp;SUBSTITUTE(TEXT(Overig!G685,""",""?00;"",""?-00;"",""?00;"", //"""),"'","""")</f>
        <v>081, 19400815, 19.45, 7480, 00,  290, 00</v>
      </c>
    </row>
    <row r="686" spans="1:1" x14ac:dyDescent="0.25">
      <c r="A686" s="25" t="str">
        <f ca="1">TEXT(Overig!A686,"000\,")&amp;TEXT(Overig!B686,"?00000000")&amp;TEXT(Overig!C686,""", ""@")&amp;SUBSTITUTE(TEXT(IF(ISTEXT(Overig!D686),Overig!D686,10*Overig!D686),""",""????0;"",""???-0;"",""????0;"", ////"""),"'","""")&amp;SUBSTITUTE(TEXT(Overig!E686,""",""?00;"",""?-00;"",""?00;"", //"""),"'","""")&amp;SUBSTITUTE(TEXT(IF(ISTEXT(Overig!F686),Overig!F686,10*Overig!F686),""",""????0;"",""???-0;"",""????0;"", ////"""),"'","""")&amp;SUBSTITUTE(TEXT(Overig!G686,""",""?00;"",""?-00;"",""?00;"", //"""),"'","""")</f>
        <v>081, 19400816, 07.45, 7480, 00,  270, 00</v>
      </c>
    </row>
    <row r="687" spans="1:1" x14ac:dyDescent="0.25">
      <c r="A687" s="25" t="str">
        <f ca="1">TEXT(Overig!A687,"000\,")&amp;TEXT(Overig!B687,"?00000000")&amp;TEXT(Overig!C687,""", ""@")&amp;SUBSTITUTE(TEXT(IF(ISTEXT(Overig!D687),Overig!D687,10*Overig!D687),""",""????0;"",""???-0;"",""????0;"", ////"""),"'","""")&amp;SUBSTITUTE(TEXT(Overig!E687,""",""?00;"",""?-00;"",""?00;"", //"""),"'","""")&amp;SUBSTITUTE(TEXT(IF(ISTEXT(Overig!F687),Overig!F687,10*Overig!F687),""",""????0;"",""???-0;"",""????0;"", ////"""),"'","""")&amp;SUBSTITUTE(TEXT(Overig!G687,""",""?00;"",""?-00;"",""?00;"", //"""),"'","""")</f>
        <v>081, 19400816, 13.45, 7480, 00,  300, 00</v>
      </c>
    </row>
    <row r="688" spans="1:1" x14ac:dyDescent="0.25">
      <c r="A688" s="25" t="str">
        <f ca="1">TEXT(Overig!A688,"000\,")&amp;TEXT(Overig!B688,"?00000000")&amp;TEXT(Overig!C688,""", ""@")&amp;SUBSTITUTE(TEXT(IF(ISTEXT(Overig!D688),Overig!D688,10*Overig!D688),""",""????0;"",""???-0;"",""????0;"", ////"""),"'","""")&amp;SUBSTITUTE(TEXT(Overig!E688,""",""?00;"",""?-00;"",""?00;"", //"""),"'","""")&amp;SUBSTITUTE(TEXT(IF(ISTEXT(Overig!F688),Overig!F688,10*Overig!F688),""",""????0;"",""???-0;"",""????0;"", ////"""),"'","""")&amp;SUBSTITUTE(TEXT(Overig!G688,""",""?00;"",""?-00;"",""?00;"", //"""),"'","""")</f>
        <v>081, 19400816, 19.45, 7480, 00,  290, 00</v>
      </c>
    </row>
    <row r="689" spans="1:1" x14ac:dyDescent="0.25">
      <c r="A689" s="25" t="str">
        <f ca="1">TEXT(Overig!A689,"000\,")&amp;TEXT(Overig!B689,"?00000000")&amp;TEXT(Overig!C689,""", ""@")&amp;SUBSTITUTE(TEXT(IF(ISTEXT(Overig!D689),Overig!D689,10*Overig!D689),""",""????0;"",""???-0;"",""????0;"", ////"""),"'","""")&amp;SUBSTITUTE(TEXT(Overig!E689,""",""?00;"",""?-00;"",""?00;"", //"""),"'","""")&amp;SUBSTITUTE(TEXT(IF(ISTEXT(Overig!F689),Overig!F689,10*Overig!F689),""",""????0;"",""???-0;"",""????0;"", ////"""),"'","""")&amp;SUBSTITUTE(TEXT(Overig!G689,""",""?00;"",""?-00;"",""?00;"", //"""),"'","""")</f>
        <v>081, 19400817, 07.45, 7470, 00,  280, 00</v>
      </c>
    </row>
    <row r="690" spans="1:1" x14ac:dyDescent="0.25">
      <c r="A690" s="25" t="str">
        <f ca="1">TEXT(Overig!A690,"000\,")&amp;TEXT(Overig!B690,"?00000000")&amp;TEXT(Overig!C690,""", ""@")&amp;SUBSTITUTE(TEXT(IF(ISTEXT(Overig!D690),Overig!D690,10*Overig!D690),""",""????0;"",""???-0;"",""????0;"", ////"""),"'","""")&amp;SUBSTITUTE(TEXT(Overig!E690,""",""?00;"",""?-00;"",""?00;"", //"""),"'","""")&amp;SUBSTITUTE(TEXT(IF(ISTEXT(Overig!F690),Overig!F690,10*Overig!F690),""",""????0;"",""???-0;"",""????0;"", ////"""),"'","""")&amp;SUBSTITUTE(TEXT(Overig!G690,""",""?00;"",""?-00;"",""?00;"", //"""),"'","""")</f>
        <v>081, 19400817, 13.45, 7480, 00,  310, 00</v>
      </c>
    </row>
    <row r="691" spans="1:1" x14ac:dyDescent="0.25">
      <c r="A691" s="25" t="str">
        <f ca="1">TEXT(Overig!A691,"000\,")&amp;TEXT(Overig!B691,"?00000000")&amp;TEXT(Overig!C691,""", ""@")&amp;SUBSTITUTE(TEXT(IF(ISTEXT(Overig!D691),Overig!D691,10*Overig!D691),""",""????0;"",""???-0;"",""????0;"", ////"""),"'","""")&amp;SUBSTITUTE(TEXT(Overig!E691,""",""?00;"",""?-00;"",""?00;"", //"""),"'","""")&amp;SUBSTITUTE(TEXT(IF(ISTEXT(Overig!F691),Overig!F691,10*Overig!F691),""",""????0;"",""???-0;"",""????0;"", ////"""),"'","""")&amp;SUBSTITUTE(TEXT(Overig!G691,""",""?00;"",""?-00;"",""?00;"", //"""),"'","""")</f>
        <v>081, 19400817, 19.45, 7480, 00,  290, 00</v>
      </c>
    </row>
    <row r="692" spans="1:1" x14ac:dyDescent="0.25">
      <c r="A692" s="25" t="str">
        <f ca="1">TEXT(Overig!A692,"000\,")&amp;TEXT(Overig!B692,"?00000000")&amp;TEXT(Overig!C692,""", ""@")&amp;SUBSTITUTE(TEXT(IF(ISTEXT(Overig!D692),Overig!D692,10*Overig!D692),""",""????0;"",""???-0;"",""????0;"", ////"""),"'","""")&amp;SUBSTITUTE(TEXT(Overig!E692,""",""?00;"",""?-00;"",""?00;"", //"""),"'","""")&amp;SUBSTITUTE(TEXT(IF(ISTEXT(Overig!F692),Overig!F692,10*Overig!F692),""",""????0;"",""???-0;"",""????0;"", ////"""),"'","""")&amp;SUBSTITUTE(TEXT(Overig!G692,""",""?00;"",""?-00;"",""?00;"", //"""),"'","""")</f>
        <v>081, 19400818, 07.45, 7480, 00,  270, 00</v>
      </c>
    </row>
    <row r="693" spans="1:1" x14ac:dyDescent="0.25">
      <c r="A693" s="25" t="str">
        <f ca="1">TEXT(Overig!A693,"000\,")&amp;TEXT(Overig!B693,"?00000000")&amp;TEXT(Overig!C693,""", ""@")&amp;SUBSTITUTE(TEXT(IF(ISTEXT(Overig!D693),Overig!D693,10*Overig!D693),""",""????0;"",""???-0;"",""????0;"", ////"""),"'","""")&amp;SUBSTITUTE(TEXT(Overig!E693,""",""?00;"",""?-00;"",""?00;"", //"""),"'","""")&amp;SUBSTITUTE(TEXT(IF(ISTEXT(Overig!F693),Overig!F693,10*Overig!F693),""",""????0;"",""???-0;"",""????0;"", ////"""),"'","""")&amp;SUBSTITUTE(TEXT(Overig!G693,""",""?00;"",""?-00;"",""?00;"", //"""),"'","""")</f>
        <v>081, 19400818, 13.45, 7480, 00,  290, 00</v>
      </c>
    </row>
    <row r="694" spans="1:1" x14ac:dyDescent="0.25">
      <c r="A694" s="25" t="str">
        <f ca="1">TEXT(Overig!A694,"000\,")&amp;TEXT(Overig!B694,"?00000000")&amp;TEXT(Overig!C694,""", ""@")&amp;SUBSTITUTE(TEXT(IF(ISTEXT(Overig!D694),Overig!D694,10*Overig!D694),""",""????0;"",""???-0;"",""????0;"", ////"""),"'","""")&amp;SUBSTITUTE(TEXT(Overig!E694,""",""?00;"",""?-00;"",""?00;"", //"""),"'","""")&amp;SUBSTITUTE(TEXT(IF(ISTEXT(Overig!F694),Overig!F694,10*Overig!F694),""",""????0;"",""???-0;"",""????0;"", ////"""),"'","""")&amp;SUBSTITUTE(TEXT(Overig!G694,""",""?00;"",""?-00;"",""?00;"", //"""),"'","""")</f>
        <v>081, 19400818, 19.45, 7480, 00,  280, 00</v>
      </c>
    </row>
    <row r="695" spans="1:1" x14ac:dyDescent="0.25">
      <c r="A695" s="25" t="str">
        <f ca="1">TEXT(Overig!A695,"000\,")&amp;TEXT(Overig!B695,"?00000000")&amp;TEXT(Overig!C695,""", ""@")&amp;SUBSTITUTE(TEXT(IF(ISTEXT(Overig!D695),Overig!D695,10*Overig!D695),""",""????0;"",""???-0;"",""????0;"", ////"""),"'","""")&amp;SUBSTITUTE(TEXT(Overig!E695,""",""?00;"",""?-00;"",""?00;"", //"""),"'","""")&amp;SUBSTITUTE(TEXT(IF(ISTEXT(Overig!F695),Overig!F695,10*Overig!F695),""",""????0;"",""???-0;"",""????0;"", ////"""),"'","""")&amp;SUBSTITUTE(TEXT(Overig!G695,""",""?00;"",""?-00;"",""?00;"", //"""),"'","""")</f>
        <v>081, 19400819, 07.45, 7480, 00,  270, 00</v>
      </c>
    </row>
    <row r="696" spans="1:1" x14ac:dyDescent="0.25">
      <c r="A696" s="25" t="str">
        <f ca="1">TEXT(Overig!A696,"000\,")&amp;TEXT(Overig!B696,"?00000000")&amp;TEXT(Overig!C696,""", ""@")&amp;SUBSTITUTE(TEXT(IF(ISTEXT(Overig!D696),Overig!D696,10*Overig!D696),""",""????0;"",""???-0;"",""????0;"", ////"""),"'","""")&amp;SUBSTITUTE(TEXT(Overig!E696,""",""?00;"",""?-00;"",""?00;"", //"""),"'","""")&amp;SUBSTITUTE(TEXT(IF(ISTEXT(Overig!F696),Overig!F696,10*Overig!F696),""",""????0;"",""???-0;"",""????0;"", ////"""),"'","""")&amp;SUBSTITUTE(TEXT(Overig!G696,""",""?00;"",""?-00;"",""?00;"", //"""),"'","""")</f>
        <v>081, 19400819, 13.45, 7480, 00,  300, 00</v>
      </c>
    </row>
    <row r="697" spans="1:1" x14ac:dyDescent="0.25">
      <c r="A697" s="25" t="str">
        <f ca="1">TEXT(Overig!A697,"000\,")&amp;TEXT(Overig!B697,"?00000000")&amp;TEXT(Overig!C697,""", ""@")&amp;SUBSTITUTE(TEXT(IF(ISTEXT(Overig!D697),Overig!D697,10*Overig!D697),""",""????0;"",""???-0;"",""????0;"", ////"""),"'","""")&amp;SUBSTITUTE(TEXT(Overig!E697,""",""?00;"",""?-00;"",""?00;"", //"""),"'","""")&amp;SUBSTITUTE(TEXT(IF(ISTEXT(Overig!F697),Overig!F697,10*Overig!F697),""",""????0;"",""???-0;"",""????0;"", ////"""),"'","""")&amp;SUBSTITUTE(TEXT(Overig!G697,""",""?00;"",""?-00;"",""?00;"", //"""),"'","""")</f>
        <v>081, 19400819, 19.45, 7470, 00,  280, 00</v>
      </c>
    </row>
    <row r="698" spans="1:1" x14ac:dyDescent="0.25">
      <c r="A698" s="25" t="str">
        <f ca="1">TEXT(Overig!A698,"000\,")&amp;TEXT(Overig!B698,"?00000000")&amp;TEXT(Overig!C698,""", ""@")&amp;SUBSTITUTE(TEXT(IF(ISTEXT(Overig!D698),Overig!D698,10*Overig!D698),""",""????0;"",""???-0;"",""????0;"", ////"""),"'","""")&amp;SUBSTITUTE(TEXT(Overig!E698,""",""?00;"",""?-00;"",""?00;"", //"""),"'","""")&amp;SUBSTITUTE(TEXT(IF(ISTEXT(Overig!F698),Overig!F698,10*Overig!F698),""",""????0;"",""???-0;"",""????0;"", ////"""),"'","""")&amp;SUBSTITUTE(TEXT(Overig!G698,""",""?00;"",""?-00;"",""?00;"", //"""),"'","""")</f>
        <v>081, 19400820, 07.45, 7480, 00,  270, 00</v>
      </c>
    </row>
    <row r="699" spans="1:1" x14ac:dyDescent="0.25">
      <c r="A699" s="25" t="str">
        <f ca="1">TEXT(Overig!A699,"000\,")&amp;TEXT(Overig!B699,"?00000000")&amp;TEXT(Overig!C699,""", ""@")&amp;SUBSTITUTE(TEXT(IF(ISTEXT(Overig!D699),Overig!D699,10*Overig!D699),""",""????0;"",""???-0;"",""????0;"", ////"""),"'","""")&amp;SUBSTITUTE(TEXT(Overig!E699,""",""?00;"",""?-00;"",""?00;"", //"""),"'","""")&amp;SUBSTITUTE(TEXT(IF(ISTEXT(Overig!F699),Overig!F699,10*Overig!F699),""",""????0;"",""???-0;"",""????0;"", ////"""),"'","""")&amp;SUBSTITUTE(TEXT(Overig!G699,""",""?00;"",""?-00;"",""?00;"", //"""),"'","""")</f>
        <v>081, 19400820, 13.45, 7490, 00,  330, 00</v>
      </c>
    </row>
    <row r="700" spans="1:1" x14ac:dyDescent="0.25">
      <c r="A700" s="25" t="str">
        <f ca="1">TEXT(Overig!A700,"000\,")&amp;TEXT(Overig!B700,"?00000000")&amp;TEXT(Overig!C700,""", ""@")&amp;SUBSTITUTE(TEXT(IF(ISTEXT(Overig!D700),Overig!D700,10*Overig!D700),""",""????0;"",""???-0;"",""????0;"", ////"""),"'","""")&amp;SUBSTITUTE(TEXT(Overig!E700,""",""?00;"",""?-00;"",""?00;"", //"""),"'","""")&amp;SUBSTITUTE(TEXT(IF(ISTEXT(Overig!F700),Overig!F700,10*Overig!F700),""",""????0;"",""???-0;"",""????0;"", ////"""),"'","""")&amp;SUBSTITUTE(TEXT(Overig!G700,""",""?00;"",""?-00;"",""?00;"", //"""),"'","""")</f>
        <v>081, 19400820, 19.45, 7490, 00,  300, 00</v>
      </c>
    </row>
    <row r="701" spans="1:1" x14ac:dyDescent="0.25">
      <c r="A701" s="25" t="str">
        <f ca="1">TEXT(Overig!A701,"000\,")&amp;TEXT(Overig!B701,"?00000000")&amp;TEXT(Overig!C701,""", ""@")&amp;SUBSTITUTE(TEXT(IF(ISTEXT(Overig!D701),Overig!D701,10*Overig!D701),""",""????0;"",""???-0;"",""????0;"", ////"""),"'","""")&amp;SUBSTITUTE(TEXT(Overig!E701,""",""?00;"",""?-00;"",""?00;"", //"""),"'","""")&amp;SUBSTITUTE(TEXT(IF(ISTEXT(Overig!F701),Overig!F701,10*Overig!F701),""",""????0;"",""???-0;"",""????0;"", ////"""),"'","""")&amp;SUBSTITUTE(TEXT(Overig!G701,""",""?00;"",""?-00;"",""?00;"", //"""),"'","""")</f>
        <v>081, 19400821, 07.45, 7480, 00,  290, 00</v>
      </c>
    </row>
    <row r="702" spans="1:1" x14ac:dyDescent="0.25">
      <c r="A702" s="25" t="str">
        <f ca="1">TEXT(Overig!A702,"000\,")&amp;TEXT(Overig!B702,"?00000000")&amp;TEXT(Overig!C702,""", ""@")&amp;SUBSTITUTE(TEXT(IF(ISTEXT(Overig!D702),Overig!D702,10*Overig!D702),""",""????0;"",""???-0;"",""????0;"", ////"""),"'","""")&amp;SUBSTITUTE(TEXT(Overig!E702,""",""?00;"",""?-00;"",""?00;"", //"""),"'","""")&amp;SUBSTITUTE(TEXT(IF(ISTEXT(Overig!F702),Overig!F702,10*Overig!F702),""",""????0;"",""???-0;"",""????0;"", ////"""),"'","""")&amp;SUBSTITUTE(TEXT(Overig!G702,""",""?00;"",""?-00;"",""?00;"", //"""),"'","""")</f>
        <v>081, 19400821, 13.45, 7480, 00,  310, 00</v>
      </c>
    </row>
    <row r="703" spans="1:1" x14ac:dyDescent="0.25">
      <c r="A703" s="25" t="str">
        <f ca="1">TEXT(Overig!A703,"000\,")&amp;TEXT(Overig!B703,"?00000000")&amp;TEXT(Overig!C703,""", ""@")&amp;SUBSTITUTE(TEXT(IF(ISTEXT(Overig!D703),Overig!D703,10*Overig!D703),""",""????0;"",""???-0;"",""????0;"", ////"""),"'","""")&amp;SUBSTITUTE(TEXT(Overig!E703,""",""?00;"",""?-00;"",""?00;"", //"""),"'","""")&amp;SUBSTITUTE(TEXT(IF(ISTEXT(Overig!F703),Overig!F703,10*Overig!F703),""",""????0;"",""???-0;"",""????0;"", ////"""),"'","""")&amp;SUBSTITUTE(TEXT(Overig!G703,""",""?00;"",""?-00;"",""?00;"", //"""),"'","""")</f>
        <v>081, 19400821, 19.45, 7480, 00,  290, 00</v>
      </c>
    </row>
    <row r="704" spans="1:1" x14ac:dyDescent="0.25">
      <c r="A704" s="25" t="str">
        <f ca="1">TEXT(Overig!A704,"000\,")&amp;TEXT(Overig!B704,"?00000000")&amp;TEXT(Overig!C704,""", ""@")&amp;SUBSTITUTE(TEXT(IF(ISTEXT(Overig!D704),Overig!D704,10*Overig!D704),""",""????0;"",""???-0;"",""????0;"", ////"""),"'","""")&amp;SUBSTITUTE(TEXT(Overig!E704,""",""?00;"",""?-00;"",""?00;"", //"""),"'","""")&amp;SUBSTITUTE(TEXT(IF(ISTEXT(Overig!F704),Overig!F704,10*Overig!F704),""",""????0;"",""???-0;"",""????0;"", ////"""),"'","""")&amp;SUBSTITUTE(TEXT(Overig!G704,""",""?00;"",""?-00;"",""?00;"", //"""),"'","""")</f>
        <v>081, 19400822, 07.45, 7480, 00,  280, 00</v>
      </c>
    </row>
    <row r="705" spans="1:1" x14ac:dyDescent="0.25">
      <c r="A705" s="25" t="str">
        <f ca="1">TEXT(Overig!A705,"000\,")&amp;TEXT(Overig!B705,"?00000000")&amp;TEXT(Overig!C705,""", ""@")&amp;SUBSTITUTE(TEXT(IF(ISTEXT(Overig!D705),Overig!D705,10*Overig!D705),""",""????0;"",""???-0;"",""????0;"", ////"""),"'","""")&amp;SUBSTITUTE(TEXT(Overig!E705,""",""?00;"",""?-00;"",""?00;"", //"""),"'","""")&amp;SUBSTITUTE(TEXT(IF(ISTEXT(Overig!F705),Overig!F705,10*Overig!F705),""",""????0;"",""???-0;"",""????0;"", ////"""),"'","""")&amp;SUBSTITUTE(TEXT(Overig!G705,""",""?00;"",""?-00;"",""?00;"", //"""),"'","""")</f>
        <v>081, 19400822, 13.45, 7480, 00,  310, 00</v>
      </c>
    </row>
    <row r="706" spans="1:1" x14ac:dyDescent="0.25">
      <c r="A706" s="25" t="str">
        <f ca="1">TEXT(Overig!A706,"000\,")&amp;TEXT(Overig!B706,"?00000000")&amp;TEXT(Overig!C706,""", ""@")&amp;SUBSTITUTE(TEXT(IF(ISTEXT(Overig!D706),Overig!D706,10*Overig!D706),""",""????0;"",""???-0;"",""????0;"", ////"""),"'","""")&amp;SUBSTITUTE(TEXT(Overig!E706,""",""?00;"",""?-00;"",""?00;"", //"""),"'","""")&amp;SUBSTITUTE(TEXT(IF(ISTEXT(Overig!F706),Overig!F706,10*Overig!F706),""",""????0;"",""???-0;"",""????0;"", ////"""),"'","""")&amp;SUBSTITUTE(TEXT(Overig!G706,""",""?00;"",""?-00;"",""?00;"", //"""),"'","""")</f>
        <v>081, 19400822, 19.45, 7480, 00,  290, 00</v>
      </c>
    </row>
    <row r="707" spans="1:1" x14ac:dyDescent="0.25">
      <c r="A707" s="25" t="str">
        <f ca="1">TEXT(Overig!A707,"000\,")&amp;TEXT(Overig!B707,"?00000000")&amp;TEXT(Overig!C707,""", ""@")&amp;SUBSTITUTE(TEXT(IF(ISTEXT(Overig!D707),Overig!D707,10*Overig!D707),""",""????0;"",""???-0;"",""????0;"", ////"""),"'","""")&amp;SUBSTITUTE(TEXT(Overig!E707,""",""?00;"",""?-00;"",""?00;"", //"""),"'","""")&amp;SUBSTITUTE(TEXT(IF(ISTEXT(Overig!F707),Overig!F707,10*Overig!F707),""",""????0;"",""???-0;"",""????0;"", ////"""),"'","""")&amp;SUBSTITUTE(TEXT(Overig!G707,""",""?00;"",""?-00;"",""?00;"", //"""),"'","""")</f>
        <v>081, 19400823, 07.45, 7480, 00,  280, 00</v>
      </c>
    </row>
    <row r="708" spans="1:1" x14ac:dyDescent="0.25">
      <c r="A708" s="25" t="str">
        <f ca="1">TEXT(Overig!A708,"000\,")&amp;TEXT(Overig!B708,"?00000000")&amp;TEXT(Overig!C708,""", ""@")&amp;SUBSTITUTE(TEXT(IF(ISTEXT(Overig!D708),Overig!D708,10*Overig!D708),""",""????0;"",""???-0;"",""????0;"", ////"""),"'","""")&amp;SUBSTITUTE(TEXT(Overig!E708,""",""?00;"",""?-00;"",""?00;"", //"""),"'","""")&amp;SUBSTITUTE(TEXT(IF(ISTEXT(Overig!F708),Overig!F708,10*Overig!F708),""",""????0;"",""???-0;"",""????0;"", ////"""),"'","""")&amp;SUBSTITUTE(TEXT(Overig!G708,""",""?00;"",""?-00;"",""?00;"", //"""),"'","""")</f>
        <v>081, 19400823, 13.45, 7480, 00,  310, 00</v>
      </c>
    </row>
    <row r="709" spans="1:1" x14ac:dyDescent="0.25">
      <c r="A709" s="25" t="str">
        <f ca="1">TEXT(Overig!A709,"000\,")&amp;TEXT(Overig!B709,"?00000000")&amp;TEXT(Overig!C709,""", ""@")&amp;SUBSTITUTE(TEXT(IF(ISTEXT(Overig!D709),Overig!D709,10*Overig!D709),""",""????0;"",""???-0;"",""????0;"", ////"""),"'","""")&amp;SUBSTITUTE(TEXT(Overig!E709,""",""?00;"",""?-00;"",""?00;"", //"""),"'","""")&amp;SUBSTITUTE(TEXT(IF(ISTEXT(Overig!F709),Overig!F709,10*Overig!F709),""",""????0;"",""???-0;"",""????0;"", ////"""),"'","""")&amp;SUBSTITUTE(TEXT(Overig!G709,""",""?00;"",""?-00;"",""?00;"", //"""),"'","""")</f>
        <v>081, 19400823, 19.45, 7490, 00,  290, 00</v>
      </c>
    </row>
    <row r="710" spans="1:1" x14ac:dyDescent="0.25">
      <c r="A710" s="25" t="str">
        <f ca="1">TEXT(Overig!A710,"000\,")&amp;TEXT(Overig!B710,"?00000000")&amp;TEXT(Overig!C710,""", ""@")&amp;SUBSTITUTE(TEXT(IF(ISTEXT(Overig!D710),Overig!D710,10*Overig!D710),""",""????0;"",""???-0;"",""????0;"", ////"""),"'","""")&amp;SUBSTITUTE(TEXT(Overig!E710,""",""?00;"",""?-00;"",""?00;"", //"""),"'","""")&amp;SUBSTITUTE(TEXT(IF(ISTEXT(Overig!F710),Overig!F710,10*Overig!F710),""",""????0;"",""???-0;"",""????0;"", ////"""),"'","""")&amp;SUBSTITUTE(TEXT(Overig!G710,""",""?00;"",""?-00;"",""?00;"", //"""),"'","""")</f>
        <v>081, 19400824, 07.45, 7490, 00,  290, 00</v>
      </c>
    </row>
    <row r="711" spans="1:1" x14ac:dyDescent="0.25">
      <c r="A711" s="25" t="str">
        <f ca="1">TEXT(Overig!A711,"000\,")&amp;TEXT(Overig!B711,"?00000000")&amp;TEXT(Overig!C711,""", ""@")&amp;SUBSTITUTE(TEXT(IF(ISTEXT(Overig!D711),Overig!D711,10*Overig!D711),""",""????0;"",""???-0;"",""????0;"", ////"""),"'","""")&amp;SUBSTITUTE(TEXT(Overig!E711,""",""?00;"",""?-00;"",""?00;"", //"""),"'","""")&amp;SUBSTITUTE(TEXT(IF(ISTEXT(Overig!F711),Overig!F711,10*Overig!F711),""",""????0;"",""???-0;"",""????0;"", ////"""),"'","""")&amp;SUBSTITUTE(TEXT(Overig!G711,""",""?00;"",""?-00;"",""?00;"", //"""),"'","""")</f>
        <v>081, 19400824, 13.45, 7490, 00,  310, 00</v>
      </c>
    </row>
    <row r="712" spans="1:1" x14ac:dyDescent="0.25">
      <c r="A712" s="25" t="str">
        <f ca="1">TEXT(Overig!A712,"000\,")&amp;TEXT(Overig!B712,"?00000000")&amp;TEXT(Overig!C712,""", ""@")&amp;SUBSTITUTE(TEXT(IF(ISTEXT(Overig!D712),Overig!D712,10*Overig!D712),""",""????0;"",""???-0;"",""????0;"", ////"""),"'","""")&amp;SUBSTITUTE(TEXT(Overig!E712,""",""?00;"",""?-00;"",""?00;"", //"""),"'","""")&amp;SUBSTITUTE(TEXT(IF(ISTEXT(Overig!F712),Overig!F712,10*Overig!F712),""",""????0;"",""???-0;"",""????0;"", ////"""),"'","""")&amp;SUBSTITUTE(TEXT(Overig!G712,""",""?00;"",""?-00;"",""?00;"", //"""),"'","""")</f>
        <v>081, 19400824, 19.45, 7490, 00,  290, 00</v>
      </c>
    </row>
    <row r="713" spans="1:1" x14ac:dyDescent="0.25">
      <c r="A713" s="25" t="str">
        <f ca="1">TEXT(Overig!A713,"000\,")&amp;TEXT(Overig!B713,"?00000000")&amp;TEXT(Overig!C713,""", ""@")&amp;SUBSTITUTE(TEXT(IF(ISTEXT(Overig!D713),Overig!D713,10*Overig!D713),""",""????0;"",""???-0;"",""????0;"", ////"""),"'","""")&amp;SUBSTITUTE(TEXT(Overig!E713,""",""?00;"",""?-00;"",""?00;"", //"""),"'","""")&amp;SUBSTITUTE(TEXT(IF(ISTEXT(Overig!F713),Overig!F713,10*Overig!F713),""",""????0;"",""???-0;"",""????0;"", ////"""),"'","""")&amp;SUBSTITUTE(TEXT(Overig!G713,""",""?00;"",""?-00;"",""?00;"", //"""),"'","""")</f>
        <v>081, 19400825, 07.45, 7490, 00,  280, 00</v>
      </c>
    </row>
    <row r="714" spans="1:1" x14ac:dyDescent="0.25">
      <c r="A714" s="25" t="str">
        <f ca="1">TEXT(Overig!A714,"000\,")&amp;TEXT(Overig!B714,"?00000000")&amp;TEXT(Overig!C714,""", ""@")&amp;SUBSTITUTE(TEXT(IF(ISTEXT(Overig!D714),Overig!D714,10*Overig!D714),""",""????0;"",""???-0;"",""????0;"", ////"""),"'","""")&amp;SUBSTITUTE(TEXT(Overig!E714,""",""?00;"",""?-00;"",""?00;"", //"""),"'","""")&amp;SUBSTITUTE(TEXT(IF(ISTEXT(Overig!F714),Overig!F714,10*Overig!F714),""",""????0;"",""???-0;"",""????0;"", ////"""),"'","""")&amp;SUBSTITUTE(TEXT(Overig!G714,""",""?00;"",""?-00;"",""?00;"", //"""),"'","""")</f>
        <v>081, 19400825, 13.45, 7500, 00,  310, 00</v>
      </c>
    </row>
    <row r="715" spans="1:1" x14ac:dyDescent="0.25">
      <c r="A715" s="25" t="str">
        <f ca="1">TEXT(Overig!A715,"000\,")&amp;TEXT(Overig!B715,"?00000000")&amp;TEXT(Overig!C715,""", ""@")&amp;SUBSTITUTE(TEXT(IF(ISTEXT(Overig!D715),Overig!D715,10*Overig!D715),""",""????0;"",""???-0;"",""????0;"", ////"""),"'","""")&amp;SUBSTITUTE(TEXT(Overig!E715,""",""?00;"",""?-00;"",""?00;"", //"""),"'","""")&amp;SUBSTITUTE(TEXT(IF(ISTEXT(Overig!F715),Overig!F715,10*Overig!F715),""",""????0;"",""???-0;"",""????0;"", ////"""),"'","""")&amp;SUBSTITUTE(TEXT(Overig!G715,""",""?00;"",""?-00;"",""?00;"", //"""),"'","""")</f>
        <v>081, 19400825, 19.45, 7500, 00,  290, 00</v>
      </c>
    </row>
    <row r="716" spans="1:1" x14ac:dyDescent="0.25">
      <c r="A716" s="25" t="str">
        <f ca="1">TEXT(Overig!A716,"000\,")&amp;TEXT(Overig!B716,"?00000000")&amp;TEXT(Overig!C716,""", ""@")&amp;SUBSTITUTE(TEXT(IF(ISTEXT(Overig!D716),Overig!D716,10*Overig!D716),""",""????0;"",""???-0;"",""????0;"", ////"""),"'","""")&amp;SUBSTITUTE(TEXT(Overig!E716,""",""?00;"",""?-00;"",""?00;"", //"""),"'","""")&amp;SUBSTITUTE(TEXT(IF(ISTEXT(Overig!F716),Overig!F716,10*Overig!F716),""",""????0;"",""???-0;"",""????0;"", ////"""),"'","""")&amp;SUBSTITUTE(TEXT(Overig!G716,""",""?00;"",""?-00;"",""?00;"", //"""),"'","""")</f>
        <v>081, 19400826, 07.45, 7500, 00,  290, 00</v>
      </c>
    </row>
    <row r="717" spans="1:1" x14ac:dyDescent="0.25">
      <c r="A717" s="25" t="str">
        <f ca="1">TEXT(Overig!A717,"000\,")&amp;TEXT(Overig!B717,"?00000000")&amp;TEXT(Overig!C717,""", ""@")&amp;SUBSTITUTE(TEXT(IF(ISTEXT(Overig!D717),Overig!D717,10*Overig!D717),""",""????0;"",""???-0;"",""????0;"", ////"""),"'","""")&amp;SUBSTITUTE(TEXT(Overig!E717,""",""?00;"",""?-00;"",""?00;"", //"""),"'","""")&amp;SUBSTITUTE(TEXT(IF(ISTEXT(Overig!F717),Overig!F717,10*Overig!F717),""",""????0;"",""???-0;"",""????0;"", ////"""),"'","""")&amp;SUBSTITUTE(TEXT(Overig!G717,""",""?00;"",""?-00;"",""?00;"", //"""),"'","""")</f>
        <v>081, 19400826, 13.45, 7500, 00,  310, 00</v>
      </c>
    </row>
    <row r="718" spans="1:1" x14ac:dyDescent="0.25">
      <c r="A718" s="25" t="str">
        <f ca="1">TEXT(Overig!A718,"000\,")&amp;TEXT(Overig!B718,"?00000000")&amp;TEXT(Overig!C718,""", ""@")&amp;SUBSTITUTE(TEXT(IF(ISTEXT(Overig!D718),Overig!D718,10*Overig!D718),""",""????0;"",""???-0;"",""????0;"", ////"""),"'","""")&amp;SUBSTITUTE(TEXT(Overig!E718,""",""?00;"",""?-00;"",""?00;"", //"""),"'","""")&amp;SUBSTITUTE(TEXT(IF(ISTEXT(Overig!F718),Overig!F718,10*Overig!F718),""",""????0;"",""???-0;"",""????0;"", ////"""),"'","""")&amp;SUBSTITUTE(TEXT(Overig!G718,""",""?00;"",""?-00;"",""?00;"", //"""),"'","""")</f>
        <v>081, 19400826, 19.45, 7500, 00,  290, 00</v>
      </c>
    </row>
    <row r="719" spans="1:1" x14ac:dyDescent="0.25">
      <c r="A719" s="25" t="str">
        <f ca="1">TEXT(Overig!A719,"000\,")&amp;TEXT(Overig!B719,"?00000000")&amp;TEXT(Overig!C719,""", ""@")&amp;SUBSTITUTE(TEXT(IF(ISTEXT(Overig!D719),Overig!D719,10*Overig!D719),""",""????0;"",""???-0;"",""????0;"", ////"""),"'","""")&amp;SUBSTITUTE(TEXT(Overig!E719,""",""?00;"",""?-00;"",""?00;"", //"""),"'","""")&amp;SUBSTITUTE(TEXT(IF(ISTEXT(Overig!F719),Overig!F719,10*Overig!F719),""",""????0;"",""???-0;"",""????0;"", ////"""),"'","""")&amp;SUBSTITUTE(TEXT(Overig!G719,""",""?00;"",""?-00;"",""?00;"", //"""),"'","""")</f>
        <v>081, 19400827, 07.45, 7500, 00,  290, 00</v>
      </c>
    </row>
    <row r="720" spans="1:1" x14ac:dyDescent="0.25">
      <c r="A720" s="25" t="str">
        <f ca="1">TEXT(Overig!A720,"000\,")&amp;TEXT(Overig!B720,"?00000000")&amp;TEXT(Overig!C720,""", ""@")&amp;SUBSTITUTE(TEXT(IF(ISTEXT(Overig!D720),Overig!D720,10*Overig!D720),""",""????0;"",""???-0;"",""????0;"", ////"""),"'","""")&amp;SUBSTITUTE(TEXT(Overig!E720,""",""?00;"",""?-00;"",""?00;"", //"""),"'","""")&amp;SUBSTITUTE(TEXT(IF(ISTEXT(Overig!F720),Overig!F720,10*Overig!F720),""",""????0;"",""???-0;"",""????0;"", ////"""),"'","""")&amp;SUBSTITUTE(TEXT(Overig!G720,""",""?00;"",""?-00;"",""?00;"", //"""),"'","""")</f>
        <v>081, 19400827, 13.45, 7490, 00,  310, 00</v>
      </c>
    </row>
    <row r="721" spans="1:1" x14ac:dyDescent="0.25">
      <c r="A721" s="25" t="str">
        <f ca="1">TEXT(Overig!A721,"000\,")&amp;TEXT(Overig!B721,"?00000000")&amp;TEXT(Overig!C721,""", ""@")&amp;SUBSTITUTE(TEXT(IF(ISTEXT(Overig!D721),Overig!D721,10*Overig!D721),""",""????0;"",""???-0;"",""????0;"", ////"""),"'","""")&amp;SUBSTITUTE(TEXT(Overig!E721,""",""?00;"",""?-00;"",""?00;"", //"""),"'","""")&amp;SUBSTITUTE(TEXT(IF(ISTEXT(Overig!F721),Overig!F721,10*Overig!F721),""",""????0;"",""???-0;"",""????0;"", ////"""),"'","""")&amp;SUBSTITUTE(TEXT(Overig!G721,""",""?00;"",""?-00;"",""?00;"", //"""),"'","""")</f>
        <v>081, 19400827, 19.45, 7500, 00,  290, 00</v>
      </c>
    </row>
    <row r="722" spans="1:1" x14ac:dyDescent="0.25">
      <c r="A722" s="25" t="str">
        <f ca="1">TEXT(Overig!A722,"000\,")&amp;TEXT(Overig!B722,"?00000000")&amp;TEXT(Overig!C722,""", ""@")&amp;SUBSTITUTE(TEXT(IF(ISTEXT(Overig!D722),Overig!D722,10*Overig!D722),""",""????0;"",""???-0;"",""????0;"", ////"""),"'","""")&amp;SUBSTITUTE(TEXT(Overig!E722,""",""?00;"",""?-00;"",""?00;"", //"""),"'","""")&amp;SUBSTITUTE(TEXT(IF(ISTEXT(Overig!F722),Overig!F722,10*Overig!F722),""",""????0;"",""???-0;"",""????0;"", ////"""),"'","""")&amp;SUBSTITUTE(TEXT(Overig!G722,""",""?00;"",""?-00;"",""?00;"", //"""),"'","""")</f>
        <v>081, 19400828, 07.45, 7490, 00,  290, 00</v>
      </c>
    </row>
    <row r="723" spans="1:1" x14ac:dyDescent="0.25">
      <c r="A723" s="25" t="str">
        <f ca="1">TEXT(Overig!A723,"000\,")&amp;TEXT(Overig!B723,"?00000000")&amp;TEXT(Overig!C723,""", ""@")&amp;SUBSTITUTE(TEXT(IF(ISTEXT(Overig!D723),Overig!D723,10*Overig!D723),""",""????0;"",""???-0;"",""????0;"", ////"""),"'","""")&amp;SUBSTITUTE(TEXT(Overig!E723,""",""?00;"",""?-00;"",""?00;"", //"""),"'","""")&amp;SUBSTITUTE(TEXT(IF(ISTEXT(Overig!F723),Overig!F723,10*Overig!F723),""",""????0;"",""???-0;"",""????0;"", ////"""),"'","""")&amp;SUBSTITUTE(TEXT(Overig!G723,""",""?00;"",""?-00;"",""?00;"", //"""),"'","""")</f>
        <v>081, 19400828, 13.45, 7490, 00,  310, 00</v>
      </c>
    </row>
    <row r="724" spans="1:1" x14ac:dyDescent="0.25">
      <c r="A724" s="25" t="str">
        <f ca="1">TEXT(Overig!A724,"000\,")&amp;TEXT(Overig!B724,"?00000000")&amp;TEXT(Overig!C724,""", ""@")&amp;SUBSTITUTE(TEXT(IF(ISTEXT(Overig!D724),Overig!D724,10*Overig!D724),""",""????0;"",""???-0;"",""????0;"", ////"""),"'","""")&amp;SUBSTITUTE(TEXT(Overig!E724,""",""?00;"",""?-00;"",""?00;"", //"""),"'","""")&amp;SUBSTITUTE(TEXT(IF(ISTEXT(Overig!F724),Overig!F724,10*Overig!F724),""",""????0;"",""???-0;"",""????0;"", ////"""),"'","""")&amp;SUBSTITUTE(TEXT(Overig!G724,""",""?00;"",""?-00;"",""?00;"", //"""),"'","""")</f>
        <v>081, 19400828, 19.45, 7490, 00,  300, 00</v>
      </c>
    </row>
    <row r="725" spans="1:1" x14ac:dyDescent="0.25">
      <c r="A725" s="25" t="str">
        <f ca="1">TEXT(Overig!A725,"000\,")&amp;TEXT(Overig!B725,"?00000000")&amp;TEXT(Overig!C725,""", ""@")&amp;SUBSTITUTE(TEXT(IF(ISTEXT(Overig!D725),Overig!D725,10*Overig!D725),""",""????0;"",""???-0;"",""????0;"", ////"""),"'","""")&amp;SUBSTITUTE(TEXT(Overig!E725,""",""?00;"",""?-00;"",""?00;"", //"""),"'","""")&amp;SUBSTITUTE(TEXT(IF(ISTEXT(Overig!F725),Overig!F725,10*Overig!F725),""",""????0;"",""???-0;"",""????0;"", ////"""),"'","""")&amp;SUBSTITUTE(TEXT(Overig!G725,""",""?00;"",""?-00;"",""?00;"", //"""),"'","""")</f>
        <v>081, 19400829, 07.45, 7490, 00,  280, 00</v>
      </c>
    </row>
    <row r="726" spans="1:1" x14ac:dyDescent="0.25">
      <c r="A726" s="25" t="str">
        <f ca="1">TEXT(Overig!A726,"000\,")&amp;TEXT(Overig!B726,"?00000000")&amp;TEXT(Overig!C726,""", ""@")&amp;SUBSTITUTE(TEXT(IF(ISTEXT(Overig!D726),Overig!D726,10*Overig!D726),""",""????0;"",""???-0;"",""????0;"", ////"""),"'","""")&amp;SUBSTITUTE(TEXT(Overig!E726,""",""?00;"",""?-00;"",""?00;"", //"""),"'","""")&amp;SUBSTITUTE(TEXT(IF(ISTEXT(Overig!F726),Overig!F726,10*Overig!F726),""",""????0;"",""???-0;"",""????0;"", ////"""),"'","""")&amp;SUBSTITUTE(TEXT(Overig!G726,""",""?00;"",""?-00;"",""?00;"", //"""),"'","""")</f>
        <v>081, 19400829, 13.45, 7490, 00,  300, 00</v>
      </c>
    </row>
    <row r="727" spans="1:1" x14ac:dyDescent="0.25">
      <c r="A727" s="25" t="str">
        <f ca="1">TEXT(Overig!A727,"000\,")&amp;TEXT(Overig!B727,"?00000000")&amp;TEXT(Overig!C727,""", ""@")&amp;SUBSTITUTE(TEXT(IF(ISTEXT(Overig!D727),Overig!D727,10*Overig!D727),""",""????0;"",""???-0;"",""????0;"", ////"""),"'","""")&amp;SUBSTITUTE(TEXT(Overig!E727,""",""?00;"",""?-00;"",""?00;"", //"""),"'","""")&amp;SUBSTITUTE(TEXT(IF(ISTEXT(Overig!F727),Overig!F727,10*Overig!F727),""",""????0;"",""???-0;"",""????0;"", ////"""),"'","""")&amp;SUBSTITUTE(TEXT(Overig!G727,""",""?00;"",""?-00;"",""?00;"", //"""),"'","""")</f>
        <v>081, 19400829, 19.45, 7500, 00,  290, 00</v>
      </c>
    </row>
    <row r="728" spans="1:1" x14ac:dyDescent="0.25">
      <c r="A728" s="25" t="str">
        <f ca="1">TEXT(Overig!A728,"000\,")&amp;TEXT(Overig!B728,"?00000000")&amp;TEXT(Overig!C728,""", ""@")&amp;SUBSTITUTE(TEXT(IF(ISTEXT(Overig!D728),Overig!D728,10*Overig!D728),""",""????0;"",""???-0;"",""????0;"", ////"""),"'","""")&amp;SUBSTITUTE(TEXT(Overig!E728,""",""?00;"",""?-00;"",""?00;"", //"""),"'","""")&amp;SUBSTITUTE(TEXT(IF(ISTEXT(Overig!F728),Overig!F728,10*Overig!F728),""",""????0;"",""???-0;"",""????0;"", ////"""),"'","""")&amp;SUBSTITUTE(TEXT(Overig!G728,""",""?00;"",""?-00;"",""?00;"", //"""),"'","""")</f>
        <v>081, 19400830, 07.45, 7500, 00,  290, 00</v>
      </c>
    </row>
    <row r="729" spans="1:1" x14ac:dyDescent="0.25">
      <c r="A729" s="25" t="str">
        <f ca="1">TEXT(Overig!A729,"000\,")&amp;TEXT(Overig!B729,"?00000000")&amp;TEXT(Overig!C729,""", ""@")&amp;SUBSTITUTE(TEXT(IF(ISTEXT(Overig!D729),Overig!D729,10*Overig!D729),""",""????0;"",""???-0;"",""????0;"", ////"""),"'","""")&amp;SUBSTITUTE(TEXT(Overig!E729,""",""?00;"",""?-00;"",""?00;"", //"""),"'","""")&amp;SUBSTITUTE(TEXT(IF(ISTEXT(Overig!F729),Overig!F729,10*Overig!F729),""",""????0;"",""???-0;"",""????0;"", ////"""),"'","""")&amp;SUBSTITUTE(TEXT(Overig!G729,""",""?00;"",""?-00;"",""?00;"", //"""),"'","""")</f>
        <v>081, 19400830, 13.45, 7500, 00,  310, 00</v>
      </c>
    </row>
    <row r="730" spans="1:1" x14ac:dyDescent="0.25">
      <c r="A730" s="25" t="str">
        <f ca="1">TEXT(Overig!A730,"000\,")&amp;TEXT(Overig!B730,"?00000000")&amp;TEXT(Overig!C730,""", ""@")&amp;SUBSTITUTE(TEXT(IF(ISTEXT(Overig!D730),Overig!D730,10*Overig!D730),""",""????0;"",""???-0;"",""????0;"", ////"""),"'","""")&amp;SUBSTITUTE(TEXT(Overig!E730,""",""?00;"",""?-00;"",""?00;"", //"""),"'","""")&amp;SUBSTITUTE(TEXT(IF(ISTEXT(Overig!F730),Overig!F730,10*Overig!F730),""",""????0;"",""???-0;"",""????0;"", ////"""),"'","""")&amp;SUBSTITUTE(TEXT(Overig!G730,""",""?00;"",""?-00;"",""?00;"", //"""),"'","""")</f>
        <v>081, 19400830, 19.45, 7500, 00,  300, 00</v>
      </c>
    </row>
    <row r="731" spans="1:1" x14ac:dyDescent="0.25">
      <c r="A731" s="25" t="str">
        <f ca="1">TEXT(Overig!A731,"000\,")&amp;TEXT(Overig!B731,"?00000000")&amp;TEXT(Overig!C731,""", ""@")&amp;SUBSTITUTE(TEXT(IF(ISTEXT(Overig!D731),Overig!D731,10*Overig!D731),""",""????0;"",""???-0;"",""????0;"", ////"""),"'","""")&amp;SUBSTITUTE(TEXT(Overig!E731,""",""?00;"",""?-00;"",""?00;"", //"""),"'","""")&amp;SUBSTITUTE(TEXT(IF(ISTEXT(Overig!F731),Overig!F731,10*Overig!F731),""",""????0;"",""???-0;"",""????0;"", ////"""),"'","""")&amp;SUBSTITUTE(TEXT(Overig!G731,""",""?00;"",""?-00;"",""?00;"", //"""),"'","""")</f>
        <v>081, 19400831, 07.45, 7490, 00,  290, 00</v>
      </c>
    </row>
    <row r="732" spans="1:1" x14ac:dyDescent="0.25">
      <c r="A732" s="25" t="str">
        <f ca="1">TEXT(Overig!A732,"000\,")&amp;TEXT(Overig!B732,"?00000000")&amp;TEXT(Overig!C732,""", ""@")&amp;SUBSTITUTE(TEXT(IF(ISTEXT(Overig!D732),Overig!D732,10*Overig!D732),""",""????0;"",""???-0;"",""????0;"", ////"""),"'","""")&amp;SUBSTITUTE(TEXT(Overig!E732,""",""?00;"",""?-00;"",""?00;"", //"""),"'","""")&amp;SUBSTITUTE(TEXT(IF(ISTEXT(Overig!F732),Overig!F732,10*Overig!F732),""",""????0;"",""???-0;"",""????0;"", ////"""),"'","""")&amp;SUBSTITUTE(TEXT(Overig!G732,""",""?00;"",""?-00;"",""?00;"", //"""),"'","""")</f>
        <v>081, 19400831, 13.45, 7480, 00,  310, 00</v>
      </c>
    </row>
    <row r="733" spans="1:1" x14ac:dyDescent="0.25">
      <c r="A733" s="25" t="str">
        <f ca="1">TEXT(Overig!A733,"000\,")&amp;TEXT(Overig!B733,"?00000000")&amp;TEXT(Overig!C733,""", ""@")&amp;SUBSTITUTE(TEXT(IF(ISTEXT(Overig!D733),Overig!D733,10*Overig!D733),""",""????0;"",""???-0;"",""????0;"", ////"""),"'","""")&amp;SUBSTITUTE(TEXT(Overig!E733,""",""?00;"",""?-00;"",""?00;"", //"""),"'","""")&amp;SUBSTITUTE(TEXT(IF(ISTEXT(Overig!F733),Overig!F733,10*Overig!F733),""",""????0;"",""???-0;"",""????0;"", ////"""),"'","""")&amp;SUBSTITUTE(TEXT(Overig!G733,""",""?00;"",""?-00;"",""?00;"", //"""),"'","""")</f>
        <v>081, 19400831, 19.45, 7480, 00,  300, 00</v>
      </c>
    </row>
    <row r="734" spans="1:1" x14ac:dyDescent="0.25">
      <c r="A734" s="25" t="str">
        <f ca="1">TEXT(Overig!A734,"000\,")&amp;TEXT(Overig!B734,"?00000000")&amp;TEXT(Overig!C734,""", ""@")&amp;SUBSTITUTE(TEXT(IF(ISTEXT(Overig!D734),Overig!D734,10*Overig!D734),""",""????0;"",""???-0;"",""????0;"", ////"""),"'","""")&amp;SUBSTITUTE(TEXT(Overig!E734,""",""?00;"",""?-00;"",""?00;"", //"""),"'","""")&amp;SUBSTITUTE(TEXT(IF(ISTEXT(Overig!F734),Overig!F734,10*Overig!F734),""",""????0;"",""???-0;"",""????0;"", ////"""),"'","""")&amp;SUBSTITUTE(TEXT(Overig!G734,""",""?00;"",""?-00;"",""?00;"", //"""),"'","""")</f>
        <v>081, 19400901, 07.45, 7480, 00,  280, 00</v>
      </c>
    </row>
    <row r="735" spans="1:1" x14ac:dyDescent="0.25">
      <c r="A735" s="25" t="str">
        <f ca="1">TEXT(Overig!A735,"000\,")&amp;TEXT(Overig!B735,"?00000000")&amp;TEXT(Overig!C735,""", ""@")&amp;SUBSTITUTE(TEXT(IF(ISTEXT(Overig!D735),Overig!D735,10*Overig!D735),""",""????0;"",""???-0;"",""????0;"", ////"""),"'","""")&amp;SUBSTITUTE(TEXT(Overig!E735,""",""?00;"",""?-00;"",""?00;"", //"""),"'","""")&amp;SUBSTITUTE(TEXT(IF(ISTEXT(Overig!F735),Overig!F735,10*Overig!F735),""",""????0;"",""???-0;"",""????0;"", ////"""),"'","""")&amp;SUBSTITUTE(TEXT(Overig!G735,""",""?00;"",""?-00;"",""?00;"", //"""),"'","""")</f>
        <v>081, 19400901, 13.45, 7480, 00,  310, 00</v>
      </c>
    </row>
    <row r="736" spans="1:1" x14ac:dyDescent="0.25">
      <c r="A736" s="25" t="str">
        <f ca="1">TEXT(Overig!A736,"000\,")&amp;TEXT(Overig!B736,"?00000000")&amp;TEXT(Overig!C736,""", ""@")&amp;SUBSTITUTE(TEXT(IF(ISTEXT(Overig!D736),Overig!D736,10*Overig!D736),""",""????0;"",""???-0;"",""????0;"", ////"""),"'","""")&amp;SUBSTITUTE(TEXT(Overig!E736,""",""?00;"",""?-00;"",""?00;"", //"""),"'","""")&amp;SUBSTITUTE(TEXT(IF(ISTEXT(Overig!F736),Overig!F736,10*Overig!F736),""",""????0;"",""???-0;"",""????0;"", ////"""),"'","""")&amp;SUBSTITUTE(TEXT(Overig!G736,""",""?00;"",""?-00;"",""?00;"", //"""),"'","""")</f>
        <v>081, 19400901, 19.45, 7480, 00,  300, 00</v>
      </c>
    </row>
    <row r="737" spans="1:1" x14ac:dyDescent="0.25">
      <c r="A737" s="25" t="str">
        <f ca="1">TEXT(Overig!A737,"000\,")&amp;TEXT(Overig!B737,"?00000000")&amp;TEXT(Overig!C737,""", ""@")&amp;SUBSTITUTE(TEXT(IF(ISTEXT(Overig!D737),Overig!D737,10*Overig!D737),""",""????0;"",""???-0;"",""????0;"", ////"""),"'","""")&amp;SUBSTITUTE(TEXT(Overig!E737,""",""?00;"",""?-00;"",""?00;"", //"""),"'","""")&amp;SUBSTITUTE(TEXT(IF(ISTEXT(Overig!F737),Overig!F737,10*Overig!F737),""",""????0;"",""???-0;"",""????0;"", ////"""),"'","""")&amp;SUBSTITUTE(TEXT(Overig!G737,""",""?00;"",""?-00;"",""?00;"", //"""),"'","""")</f>
        <v>081, 19400902, 07.45, 7470, 00,  280, 00</v>
      </c>
    </row>
    <row r="738" spans="1:1" x14ac:dyDescent="0.25">
      <c r="A738" s="25" t="str">
        <f ca="1">TEXT(Overig!A738,"000\,")&amp;TEXT(Overig!B738,"?00000000")&amp;TEXT(Overig!C738,""", ""@")&amp;SUBSTITUTE(TEXT(IF(ISTEXT(Overig!D738),Overig!D738,10*Overig!D738),""",""????0;"",""???-0;"",""????0;"", ////"""),"'","""")&amp;SUBSTITUTE(TEXT(Overig!E738,""",""?00;"",""?-00;"",""?00;"", //"""),"'","""")&amp;SUBSTITUTE(TEXT(IF(ISTEXT(Overig!F738),Overig!F738,10*Overig!F738),""",""????0;"",""???-0;"",""????0;"", ////"""),"'","""")&amp;SUBSTITUTE(TEXT(Overig!G738,""",""?00;"",""?-00;"",""?00;"", //"""),"'","""")</f>
        <v>081, 19400902, 13.45, 7480, 00,  310, 00</v>
      </c>
    </row>
    <row r="739" spans="1:1" x14ac:dyDescent="0.25">
      <c r="A739" s="25" t="str">
        <f ca="1">TEXT(Overig!A739,"000\,")&amp;TEXT(Overig!B739,"?00000000")&amp;TEXT(Overig!C739,""", ""@")&amp;SUBSTITUTE(TEXT(IF(ISTEXT(Overig!D739),Overig!D739,10*Overig!D739),""",""????0;"",""???-0;"",""????0;"", ////"""),"'","""")&amp;SUBSTITUTE(TEXT(Overig!E739,""",""?00;"",""?-00;"",""?00;"", //"""),"'","""")&amp;SUBSTITUTE(TEXT(IF(ISTEXT(Overig!F739),Overig!F739,10*Overig!F739),""",""????0;"",""???-0;"",""????0;"", ////"""),"'","""")&amp;SUBSTITUTE(TEXT(Overig!G739,""",""?00;"",""?-00;"",""?00;"", //"""),"'","""")</f>
        <v>081, 19400902, 19.45, 7480, 00,  300, 00</v>
      </c>
    </row>
    <row r="740" spans="1:1" x14ac:dyDescent="0.25">
      <c r="A740" s="25" t="str">
        <f ca="1">TEXT(Overig!A740,"000\,")&amp;TEXT(Overig!B740,"?00000000")&amp;TEXT(Overig!C740,""", ""@")&amp;SUBSTITUTE(TEXT(IF(ISTEXT(Overig!D740),Overig!D740,10*Overig!D740),""",""????0;"",""???-0;"",""????0;"", ////"""),"'","""")&amp;SUBSTITUTE(TEXT(Overig!E740,""",""?00;"",""?-00;"",""?00;"", //"""),"'","""")&amp;SUBSTITUTE(TEXT(IF(ISTEXT(Overig!F740),Overig!F740,10*Overig!F740),""",""????0;"",""???-0;"",""????0;"", ////"""),"'","""")&amp;SUBSTITUTE(TEXT(Overig!G740,""",""?00;"",""?-00;"",""?00;"", //"""),"'","""")</f>
        <v>081, 19400903, 07.45, 7480, 00,  280, 00</v>
      </c>
    </row>
    <row r="741" spans="1:1" x14ac:dyDescent="0.25">
      <c r="A741" s="25" t="str">
        <f ca="1">TEXT(Overig!A741,"000\,")&amp;TEXT(Overig!B741,"?00000000")&amp;TEXT(Overig!C741,""", ""@")&amp;SUBSTITUTE(TEXT(IF(ISTEXT(Overig!D741),Overig!D741,10*Overig!D741),""",""????0;"",""???-0;"",""????0;"", ////"""),"'","""")&amp;SUBSTITUTE(TEXT(Overig!E741,""",""?00;"",""?-00;"",""?00;"", //"""),"'","""")&amp;SUBSTITUTE(TEXT(IF(ISTEXT(Overig!F741),Overig!F741,10*Overig!F741),""",""????0;"",""???-0;"",""????0;"", ////"""),"'","""")&amp;SUBSTITUTE(TEXT(Overig!G741,""",""?00;"",""?-00;"",""?00;"", //"""),"'","""")</f>
        <v>081, 19400903, 13.45, 7480, 00,  300, 00</v>
      </c>
    </row>
    <row r="742" spans="1:1" x14ac:dyDescent="0.25">
      <c r="A742" s="25" t="str">
        <f ca="1">TEXT(Overig!A742,"000\,")&amp;TEXT(Overig!B742,"?00000000")&amp;TEXT(Overig!C742,""", ""@")&amp;SUBSTITUTE(TEXT(IF(ISTEXT(Overig!D742),Overig!D742,10*Overig!D742),""",""????0;"",""???-0;"",""????0;"", ////"""),"'","""")&amp;SUBSTITUTE(TEXT(Overig!E742,""",""?00;"",""?-00;"",""?00;"", //"""),"'","""")&amp;SUBSTITUTE(TEXT(IF(ISTEXT(Overig!F742),Overig!F742,10*Overig!F742),""",""????0;"",""???-0;"",""????0;"", ////"""),"'","""")&amp;SUBSTITUTE(TEXT(Overig!G742,""",""?00;"",""?-00;"",""?00;"", //"""),"'","""")</f>
        <v>081, 19400903, 19.45, 7480, 00,  290, 00</v>
      </c>
    </row>
    <row r="743" spans="1:1" x14ac:dyDescent="0.25">
      <c r="A743" s="25" t="str">
        <f ca="1">TEXT(Overig!A743,"000\,")&amp;TEXT(Overig!B743,"?00000000")&amp;TEXT(Overig!C743,""", ""@")&amp;SUBSTITUTE(TEXT(IF(ISTEXT(Overig!D743),Overig!D743,10*Overig!D743),""",""????0;"",""???-0;"",""????0;"", ////"""),"'","""")&amp;SUBSTITUTE(TEXT(Overig!E743,""",""?00;"",""?-00;"",""?00;"", //"""),"'","""")&amp;SUBSTITUTE(TEXT(IF(ISTEXT(Overig!F743),Overig!F743,10*Overig!F743),""",""????0;"",""???-0;"",""????0;"", ////"""),"'","""")&amp;SUBSTITUTE(TEXT(Overig!G743,""",""?00;"",""?-00;"",""?00;"", //"""),"'","""")</f>
        <v>081, 19400904, 07.45, 7480, 00,  280, 00</v>
      </c>
    </row>
    <row r="744" spans="1:1" x14ac:dyDescent="0.25">
      <c r="A744" s="25" t="str">
        <f ca="1">TEXT(Overig!A744,"000\,")&amp;TEXT(Overig!B744,"?00000000")&amp;TEXT(Overig!C744,""", ""@")&amp;SUBSTITUTE(TEXT(IF(ISTEXT(Overig!D744),Overig!D744,10*Overig!D744),""",""????0;"",""???-0;"",""????0;"", ////"""),"'","""")&amp;SUBSTITUTE(TEXT(Overig!E744,""",""?00;"",""?-00;"",""?00;"", //"""),"'","""")&amp;SUBSTITUTE(TEXT(IF(ISTEXT(Overig!F744),Overig!F744,10*Overig!F744),""",""????0;"",""???-0;"",""????0;"", ////"""),"'","""")&amp;SUBSTITUTE(TEXT(Overig!G744,""",""?00;"",""?-00;"",""?00;"", //"""),"'","""")</f>
        <v>081, 19400904, 13.45, 7480, 00,  310, 00</v>
      </c>
    </row>
    <row r="745" spans="1:1" x14ac:dyDescent="0.25">
      <c r="A745" s="25" t="str">
        <f ca="1">TEXT(Overig!A745,"000\,")&amp;TEXT(Overig!B745,"?00000000")&amp;TEXT(Overig!C745,""", ""@")&amp;SUBSTITUTE(TEXT(IF(ISTEXT(Overig!D745),Overig!D745,10*Overig!D745),""",""????0;"",""???-0;"",""????0;"", ////"""),"'","""")&amp;SUBSTITUTE(TEXT(Overig!E745,""",""?00;"",""?-00;"",""?00;"", //"""),"'","""")&amp;SUBSTITUTE(TEXT(IF(ISTEXT(Overig!F745),Overig!F745,10*Overig!F745),""",""????0;"",""???-0;"",""????0;"", ////"""),"'","""")&amp;SUBSTITUTE(TEXT(Overig!G745,""",""?00;"",""?-00;"",""?00;"", //"""),"'","""")</f>
        <v>081, 19400904, 19.45, 7480, 00,  300, 00</v>
      </c>
    </row>
    <row r="746" spans="1:1" x14ac:dyDescent="0.25">
      <c r="A746" s="25" t="str">
        <f ca="1">TEXT(Overig!A746,"000\,")&amp;TEXT(Overig!B746,"?00000000")&amp;TEXT(Overig!C746,""", ""@")&amp;SUBSTITUTE(TEXT(IF(ISTEXT(Overig!D746),Overig!D746,10*Overig!D746),""",""????0;"",""???-0;"",""????0;"", ////"""),"'","""")&amp;SUBSTITUTE(TEXT(Overig!E746,""",""?00;"",""?-00;"",""?00;"", //"""),"'","""")&amp;SUBSTITUTE(TEXT(IF(ISTEXT(Overig!F746),Overig!F746,10*Overig!F746),""",""????0;"",""???-0;"",""????0;"", ////"""),"'","""")&amp;SUBSTITUTE(TEXT(Overig!G746,""",""?00;"",""?-00;"",""?00;"", //"""),"'","""")</f>
        <v>081, 19400905, 07.45, 7480, 00,  280, 00</v>
      </c>
    </row>
    <row r="747" spans="1:1" x14ac:dyDescent="0.25">
      <c r="A747" s="25" t="str">
        <f ca="1">TEXT(Overig!A747,"000\,")&amp;TEXT(Overig!B747,"?00000000")&amp;TEXT(Overig!C747,""", ""@")&amp;SUBSTITUTE(TEXT(IF(ISTEXT(Overig!D747),Overig!D747,10*Overig!D747),""",""????0;"",""???-0;"",""????0;"", ////"""),"'","""")&amp;SUBSTITUTE(TEXT(Overig!E747,""",""?00;"",""?-00;"",""?00;"", //"""),"'","""")&amp;SUBSTITUTE(TEXT(IF(ISTEXT(Overig!F747),Overig!F747,10*Overig!F747),""",""????0;"",""???-0;"",""????0;"", ////"""),"'","""")&amp;SUBSTITUTE(TEXT(Overig!G747,""",""?00;"",""?-00;"",""?00;"", //"""),"'","""")</f>
        <v>081, 19400905, 13.45, 7480, 00,  310, 00</v>
      </c>
    </row>
    <row r="748" spans="1:1" x14ac:dyDescent="0.25">
      <c r="A748" s="25" t="str">
        <f ca="1">TEXT(Overig!A748,"000\,")&amp;TEXT(Overig!B748,"?00000000")&amp;TEXT(Overig!C748,""", ""@")&amp;SUBSTITUTE(TEXT(IF(ISTEXT(Overig!D748),Overig!D748,10*Overig!D748),""",""????0;"",""???-0;"",""????0;"", ////"""),"'","""")&amp;SUBSTITUTE(TEXT(Overig!E748,""",""?00;"",""?-00;"",""?00;"", //"""),"'","""")&amp;SUBSTITUTE(TEXT(IF(ISTEXT(Overig!F748),Overig!F748,10*Overig!F748),""",""????0;"",""???-0;"",""????0;"", ////"""),"'","""")&amp;SUBSTITUTE(TEXT(Overig!G748,""",""?00;"",""?-00;"",""?00;"", //"""),"'","""")</f>
        <v>081, 19400905, 19.45, 7480, 00,  300, 00</v>
      </c>
    </row>
    <row r="749" spans="1:1" x14ac:dyDescent="0.25">
      <c r="A749" s="25" t="str">
        <f ca="1">TEXT(Overig!A749,"000\,")&amp;TEXT(Overig!B749,"?00000000")&amp;TEXT(Overig!C749,""", ""@")&amp;SUBSTITUTE(TEXT(IF(ISTEXT(Overig!D749),Overig!D749,10*Overig!D749),""",""????0;"",""???-0;"",""????0;"", ////"""),"'","""")&amp;SUBSTITUTE(TEXT(Overig!E749,""",""?00;"",""?-00;"",""?00;"", //"""),"'","""")&amp;SUBSTITUTE(TEXT(IF(ISTEXT(Overig!F749),Overig!F749,10*Overig!F749),""",""????0;"",""???-0;"",""????0;"", ////"""),"'","""")&amp;SUBSTITUTE(TEXT(Overig!G749,""",""?00;"",""?-00;"",""?00;"", //"""),"'","""")</f>
        <v>081, 19400906, 07.45, 7480, 00,  280, 00</v>
      </c>
    </row>
    <row r="750" spans="1:1" x14ac:dyDescent="0.25">
      <c r="A750" s="25" t="str">
        <f ca="1">TEXT(Overig!A750,"000\,")&amp;TEXT(Overig!B750,"?00000000")&amp;TEXT(Overig!C750,""", ""@")&amp;SUBSTITUTE(TEXT(IF(ISTEXT(Overig!D750),Overig!D750,10*Overig!D750),""",""????0;"",""???-0;"",""????0;"", ////"""),"'","""")&amp;SUBSTITUTE(TEXT(Overig!E750,""",""?00;"",""?-00;"",""?00;"", //"""),"'","""")&amp;SUBSTITUTE(TEXT(IF(ISTEXT(Overig!F750),Overig!F750,10*Overig!F750),""",""????0;"",""???-0;"",""????0;"", ////"""),"'","""")&amp;SUBSTITUTE(TEXT(Overig!G750,""",""?00;"",""?-00;"",""?00;"", //"""),"'","""")</f>
        <v>081, 19400906, 13.45, 7470, 00,  310, 00</v>
      </c>
    </row>
    <row r="751" spans="1:1" x14ac:dyDescent="0.25">
      <c r="A751" s="25" t="str">
        <f ca="1">TEXT(Overig!A751,"000\,")&amp;TEXT(Overig!B751,"?00000000")&amp;TEXT(Overig!C751,""", ""@")&amp;SUBSTITUTE(TEXT(IF(ISTEXT(Overig!D751),Overig!D751,10*Overig!D751),""",""????0;"",""???-0;"",""????0;"", ////"""),"'","""")&amp;SUBSTITUTE(TEXT(Overig!E751,""",""?00;"",""?-00;"",""?00;"", //"""),"'","""")&amp;SUBSTITUTE(TEXT(IF(ISTEXT(Overig!F751),Overig!F751,10*Overig!F751),""",""????0;"",""???-0;"",""????0;"", ////"""),"'","""")&amp;SUBSTITUTE(TEXT(Overig!G751,""",""?00;"",""?-00;"",""?00;"", //"""),"'","""")</f>
        <v>081, 19400906, 19.45, 7480, 00,  300, 00</v>
      </c>
    </row>
    <row r="752" spans="1:1" x14ac:dyDescent="0.25">
      <c r="A752" s="25" t="str">
        <f ca="1">TEXT(Overig!A752,"000\,")&amp;TEXT(Overig!B752,"?00000000")&amp;TEXT(Overig!C752,""", ""@")&amp;SUBSTITUTE(TEXT(IF(ISTEXT(Overig!D752),Overig!D752,10*Overig!D752),""",""????0;"",""???-0;"",""????0;"", ////"""),"'","""")&amp;SUBSTITUTE(TEXT(Overig!E752,""",""?00;"",""?-00;"",""?00;"", //"""),"'","""")&amp;SUBSTITUTE(TEXT(IF(ISTEXT(Overig!F752),Overig!F752,10*Overig!F752),""",""????0;"",""???-0;"",""????0;"", ////"""),"'","""")&amp;SUBSTITUTE(TEXT(Overig!G752,""",""?00;"",""?-00;"",""?00;"", //"""),"'","""")</f>
        <v>081, 19400907, 07.45, 7490, 00,  280, 00</v>
      </c>
    </row>
    <row r="753" spans="1:1" x14ac:dyDescent="0.25">
      <c r="A753" s="25" t="str">
        <f ca="1">TEXT(Overig!A753,"000\,")&amp;TEXT(Overig!B753,"?00000000")&amp;TEXT(Overig!C753,""", ""@")&amp;SUBSTITUTE(TEXT(IF(ISTEXT(Overig!D753),Overig!D753,10*Overig!D753),""",""????0;"",""???-0;"",""????0;"", ////"""),"'","""")&amp;SUBSTITUTE(TEXT(Overig!E753,""",""?00;"",""?-00;"",""?00;"", //"""),"'","""")&amp;SUBSTITUTE(TEXT(IF(ISTEXT(Overig!F753),Overig!F753,10*Overig!F753),""",""????0;"",""???-0;"",""????0;"", ////"""),"'","""")&amp;SUBSTITUTE(TEXT(Overig!G753,""",""?00;"",""?-00;"",""?00;"", //"""),"'","""")</f>
        <v>081, 19400907, 13.45, 7490, 00,  310, 00</v>
      </c>
    </row>
    <row r="754" spans="1:1" x14ac:dyDescent="0.25">
      <c r="A754" s="25" t="str">
        <f ca="1">TEXT(Overig!A754,"000\,")&amp;TEXT(Overig!B754,"?00000000")&amp;TEXT(Overig!C754,""", ""@")&amp;SUBSTITUTE(TEXT(IF(ISTEXT(Overig!D754),Overig!D754,10*Overig!D754),""",""????0;"",""???-0;"",""????0;"", ////"""),"'","""")&amp;SUBSTITUTE(TEXT(Overig!E754,""",""?00;"",""?-00;"",""?00;"", //"""),"'","""")&amp;SUBSTITUTE(TEXT(IF(ISTEXT(Overig!F754),Overig!F754,10*Overig!F754),""",""????0;"",""???-0;"",""????0;"", ////"""),"'","""")&amp;SUBSTITUTE(TEXT(Overig!G754,""",""?00;"",""?-00;"",""?00;"", //"""),"'","""")</f>
        <v>081, 19400907, 19.45, 7490, 00,  300, 00</v>
      </c>
    </row>
    <row r="755" spans="1:1" x14ac:dyDescent="0.25">
      <c r="A755" s="25" t="str">
        <f ca="1">TEXT(Overig!A755,"000\,")&amp;TEXT(Overig!B755,"?00000000")&amp;TEXT(Overig!C755,""", ""@")&amp;SUBSTITUTE(TEXT(IF(ISTEXT(Overig!D755),Overig!D755,10*Overig!D755),""",""????0;"",""???-0;"",""????0;"", ////"""),"'","""")&amp;SUBSTITUTE(TEXT(Overig!E755,""",""?00;"",""?-00;"",""?00;"", //"""),"'","""")&amp;SUBSTITUTE(TEXT(IF(ISTEXT(Overig!F755),Overig!F755,10*Overig!F755),""",""????0;"",""???-0;"",""????0;"", ////"""),"'","""")&amp;SUBSTITUTE(TEXT(Overig!G755,""",""?00;"",""?-00;"",""?00;"", //"""),"'","""")</f>
        <v>081, 19400908, 07.45, 7490, 00,  280, 00</v>
      </c>
    </row>
    <row r="756" spans="1:1" x14ac:dyDescent="0.25">
      <c r="A756" s="25" t="str">
        <f ca="1">TEXT(Overig!A756,"000\,")&amp;TEXT(Overig!B756,"?00000000")&amp;TEXT(Overig!C756,""", ""@")&amp;SUBSTITUTE(TEXT(IF(ISTEXT(Overig!D756),Overig!D756,10*Overig!D756),""",""????0;"",""???-0;"",""????0;"", ////"""),"'","""")&amp;SUBSTITUTE(TEXT(Overig!E756,""",""?00;"",""?-00;"",""?00;"", //"""),"'","""")&amp;SUBSTITUTE(TEXT(IF(ISTEXT(Overig!F756),Overig!F756,10*Overig!F756),""",""????0;"",""???-0;"",""????0;"", ////"""),"'","""")&amp;SUBSTITUTE(TEXT(Overig!G756,""",""?00;"",""?-00;"",""?00;"", //"""),"'","""")</f>
        <v>081, 19400908, 13.45, 7490, 00,  310, 00</v>
      </c>
    </row>
    <row r="757" spans="1:1" x14ac:dyDescent="0.25">
      <c r="A757" s="25" t="str">
        <f ca="1">TEXT(Overig!A757,"000\,")&amp;TEXT(Overig!B757,"?00000000")&amp;TEXT(Overig!C757,""", ""@")&amp;SUBSTITUTE(TEXT(IF(ISTEXT(Overig!D757),Overig!D757,10*Overig!D757),""",""????0;"",""???-0;"",""????0;"", ////"""),"'","""")&amp;SUBSTITUTE(TEXT(Overig!E757,""",""?00;"",""?-00;"",""?00;"", //"""),"'","""")&amp;SUBSTITUTE(TEXT(IF(ISTEXT(Overig!F757),Overig!F757,10*Overig!F757),""",""????0;"",""???-0;"",""????0;"", ////"""),"'","""")&amp;SUBSTITUTE(TEXT(Overig!G757,""",""?00;"",""?-00;"",""?00;"", //"""),"'","""")</f>
        <v>081, 19400908, 19.45, 7490, 00,  300, 00</v>
      </c>
    </row>
    <row r="758" spans="1:1" x14ac:dyDescent="0.25">
      <c r="A758" s="25" t="str">
        <f ca="1">TEXT(Overig!A758,"000\,")&amp;TEXT(Overig!B758,"?00000000")&amp;TEXT(Overig!C758,""", ""@")&amp;SUBSTITUTE(TEXT(IF(ISTEXT(Overig!D758),Overig!D758,10*Overig!D758),""",""????0;"",""???-0;"",""????0;"", ////"""),"'","""")&amp;SUBSTITUTE(TEXT(Overig!E758,""",""?00;"",""?-00;"",""?00;"", //"""),"'","""")&amp;SUBSTITUTE(TEXT(IF(ISTEXT(Overig!F758),Overig!F758,10*Overig!F758),""",""????0;"",""???-0;"",""????0;"", ////"""),"'","""")&amp;SUBSTITUTE(TEXT(Overig!G758,""",""?00;"",""?-00;"",""?00;"", //"""),"'","""")</f>
        <v>081, 19400909, 07.45, 7480, 00,  290, 00</v>
      </c>
    </row>
    <row r="759" spans="1:1" x14ac:dyDescent="0.25">
      <c r="A759" s="25" t="str">
        <f ca="1">TEXT(Overig!A759,"000\,")&amp;TEXT(Overig!B759,"?00000000")&amp;TEXT(Overig!C759,""", ""@")&amp;SUBSTITUTE(TEXT(IF(ISTEXT(Overig!D759),Overig!D759,10*Overig!D759),""",""????0;"",""???-0;"",""????0;"", ////"""),"'","""")&amp;SUBSTITUTE(TEXT(Overig!E759,""",""?00;"",""?-00;"",""?00;"", //"""),"'","""")&amp;SUBSTITUTE(TEXT(IF(ISTEXT(Overig!F759),Overig!F759,10*Overig!F759),""",""????0;"",""???-0;"",""????0;"", ////"""),"'","""")&amp;SUBSTITUTE(TEXT(Overig!G759,""",""?00;"",""?-00;"",""?00;"", //"""),"'","""")</f>
        <v>081, 19400909, 13.45, 7470, 00,  310, 00</v>
      </c>
    </row>
    <row r="760" spans="1:1" x14ac:dyDescent="0.25">
      <c r="A760" s="25" t="str">
        <f ca="1">TEXT(Overig!A760,"000\,")&amp;TEXT(Overig!B760,"?00000000")&amp;TEXT(Overig!C760,""", ""@")&amp;SUBSTITUTE(TEXT(IF(ISTEXT(Overig!D760),Overig!D760,10*Overig!D760),""",""????0;"",""???-0;"",""????0;"", ////"""),"'","""")&amp;SUBSTITUTE(TEXT(Overig!E760,""",""?00;"",""?-00;"",""?00;"", //"""),"'","""")&amp;SUBSTITUTE(TEXT(IF(ISTEXT(Overig!F760),Overig!F760,10*Overig!F760),""",""????0;"",""???-0;"",""????0;"", ////"""),"'","""")&amp;SUBSTITUTE(TEXT(Overig!G760,""",""?00;"",""?-00;"",""?00;"", //"""),"'","""")</f>
        <v>081, 19400909, 19.45, 7470, 00,  300, 00</v>
      </c>
    </row>
    <row r="761" spans="1:1" x14ac:dyDescent="0.25">
      <c r="A761" s="25" t="str">
        <f ca="1">TEXT(Overig!A761,"000\,")&amp;TEXT(Overig!B761,"?00000000")&amp;TEXT(Overig!C761,""", ""@")&amp;SUBSTITUTE(TEXT(IF(ISTEXT(Overig!D761),Overig!D761,10*Overig!D761),""",""????0;"",""???-0;"",""????0;"", ////"""),"'","""")&amp;SUBSTITUTE(TEXT(Overig!E761,""",""?00;"",""?-00;"",""?00;"", //"""),"'","""")&amp;SUBSTITUTE(TEXT(IF(ISTEXT(Overig!F761),Overig!F761,10*Overig!F761),""",""????0;"",""???-0;"",""????0;"", ////"""),"'","""")&amp;SUBSTITUTE(TEXT(Overig!G761,""",""?00;"",""?-00;"",""?00;"", //"""),"'","""")</f>
        <v>081, 19400910, 07.45, 7470, 00,  280, 00</v>
      </c>
    </row>
    <row r="762" spans="1:1" x14ac:dyDescent="0.25">
      <c r="A762" s="25" t="str">
        <f ca="1">TEXT(Overig!A762,"000\,")&amp;TEXT(Overig!B762,"?00000000")&amp;TEXT(Overig!C762,""", ""@")&amp;SUBSTITUTE(TEXT(IF(ISTEXT(Overig!D762),Overig!D762,10*Overig!D762),""",""????0;"",""???-0;"",""????0;"", ////"""),"'","""")&amp;SUBSTITUTE(TEXT(Overig!E762,""",""?00;"",""?-00;"",""?00;"", //"""),"'","""")&amp;SUBSTITUTE(TEXT(IF(ISTEXT(Overig!F762),Overig!F762,10*Overig!F762),""",""????0;"",""???-0;"",""????0;"", ////"""),"'","""")&amp;SUBSTITUTE(TEXT(Overig!G762,""",""?00;"",""?-00;"",""?00;"", //"""),"'","""")</f>
        <v>081, 19400910, 13.45, 7470, 00,  310, 00</v>
      </c>
    </row>
    <row r="763" spans="1:1" x14ac:dyDescent="0.25">
      <c r="A763" s="25" t="str">
        <f ca="1">TEXT(Overig!A763,"000\,")&amp;TEXT(Overig!B763,"?00000000")&amp;TEXT(Overig!C763,""", ""@")&amp;SUBSTITUTE(TEXT(IF(ISTEXT(Overig!D763),Overig!D763,10*Overig!D763),""",""????0;"",""???-0;"",""????0;"", ////"""),"'","""")&amp;SUBSTITUTE(TEXT(Overig!E763,""",""?00;"",""?-00;"",""?00;"", //"""),"'","""")&amp;SUBSTITUTE(TEXT(IF(ISTEXT(Overig!F763),Overig!F763,10*Overig!F763),""",""????0;"",""???-0;"",""????0;"", ////"""),"'","""")&amp;SUBSTITUTE(TEXT(Overig!G763,""",""?00;"",""?-00;"",""?00;"", //"""),"'","""")</f>
        <v>081, 19400910, 19.45, 7470, 00,  300, 00</v>
      </c>
    </row>
    <row r="764" spans="1:1" x14ac:dyDescent="0.25">
      <c r="A764" s="25" t="str">
        <f ca="1">TEXT(Overig!A764,"000\,")&amp;TEXT(Overig!B764,"?00000000")&amp;TEXT(Overig!C764,""", ""@")&amp;SUBSTITUTE(TEXT(IF(ISTEXT(Overig!D764),Overig!D764,10*Overig!D764),""",""????0;"",""???-0;"",""????0;"", ////"""),"'","""")&amp;SUBSTITUTE(TEXT(Overig!E764,""",""?00;"",""?-00;"",""?00;"", //"""),"'","""")&amp;SUBSTITUTE(TEXT(IF(ISTEXT(Overig!F764),Overig!F764,10*Overig!F764),""",""????0;"",""???-0;"",""????0;"", ////"""),"'","""")&amp;SUBSTITUTE(TEXT(Overig!G764,""",""?00;"",""?-00;"",""?00;"", //"""),"'","""")</f>
        <v>081, 19400911, 07.45, 7460, 00,  280, 00</v>
      </c>
    </row>
    <row r="765" spans="1:1" x14ac:dyDescent="0.25">
      <c r="A765" s="25" t="str">
        <f ca="1">TEXT(Overig!A765,"000\,")&amp;TEXT(Overig!B765,"?00000000")&amp;TEXT(Overig!C765,""", ""@")&amp;SUBSTITUTE(TEXT(IF(ISTEXT(Overig!D765),Overig!D765,10*Overig!D765),""",""????0;"",""???-0;"",""????0;"", ////"""),"'","""")&amp;SUBSTITUTE(TEXT(Overig!E765,""",""?00;"",""?-00;"",""?00;"", //"""),"'","""")&amp;SUBSTITUTE(TEXT(IF(ISTEXT(Overig!F765),Overig!F765,10*Overig!F765),""",""????0;"",""???-0;"",""????0;"", ////"""),"'","""")&amp;SUBSTITUTE(TEXT(Overig!G765,""",""?00;"",""?-00;"",""?00;"", //"""),"'","""")</f>
        <v>081, 19400911, 13.45, 7450, 00,  300, 00</v>
      </c>
    </row>
    <row r="766" spans="1:1" x14ac:dyDescent="0.25">
      <c r="A766" s="25" t="str">
        <f ca="1">TEXT(Overig!A766,"000\,")&amp;TEXT(Overig!B766,"?00000000")&amp;TEXT(Overig!C766,""", ""@")&amp;SUBSTITUTE(TEXT(IF(ISTEXT(Overig!D766),Overig!D766,10*Overig!D766),""",""????0;"",""???-0;"",""????0;"", ////"""),"'","""")&amp;SUBSTITUTE(TEXT(Overig!E766,""",""?00;"",""?-00;"",""?00;"", //"""),"'","""")&amp;SUBSTITUTE(TEXT(IF(ISTEXT(Overig!F766),Overig!F766,10*Overig!F766),""",""????0;"",""???-0;"",""????0;"", ////"""),"'","""")&amp;SUBSTITUTE(TEXT(Overig!G766,""",""?00;"",""?-00;"",""?00;"", //"""),"'","""")</f>
        <v>081, 19400911, 19.45, 7450, 00,  290, 00</v>
      </c>
    </row>
    <row r="767" spans="1:1" x14ac:dyDescent="0.25">
      <c r="A767" s="25" t="str">
        <f ca="1">TEXT(Overig!A767,"000\,")&amp;TEXT(Overig!B767,"?00000000")&amp;TEXT(Overig!C767,""", ""@")&amp;SUBSTITUTE(TEXT(IF(ISTEXT(Overig!D767),Overig!D767,10*Overig!D767),""",""????0;"",""???-0;"",""????0;"", ////"""),"'","""")&amp;SUBSTITUTE(TEXT(Overig!E767,""",""?00;"",""?-00;"",""?00;"", //"""),"'","""")&amp;SUBSTITUTE(TEXT(IF(ISTEXT(Overig!F767),Overig!F767,10*Overig!F767),""",""????0;"",""???-0;"",""????0;"", ////"""),"'","""")&amp;SUBSTITUTE(TEXT(Overig!G767,""",""?00;"",""?-00;"",""?00;"", //"""),"'","""")</f>
        <v>081, 19400912, 07.45, 7460, 00,  280, 00</v>
      </c>
    </row>
    <row r="768" spans="1:1" x14ac:dyDescent="0.25">
      <c r="A768" s="25" t="str">
        <f ca="1">TEXT(Overig!A768,"000\,")&amp;TEXT(Overig!B768,"?00000000")&amp;TEXT(Overig!C768,""", ""@")&amp;SUBSTITUTE(TEXT(IF(ISTEXT(Overig!D768),Overig!D768,10*Overig!D768),""",""????0;"",""???-0;"",""????0;"", ////"""),"'","""")&amp;SUBSTITUTE(TEXT(Overig!E768,""",""?00;"",""?-00;"",""?00;"", //"""),"'","""")&amp;SUBSTITUTE(TEXT(IF(ISTEXT(Overig!F768),Overig!F768,10*Overig!F768),""",""????0;"",""???-0;"",""????0;"", ////"""),"'","""")&amp;SUBSTITUTE(TEXT(Overig!G768,""",""?00;"",""?-00;"",""?00;"", //"""),"'","""")</f>
        <v>081, 19400912, 13.45, 7470, 00,  300, 00</v>
      </c>
    </row>
    <row r="769" spans="1:1" x14ac:dyDescent="0.25">
      <c r="A769" s="25" t="str">
        <f ca="1">TEXT(Overig!A769,"000\,")&amp;TEXT(Overig!B769,"?00000000")&amp;TEXT(Overig!C769,""", ""@")&amp;SUBSTITUTE(TEXT(IF(ISTEXT(Overig!D769),Overig!D769,10*Overig!D769),""",""????0;"",""???-0;"",""????0;"", ////"""),"'","""")&amp;SUBSTITUTE(TEXT(Overig!E769,""",""?00;"",""?-00;"",""?00;"", //"""),"'","""")&amp;SUBSTITUTE(TEXT(IF(ISTEXT(Overig!F769),Overig!F769,10*Overig!F769),""",""????0;"",""???-0;"",""????0;"", ////"""),"'","""")&amp;SUBSTITUTE(TEXT(Overig!G769,""",""?00;"",""?-00;"",""?00;"", //"""),"'","""")</f>
        <v>081, 19400912, 19.45, 7460, 00,  290, 00</v>
      </c>
    </row>
    <row r="770" spans="1:1" x14ac:dyDescent="0.25">
      <c r="A770" s="25" t="str">
        <f ca="1">TEXT(Overig!A770,"000\,")&amp;TEXT(Overig!B770,"?00000000")&amp;TEXT(Overig!C770,""", ""@")&amp;SUBSTITUTE(TEXT(IF(ISTEXT(Overig!D770),Overig!D770,10*Overig!D770),""",""????0;"",""???-0;"",""????0;"", ////"""),"'","""")&amp;SUBSTITUTE(TEXT(Overig!E770,""",""?00;"",""?-00;"",""?00;"", //"""),"'","""")&amp;SUBSTITUTE(TEXT(IF(ISTEXT(Overig!F770),Overig!F770,10*Overig!F770),""",""????0;"",""???-0;"",""????0;"", ////"""),"'","""")&amp;SUBSTITUTE(TEXT(Overig!G770,""",""?00;"",""?-00;"",""?00;"", //"""),"'","""")</f>
        <v>081, 19400913, 07.45, 7470, 00,  280, 00</v>
      </c>
    </row>
    <row r="771" spans="1:1" x14ac:dyDescent="0.25">
      <c r="A771" s="25" t="str">
        <f ca="1">TEXT(Overig!A771,"000\,")&amp;TEXT(Overig!B771,"?00000000")&amp;TEXT(Overig!C771,""", ""@")&amp;SUBSTITUTE(TEXT(IF(ISTEXT(Overig!D771),Overig!D771,10*Overig!D771),""",""????0;"",""???-0;"",""????0;"", ////"""),"'","""")&amp;SUBSTITUTE(TEXT(Overig!E771,""",""?00;"",""?-00;"",""?00;"", //"""),"'","""")&amp;SUBSTITUTE(TEXT(IF(ISTEXT(Overig!F771),Overig!F771,10*Overig!F771),""",""????0;"",""???-0;"",""????0;"", ////"""),"'","""")&amp;SUBSTITUTE(TEXT(Overig!G771,""",""?00;"",""?-00;"",""?00;"", //"""),"'","""")</f>
        <v>081, 19400913, 13.45, 7480, 00,  310, 00</v>
      </c>
    </row>
    <row r="772" spans="1:1" x14ac:dyDescent="0.25">
      <c r="A772" s="25" t="str">
        <f ca="1">TEXT(Overig!A772,"000\,")&amp;TEXT(Overig!B772,"?00000000")&amp;TEXT(Overig!C772,""", ""@")&amp;SUBSTITUTE(TEXT(IF(ISTEXT(Overig!D772),Overig!D772,10*Overig!D772),""",""????0;"",""???-0;"",""????0;"", ////"""),"'","""")&amp;SUBSTITUTE(TEXT(Overig!E772,""",""?00;"",""?-00;"",""?00;"", //"""),"'","""")&amp;SUBSTITUTE(TEXT(IF(ISTEXT(Overig!F772),Overig!F772,10*Overig!F772),""",""????0;"",""???-0;"",""????0;"", ////"""),"'","""")&amp;SUBSTITUTE(TEXT(Overig!G772,""",""?00;"",""?-00;"",""?00;"", //"""),"'","""")</f>
        <v>081, 19400913, 19.45, 7470, 00,  300, 00</v>
      </c>
    </row>
    <row r="773" spans="1:1" x14ac:dyDescent="0.25">
      <c r="A773" s="25" t="str">
        <f ca="1">TEXT(Overig!A773,"000\,")&amp;TEXT(Overig!B773,"?00000000")&amp;TEXT(Overig!C773,""", ""@")&amp;SUBSTITUTE(TEXT(IF(ISTEXT(Overig!D773),Overig!D773,10*Overig!D773),""",""????0;"",""???-0;"",""????0;"", ////"""),"'","""")&amp;SUBSTITUTE(TEXT(Overig!E773,""",""?00;"",""?-00;"",""?00;"", //"""),"'","""")&amp;SUBSTITUTE(TEXT(IF(ISTEXT(Overig!F773),Overig!F773,10*Overig!F773),""",""????0;"",""???-0;"",""????0;"", ////"""),"'","""")&amp;SUBSTITUTE(TEXT(Overig!G773,""",""?00;"",""?-00;"",""?00;"", //"""),"'","""")</f>
        <v>081, 19400914, 07.45, 7470, 00,  280, 00</v>
      </c>
    </row>
    <row r="774" spans="1:1" x14ac:dyDescent="0.25">
      <c r="A774" s="25" t="str">
        <f ca="1">TEXT(Overig!A774,"000\,")&amp;TEXT(Overig!B774,"?00000000")&amp;TEXT(Overig!C774,""", ""@")&amp;SUBSTITUTE(TEXT(IF(ISTEXT(Overig!D774),Overig!D774,10*Overig!D774),""",""????0;"",""???-0;"",""????0;"", ////"""),"'","""")&amp;SUBSTITUTE(TEXT(Overig!E774,""",""?00;"",""?-00;"",""?00;"", //"""),"'","""")&amp;SUBSTITUTE(TEXT(IF(ISTEXT(Overig!F774),Overig!F774,10*Overig!F774),""",""????0;"",""???-0;"",""????0;"", ////"""),"'","""")&amp;SUBSTITUTE(TEXT(Overig!G774,""",""?00;"",""?-00;"",""?00;"", //"""),"'","""")</f>
        <v>081, 19400914, 13.45, 7470, 00,  310, 00</v>
      </c>
    </row>
    <row r="775" spans="1:1" x14ac:dyDescent="0.25">
      <c r="A775" s="25" t="str">
        <f ca="1">TEXT(Overig!A775,"000\,")&amp;TEXT(Overig!B775,"?00000000")&amp;TEXT(Overig!C775,""", ""@")&amp;SUBSTITUTE(TEXT(IF(ISTEXT(Overig!D775),Overig!D775,10*Overig!D775),""",""????0;"",""???-0;"",""????0;"", ////"""),"'","""")&amp;SUBSTITUTE(TEXT(Overig!E775,""",""?00;"",""?-00;"",""?00;"", //"""),"'","""")&amp;SUBSTITUTE(TEXT(IF(ISTEXT(Overig!F775),Overig!F775,10*Overig!F775),""",""????0;"",""???-0;"",""????0;"", ////"""),"'","""")&amp;SUBSTITUTE(TEXT(Overig!G775,""",""?00;"",""?-00;"",""?00;"", //"""),"'","""")</f>
        <v>081, 19400914, 19.45, 7470, 00,  300, 00</v>
      </c>
    </row>
    <row r="776" spans="1:1" x14ac:dyDescent="0.25">
      <c r="A776" s="25" t="str">
        <f ca="1">TEXT(Overig!A776,"000\,")&amp;TEXT(Overig!B776,"?00000000")&amp;TEXT(Overig!C776,""", ""@")&amp;SUBSTITUTE(TEXT(IF(ISTEXT(Overig!D776),Overig!D776,10*Overig!D776),""",""????0;"",""???-0;"",""????0;"", ////"""),"'","""")&amp;SUBSTITUTE(TEXT(Overig!E776,""",""?00;"",""?-00;"",""?00;"", //"""),"'","""")&amp;SUBSTITUTE(TEXT(IF(ISTEXT(Overig!F776),Overig!F776,10*Overig!F776),""",""????0;"",""???-0;"",""????0;"", ////"""),"'","""")&amp;SUBSTITUTE(TEXT(Overig!G776,""",""?00;"",""?-00;"",""?00;"", //"""),"'","""")</f>
        <v>081, 19400915, 07.45, 7480, 00,  280, 00</v>
      </c>
    </row>
    <row r="777" spans="1:1" x14ac:dyDescent="0.25">
      <c r="A777" s="25" t="str">
        <f ca="1">TEXT(Overig!A777,"000\,")&amp;TEXT(Overig!B777,"?00000000")&amp;TEXT(Overig!C777,""", ""@")&amp;SUBSTITUTE(TEXT(IF(ISTEXT(Overig!D777),Overig!D777,10*Overig!D777),""",""????0;"",""???-0;"",""????0;"", ////"""),"'","""")&amp;SUBSTITUTE(TEXT(Overig!E777,""",""?00;"",""?-00;"",""?00;"", //"""),"'","""")&amp;SUBSTITUTE(TEXT(IF(ISTEXT(Overig!F777),Overig!F777,10*Overig!F777),""",""????0;"",""???-0;"",""????0;"", ////"""),"'","""")&amp;SUBSTITUTE(TEXT(Overig!G777,""",""?00;"",""?-00;"",""?00;"", //"""),"'","""")</f>
        <v>081, 19400915, 13.45, 7470, 00,  310, 00</v>
      </c>
    </row>
    <row r="778" spans="1:1" x14ac:dyDescent="0.25">
      <c r="A778" s="25" t="str">
        <f ca="1">TEXT(Overig!A778,"000\,")&amp;TEXT(Overig!B778,"?00000000")&amp;TEXT(Overig!C778,""", ""@")&amp;SUBSTITUTE(TEXT(IF(ISTEXT(Overig!D778),Overig!D778,10*Overig!D778),""",""????0;"",""???-0;"",""????0;"", ////"""),"'","""")&amp;SUBSTITUTE(TEXT(Overig!E778,""",""?00;"",""?-00;"",""?00;"", //"""),"'","""")&amp;SUBSTITUTE(TEXT(IF(ISTEXT(Overig!F778),Overig!F778,10*Overig!F778),""",""????0;"",""???-0;"",""????0;"", ////"""),"'","""")&amp;SUBSTITUTE(TEXT(Overig!G778,""",""?00;"",""?-00;"",""?00;"", //"""),"'","""")</f>
        <v>081, 19400915, 19.45, 7470, 00,  300, 00</v>
      </c>
    </row>
    <row r="779" spans="1:1" x14ac:dyDescent="0.25">
      <c r="A779" s="25" t="str">
        <f ca="1">TEXT(Overig!A779,"000\,")&amp;TEXT(Overig!B779,"?00000000")&amp;TEXT(Overig!C779,""", ""@")&amp;SUBSTITUTE(TEXT(IF(ISTEXT(Overig!D779),Overig!D779,10*Overig!D779),""",""????0;"",""???-0;"",""????0;"", ////"""),"'","""")&amp;SUBSTITUTE(TEXT(Overig!E779,""",""?00;"",""?-00;"",""?00;"", //"""),"'","""")&amp;SUBSTITUTE(TEXT(IF(ISTEXT(Overig!F779),Overig!F779,10*Overig!F779),""",""????0;"",""???-0;"",""????0;"", ////"""),"'","""")&amp;SUBSTITUTE(TEXT(Overig!G779,""",""?00;"",""?-00;"",""?00;"", //"""),"'","""")</f>
        <v>081, 19400916, 07.45, 7470, 00,  280, 00</v>
      </c>
    </row>
    <row r="780" spans="1:1" x14ac:dyDescent="0.25">
      <c r="A780" s="25" t="str">
        <f ca="1">TEXT(Overig!A780,"000\,")&amp;TEXT(Overig!B780,"?00000000")&amp;TEXT(Overig!C780,""", ""@")&amp;SUBSTITUTE(TEXT(IF(ISTEXT(Overig!D780),Overig!D780,10*Overig!D780),""",""????0;"",""???-0;"",""????0;"", ////"""),"'","""")&amp;SUBSTITUTE(TEXT(Overig!E780,""",""?00;"",""?-00;"",""?00;"", //"""),"'","""")&amp;SUBSTITUTE(TEXT(IF(ISTEXT(Overig!F780),Overig!F780,10*Overig!F780),""",""????0;"",""???-0;"",""????0;"", ////"""),"'","""")&amp;SUBSTITUTE(TEXT(Overig!G780,""",""?00;"",""?-00;"",""?00;"", //"""),"'","""")</f>
        <v>081, 19400916, 13.45, 7480, 00,  310, 00</v>
      </c>
    </row>
    <row r="781" spans="1:1" x14ac:dyDescent="0.25">
      <c r="A781" s="25" t="str">
        <f ca="1">TEXT(Overig!A781,"000\,")&amp;TEXT(Overig!B781,"?00000000")&amp;TEXT(Overig!C781,""", ""@")&amp;SUBSTITUTE(TEXT(IF(ISTEXT(Overig!D781),Overig!D781,10*Overig!D781),""",""????0;"",""???-0;"",""????0;"", ////"""),"'","""")&amp;SUBSTITUTE(TEXT(Overig!E781,""",""?00;"",""?-00;"",""?00;"", //"""),"'","""")&amp;SUBSTITUTE(TEXT(IF(ISTEXT(Overig!F781),Overig!F781,10*Overig!F781),""",""????0;"",""???-0;"",""????0;"", ////"""),"'","""")&amp;SUBSTITUTE(TEXT(Overig!G781,""",""?00;"",""?-00;"",""?00;"", //"""),"'","""")</f>
        <v>081, 19400916, 19.45, 7480, 00,  300, 00</v>
      </c>
    </row>
    <row r="782" spans="1:1" x14ac:dyDescent="0.25">
      <c r="A782" s="25" t="str">
        <f ca="1">TEXT(Overig!A782,"000\,")&amp;TEXT(Overig!B782,"?00000000")&amp;TEXT(Overig!C782,""", ""@")&amp;SUBSTITUTE(TEXT(IF(ISTEXT(Overig!D782),Overig!D782,10*Overig!D782),""",""????0;"",""???-0;"",""????0;"", ////"""),"'","""")&amp;SUBSTITUTE(TEXT(Overig!E782,""",""?00;"",""?-00;"",""?00;"", //"""),"'","""")&amp;SUBSTITUTE(TEXT(IF(ISTEXT(Overig!F782),Overig!F782,10*Overig!F782),""",""????0;"",""???-0;"",""????0;"", ////"""),"'","""")&amp;SUBSTITUTE(TEXT(Overig!G782,""",""?00;"",""?-00;"",""?00;"", //"""),"'","""")</f>
        <v>081, 19400917, 07.45, 7470, 00,  280, 00</v>
      </c>
    </row>
    <row r="783" spans="1:1" x14ac:dyDescent="0.25">
      <c r="A783" s="25" t="str">
        <f ca="1">TEXT(Overig!A783,"000\,")&amp;TEXT(Overig!B783,"?00000000")&amp;TEXT(Overig!C783,""", ""@")&amp;SUBSTITUTE(TEXT(IF(ISTEXT(Overig!D783),Overig!D783,10*Overig!D783),""",""????0;"",""???-0;"",""????0;"", ////"""),"'","""")&amp;SUBSTITUTE(TEXT(Overig!E783,""",""?00;"",""?-00;"",""?00;"", //"""),"'","""")&amp;SUBSTITUTE(TEXT(IF(ISTEXT(Overig!F783),Overig!F783,10*Overig!F783),""",""????0;"",""???-0;"",""????0;"", ////"""),"'","""")&amp;SUBSTITUTE(TEXT(Overig!G783,""",""?00;"",""?-00;"",""?00;"", //"""),"'","""")</f>
        <v>081, 19400917, 13.45, 7470, 00,  310, 00</v>
      </c>
    </row>
    <row r="784" spans="1:1" x14ac:dyDescent="0.25">
      <c r="A784" s="25" t="str">
        <f ca="1">TEXT(Overig!A784,"000\,")&amp;TEXT(Overig!B784,"?00000000")&amp;TEXT(Overig!C784,""", ""@")&amp;SUBSTITUTE(TEXT(IF(ISTEXT(Overig!D784),Overig!D784,10*Overig!D784),""",""????0;"",""???-0;"",""????0;"", ////"""),"'","""")&amp;SUBSTITUTE(TEXT(Overig!E784,""",""?00;"",""?-00;"",""?00;"", //"""),"'","""")&amp;SUBSTITUTE(TEXT(IF(ISTEXT(Overig!F784),Overig!F784,10*Overig!F784),""",""????0;"",""???-0;"",""????0;"", ////"""),"'","""")&amp;SUBSTITUTE(TEXT(Overig!G784,""",""?00;"",""?-00;"",""?00;"", //"""),"'","""")</f>
        <v>081, 19400917, 19.45, 7470, 00,  290, 00</v>
      </c>
    </row>
    <row r="785" spans="1:1" x14ac:dyDescent="0.25">
      <c r="A785" s="25" t="str">
        <f ca="1">TEXT(Overig!A785,"000\,")&amp;TEXT(Overig!B785,"?00000000")&amp;TEXT(Overig!C785,""", ""@")&amp;SUBSTITUTE(TEXT(IF(ISTEXT(Overig!D785),Overig!D785,10*Overig!D785),""",""????0;"",""???-0;"",""????0;"", ////"""),"'","""")&amp;SUBSTITUTE(TEXT(Overig!E785,""",""?00;"",""?-00;"",""?00;"", //"""),"'","""")&amp;SUBSTITUTE(TEXT(IF(ISTEXT(Overig!F785),Overig!F785,10*Overig!F785),""",""????0;"",""???-0;"",""????0;"", ////"""),"'","""")&amp;SUBSTITUTE(TEXT(Overig!G785,""",""?00;"",""?-00;"",""?00;"", //"""),"'","""")</f>
        <v>081, 19400918, 07.45, 7470, 00,  280, 00</v>
      </c>
    </row>
    <row r="786" spans="1:1" x14ac:dyDescent="0.25">
      <c r="A786" s="25" t="str">
        <f ca="1">TEXT(Overig!A786,"000\,")&amp;TEXT(Overig!B786,"?00000000")&amp;TEXT(Overig!C786,""", ""@")&amp;SUBSTITUTE(TEXT(IF(ISTEXT(Overig!D786),Overig!D786,10*Overig!D786),""",""????0;"",""???-0;"",""????0;"", ////"""),"'","""")&amp;SUBSTITUTE(TEXT(Overig!E786,""",""?00;"",""?-00;"",""?00;"", //"""),"'","""")&amp;SUBSTITUTE(TEXT(IF(ISTEXT(Overig!F786),Overig!F786,10*Overig!F786),""",""????0;"",""???-0;"",""????0;"", ////"""),"'","""")&amp;SUBSTITUTE(TEXT(Overig!G786,""",""?00;"",""?-00;"",""?00;"", //"""),"'","""")</f>
        <v>081, 19400918, 13.45, 7470, 00,  310, 00</v>
      </c>
    </row>
    <row r="787" spans="1:1" x14ac:dyDescent="0.25">
      <c r="A787" s="25" t="str">
        <f ca="1">TEXT(Overig!A787,"000\,")&amp;TEXT(Overig!B787,"?00000000")&amp;TEXT(Overig!C787,""", ""@")&amp;SUBSTITUTE(TEXT(IF(ISTEXT(Overig!D787),Overig!D787,10*Overig!D787),""",""????0;"",""???-0;"",""????0;"", ////"""),"'","""")&amp;SUBSTITUTE(TEXT(Overig!E787,""",""?00;"",""?-00;"",""?00;"", //"""),"'","""")&amp;SUBSTITUTE(TEXT(IF(ISTEXT(Overig!F787),Overig!F787,10*Overig!F787),""",""????0;"",""???-0;"",""????0;"", ////"""),"'","""")&amp;SUBSTITUTE(TEXT(Overig!G787,""",""?00;"",""?-00;"",""?00;"", //"""),"'","""")</f>
        <v>081, 19400918, 19.45, 7470, 00,  300, 00</v>
      </c>
    </row>
    <row r="788" spans="1:1" x14ac:dyDescent="0.25">
      <c r="A788" s="25" t="str">
        <f ca="1">TEXT(Overig!A788,"000\,")&amp;TEXT(Overig!B788,"?00000000")&amp;TEXT(Overig!C788,""", ""@")&amp;SUBSTITUTE(TEXT(IF(ISTEXT(Overig!D788),Overig!D788,10*Overig!D788),""",""????0;"",""???-0;"",""????0;"", ////"""),"'","""")&amp;SUBSTITUTE(TEXT(Overig!E788,""",""?00;"",""?-00;"",""?00;"", //"""),"'","""")&amp;SUBSTITUTE(TEXT(IF(ISTEXT(Overig!F788),Overig!F788,10*Overig!F788),""",""????0;"",""???-0;"",""????0;"", ////"""),"'","""")&amp;SUBSTITUTE(TEXT(Overig!G788,""",""?00;"",""?-00;"",""?00;"", //"""),"'","""")</f>
        <v>081, 19400919, 07.45, 7470, 00,  280, 00</v>
      </c>
    </row>
    <row r="789" spans="1:1" x14ac:dyDescent="0.25">
      <c r="A789" s="25" t="str">
        <f ca="1">TEXT(Overig!A789,"000\,")&amp;TEXT(Overig!B789,"?00000000")&amp;TEXT(Overig!C789,""", ""@")&amp;SUBSTITUTE(TEXT(IF(ISTEXT(Overig!D789),Overig!D789,10*Overig!D789),""",""????0;"",""???-0;"",""????0;"", ////"""),"'","""")&amp;SUBSTITUTE(TEXT(Overig!E789,""",""?00;"",""?-00;"",""?00;"", //"""),"'","""")&amp;SUBSTITUTE(TEXT(IF(ISTEXT(Overig!F789),Overig!F789,10*Overig!F789),""",""????0;"",""???-0;"",""????0;"", ////"""),"'","""")&amp;SUBSTITUTE(TEXT(Overig!G789,""",""?00;"",""?-00;"",""?00;"", //"""),"'","""")</f>
        <v>081, 19400919, 13.45, 7470, 00,  310, 00</v>
      </c>
    </row>
    <row r="790" spans="1:1" x14ac:dyDescent="0.25">
      <c r="A790" s="25" t="str">
        <f ca="1">TEXT(Overig!A790,"000\,")&amp;TEXT(Overig!B790,"?00000000")&amp;TEXT(Overig!C790,""", ""@")&amp;SUBSTITUTE(TEXT(IF(ISTEXT(Overig!D790),Overig!D790,10*Overig!D790),""",""????0;"",""???-0;"",""????0;"", ////"""),"'","""")&amp;SUBSTITUTE(TEXT(Overig!E790,""",""?00;"",""?-00;"",""?00;"", //"""),"'","""")&amp;SUBSTITUTE(TEXT(IF(ISTEXT(Overig!F790),Overig!F790,10*Overig!F790),""",""????0;"",""???-0;"",""????0;"", ////"""),"'","""")&amp;SUBSTITUTE(TEXT(Overig!G790,""",""?00;"",""?-00;"",""?00;"", //"""),"'","""")</f>
        <v>081, 19400919, 19.45, 7470, 00,  290, 00</v>
      </c>
    </row>
    <row r="791" spans="1:1" x14ac:dyDescent="0.25">
      <c r="A791" s="25" t="str">
        <f ca="1">TEXT(Overig!A791,"000\,")&amp;TEXT(Overig!B791,"?00000000")&amp;TEXT(Overig!C791,""", ""@")&amp;SUBSTITUTE(TEXT(IF(ISTEXT(Overig!D791),Overig!D791,10*Overig!D791),""",""????0;"",""???-0;"",""????0;"", ////"""),"'","""")&amp;SUBSTITUTE(TEXT(Overig!E791,""",""?00;"",""?-00;"",""?00;"", //"""),"'","""")&amp;SUBSTITUTE(TEXT(IF(ISTEXT(Overig!F791),Overig!F791,10*Overig!F791),""",""????0;"",""???-0;"",""????0;"", ////"""),"'","""")&amp;SUBSTITUTE(TEXT(Overig!G791,""",""?00;"",""?-00;"",""?00;"", //"""),"'","""")</f>
        <v>081, 19400920, 07.45, 7470, 00,  280, 00</v>
      </c>
    </row>
    <row r="792" spans="1:1" x14ac:dyDescent="0.25">
      <c r="A792" s="25" t="str">
        <f ca="1">TEXT(Overig!A792,"000\,")&amp;TEXT(Overig!B792,"?00000000")&amp;TEXT(Overig!C792,""", ""@")&amp;SUBSTITUTE(TEXT(IF(ISTEXT(Overig!D792),Overig!D792,10*Overig!D792),""",""????0;"",""???-0;"",""????0;"", ////"""),"'","""")&amp;SUBSTITUTE(TEXT(Overig!E792,""",""?00;"",""?-00;"",""?00;"", //"""),"'","""")&amp;SUBSTITUTE(TEXT(IF(ISTEXT(Overig!F792),Overig!F792,10*Overig!F792),""",""????0;"",""???-0;"",""????0;"", ////"""),"'","""")&amp;SUBSTITUTE(TEXT(Overig!G792,""",""?00;"",""?-00;"",""?00;"", //"""),"'","""")</f>
        <v>081, 19400920, 13.45, 7470, 00,  310, 00</v>
      </c>
    </row>
    <row r="793" spans="1:1" x14ac:dyDescent="0.25">
      <c r="A793" s="25" t="str">
        <f ca="1">TEXT(Overig!A793,"000\,")&amp;TEXT(Overig!B793,"?00000000")&amp;TEXT(Overig!C793,""", ""@")&amp;SUBSTITUTE(TEXT(IF(ISTEXT(Overig!D793),Overig!D793,10*Overig!D793),""",""????0;"",""???-0;"",""????0;"", ////"""),"'","""")&amp;SUBSTITUTE(TEXT(Overig!E793,""",""?00;"",""?-00;"",""?00;"", //"""),"'","""")&amp;SUBSTITUTE(TEXT(IF(ISTEXT(Overig!F793),Overig!F793,10*Overig!F793),""",""????0;"",""???-0;"",""????0;"", ////"""),"'","""")&amp;SUBSTITUTE(TEXT(Overig!G793,""",""?00;"",""?-00;"",""?00;"", //"""),"'","""")</f>
        <v>081, 19400920, 19.45, 7480, 00,  290, 00</v>
      </c>
    </row>
    <row r="794" spans="1:1" x14ac:dyDescent="0.25">
      <c r="A794" s="25" t="str">
        <f ca="1">TEXT(Overig!A794,"000\,")&amp;TEXT(Overig!B794,"?00000000")&amp;TEXT(Overig!C794,""", ""@")&amp;SUBSTITUTE(TEXT(IF(ISTEXT(Overig!D794),Overig!D794,10*Overig!D794),""",""????0;"",""???-0;"",""????0;"", ////"""),"'","""")&amp;SUBSTITUTE(TEXT(Overig!E794,""",""?00;"",""?-00;"",""?00;"", //"""),"'","""")&amp;SUBSTITUTE(TEXT(IF(ISTEXT(Overig!F794),Overig!F794,10*Overig!F794),""",""????0;"",""???-0;"",""????0;"", ////"""),"'","""")&amp;SUBSTITUTE(TEXT(Overig!G794,""",""?00;"",""?-00;"",""?00;"", //"""),"'","""")</f>
        <v>081, 19400921, 07.45, 7480, 00,  290, 00</v>
      </c>
    </row>
    <row r="795" spans="1:1" x14ac:dyDescent="0.25">
      <c r="A795" s="25" t="str">
        <f ca="1">TEXT(Overig!A795,"000\,")&amp;TEXT(Overig!B795,"?00000000")&amp;TEXT(Overig!C795,""", ""@")&amp;SUBSTITUTE(TEXT(IF(ISTEXT(Overig!D795),Overig!D795,10*Overig!D795),""",""????0;"",""???-0;"",""????0;"", ////"""),"'","""")&amp;SUBSTITUTE(TEXT(Overig!E795,""",""?00;"",""?-00;"",""?00;"", //"""),"'","""")&amp;SUBSTITUTE(TEXT(IF(ISTEXT(Overig!F795),Overig!F795,10*Overig!F795),""",""????0;"",""???-0;"",""????0;"", ////"""),"'","""")&amp;SUBSTITUTE(TEXT(Overig!G795,""",""?00;"",""?-00;"",""?00;"", //"""),"'","""")</f>
        <v>081, 19400921, 13.45, 7480, 00,  310, 00</v>
      </c>
    </row>
    <row r="796" spans="1:1" x14ac:dyDescent="0.25">
      <c r="A796" s="25" t="str">
        <f ca="1">TEXT(Overig!A796,"000\,")&amp;TEXT(Overig!B796,"?00000000")&amp;TEXT(Overig!C796,""", ""@")&amp;SUBSTITUTE(TEXT(IF(ISTEXT(Overig!D796),Overig!D796,10*Overig!D796),""",""????0;"",""???-0;"",""????0;"", ////"""),"'","""")&amp;SUBSTITUTE(TEXT(Overig!E796,""",""?00;"",""?-00;"",""?00;"", //"""),"'","""")&amp;SUBSTITUTE(TEXT(IF(ISTEXT(Overig!F796),Overig!F796,10*Overig!F796),""",""????0;"",""???-0;"",""????0;"", ////"""),"'","""")&amp;SUBSTITUTE(TEXT(Overig!G796,""",""?00;"",""?-00;"",""?00;"", //"""),"'","""")</f>
        <v>081, 19400921, 19.45, 7480, 00,  290, 00</v>
      </c>
    </row>
    <row r="797" spans="1:1" x14ac:dyDescent="0.25">
      <c r="A797" s="25" t="str">
        <f ca="1">TEXT(Overig!A797,"000\,")&amp;TEXT(Overig!B797,"?00000000")&amp;TEXT(Overig!C797,""", ""@")&amp;SUBSTITUTE(TEXT(IF(ISTEXT(Overig!D797),Overig!D797,10*Overig!D797),""",""????0;"",""???-0;"",""????0;"", ////"""),"'","""")&amp;SUBSTITUTE(TEXT(Overig!E797,""",""?00;"",""?-00;"",""?00;"", //"""),"'","""")&amp;SUBSTITUTE(TEXT(IF(ISTEXT(Overig!F797),Overig!F797,10*Overig!F797),""",""????0;"",""???-0;"",""????0;"", ////"""),"'","""")&amp;SUBSTITUTE(TEXT(Overig!G797,""",""?00;"",""?-00;"",""?00;"", //"""),"'","""")</f>
        <v>081, 19400922, 07.45, 7480, 00,  280, 00</v>
      </c>
    </row>
    <row r="798" spans="1:1" x14ac:dyDescent="0.25">
      <c r="A798" s="25" t="str">
        <f ca="1">TEXT(Overig!A798,"000\,")&amp;TEXT(Overig!B798,"?00000000")&amp;TEXT(Overig!C798,""", ""@")&amp;SUBSTITUTE(TEXT(IF(ISTEXT(Overig!D798),Overig!D798,10*Overig!D798),""",""????0;"",""???-0;"",""????0;"", ////"""),"'","""")&amp;SUBSTITUTE(TEXT(Overig!E798,""",""?00;"",""?-00;"",""?00;"", //"""),"'","""")&amp;SUBSTITUTE(TEXT(IF(ISTEXT(Overig!F798),Overig!F798,10*Overig!F798),""",""????0;"",""???-0;"",""????0;"", ////"""),"'","""")&amp;SUBSTITUTE(TEXT(Overig!G798,""",""?00;"",""?-00;"",""?00;"", //"""),"'","""")</f>
        <v>081, 19400922, 13.45, 7470, 00,  300, 00</v>
      </c>
    </row>
    <row r="799" spans="1:1" x14ac:dyDescent="0.25">
      <c r="A799" s="25" t="str">
        <f ca="1">TEXT(Overig!A799,"000\,")&amp;TEXT(Overig!B799,"?00000000")&amp;TEXT(Overig!C799,""", ""@")&amp;SUBSTITUTE(TEXT(IF(ISTEXT(Overig!D799),Overig!D799,10*Overig!D799),""",""????0;"",""???-0;"",""????0;"", ////"""),"'","""")&amp;SUBSTITUTE(TEXT(Overig!E799,""",""?00;"",""?-00;"",""?00;"", //"""),"'","""")&amp;SUBSTITUTE(TEXT(IF(ISTEXT(Overig!F799),Overig!F799,10*Overig!F799),""",""????0;"",""???-0;"",""????0;"", ////"""),"'","""")&amp;SUBSTITUTE(TEXT(Overig!G799,""",""?00;"",""?-00;"",""?00;"", //"""),"'","""")</f>
        <v>081, 19400922, 19.45, 7480, 00,  290, 00</v>
      </c>
    </row>
    <row r="800" spans="1:1" x14ac:dyDescent="0.25">
      <c r="A800" s="25" t="str">
        <f ca="1">TEXT(Overig!A800,"000\,")&amp;TEXT(Overig!B800,"?00000000")&amp;TEXT(Overig!C800,""", ""@")&amp;SUBSTITUTE(TEXT(IF(ISTEXT(Overig!D800),Overig!D800,10*Overig!D800),""",""????0;"",""???-0;"",""????0;"", ////"""),"'","""")&amp;SUBSTITUTE(TEXT(Overig!E800,""",""?00;"",""?-00;"",""?00;"", //"""),"'","""")&amp;SUBSTITUTE(TEXT(IF(ISTEXT(Overig!F800),Overig!F800,10*Overig!F800),""",""????0;"",""???-0;"",""????0;"", ////"""),"'","""")&amp;SUBSTITUTE(TEXT(Overig!G800,""",""?00;"",""?-00;"",""?00;"", //"""),"'","""")</f>
        <v>081, 19400923, 07.45, 7480, 00,  280, 00</v>
      </c>
    </row>
    <row r="801" spans="1:1" x14ac:dyDescent="0.25">
      <c r="A801" s="25" t="str">
        <f ca="1">TEXT(Overig!A801,"000\,")&amp;TEXT(Overig!B801,"?00000000")&amp;TEXT(Overig!C801,""", ""@")&amp;SUBSTITUTE(TEXT(IF(ISTEXT(Overig!D801),Overig!D801,10*Overig!D801),""",""????0;"",""???-0;"",""????0;"", ////"""),"'","""")&amp;SUBSTITUTE(TEXT(Overig!E801,""",""?00;"",""?-00;"",""?00;"", //"""),"'","""")&amp;SUBSTITUTE(TEXT(IF(ISTEXT(Overig!F801),Overig!F801,10*Overig!F801),""",""????0;"",""???-0;"",""????0;"", ////"""),"'","""")&amp;SUBSTITUTE(TEXT(Overig!G801,""",""?00;"",""?-00;"",""?00;"", //"""),"'","""")</f>
        <v>081, 19400923, 13.45, 7480, 00,  310, 00</v>
      </c>
    </row>
    <row r="802" spans="1:1" x14ac:dyDescent="0.25">
      <c r="A802" s="25" t="str">
        <f ca="1">TEXT(Overig!A802,"000\,")&amp;TEXT(Overig!B802,"?00000000")&amp;TEXT(Overig!C802,""", ""@")&amp;SUBSTITUTE(TEXT(IF(ISTEXT(Overig!D802),Overig!D802,10*Overig!D802),""",""????0;"",""???-0;"",""????0;"", ////"""),"'","""")&amp;SUBSTITUTE(TEXT(Overig!E802,""",""?00;"",""?-00;"",""?00;"", //"""),"'","""")&amp;SUBSTITUTE(TEXT(IF(ISTEXT(Overig!F802),Overig!F802,10*Overig!F802),""",""????0;"",""???-0;"",""????0;"", ////"""),"'","""")&amp;SUBSTITUTE(TEXT(Overig!G802,""",""?00;"",""?-00;"",""?00;"", //"""),"'","""")</f>
        <v>081, 19400923, 19.45, 7490, 00,  300, 00</v>
      </c>
    </row>
    <row r="803" spans="1:1" x14ac:dyDescent="0.25">
      <c r="A803" s="25" t="str">
        <f ca="1">TEXT(Overig!A803,"000\,")&amp;TEXT(Overig!B803,"?00000000")&amp;TEXT(Overig!C803,""", ""@")&amp;SUBSTITUTE(TEXT(IF(ISTEXT(Overig!D803),Overig!D803,10*Overig!D803),""",""????0;"",""???-0;"",""????0;"", ////"""),"'","""")&amp;SUBSTITUTE(TEXT(Overig!E803,""",""?00;"",""?-00;"",""?00;"", //"""),"'","""")&amp;SUBSTITUTE(TEXT(IF(ISTEXT(Overig!F803),Overig!F803,10*Overig!F803),""",""????0;"",""???-0;"",""????0;"", ////"""),"'","""")&amp;SUBSTITUTE(TEXT(Overig!G803,""",""?00;"",""?-00;"",""?00;"", //"""),"'","""")</f>
        <v>081, 19400924, 07.45, 7500, 00,  280, 00</v>
      </c>
    </row>
    <row r="804" spans="1:1" x14ac:dyDescent="0.25">
      <c r="A804" s="25" t="str">
        <f ca="1">TEXT(Overig!A804,"000\,")&amp;TEXT(Overig!B804,"?00000000")&amp;TEXT(Overig!C804,""", ""@")&amp;SUBSTITUTE(TEXT(IF(ISTEXT(Overig!D804),Overig!D804,10*Overig!D804),""",""????0;"",""???-0;"",""????0;"", ////"""),"'","""")&amp;SUBSTITUTE(TEXT(Overig!E804,""",""?00;"",""?-00;"",""?00;"", //"""),"'","""")&amp;SUBSTITUTE(TEXT(IF(ISTEXT(Overig!F804),Overig!F804,10*Overig!F804),""",""????0;"",""???-0;"",""????0;"", ////"""),"'","""")&amp;SUBSTITUTE(TEXT(Overig!G804,""",""?00;"",""?-00;"",""?00;"", //"""),"'","""")</f>
        <v>081, 19400924, 13.45, 7500, 00,  310, 00</v>
      </c>
    </row>
    <row r="805" spans="1:1" x14ac:dyDescent="0.25">
      <c r="A805" s="25" t="str">
        <f ca="1">TEXT(Overig!A805,"000\,")&amp;TEXT(Overig!B805,"?00000000")&amp;TEXT(Overig!C805,""", ""@")&amp;SUBSTITUTE(TEXT(IF(ISTEXT(Overig!D805),Overig!D805,10*Overig!D805),""",""????0;"",""???-0;"",""????0;"", ////"""),"'","""")&amp;SUBSTITUTE(TEXT(Overig!E805,""",""?00;"",""?-00;"",""?00;"", //"""),"'","""")&amp;SUBSTITUTE(TEXT(IF(ISTEXT(Overig!F805),Overig!F805,10*Overig!F805),""",""????0;"",""???-0;"",""????0;"", ////"""),"'","""")&amp;SUBSTITUTE(TEXT(Overig!G805,""",""?00;"",""?-00;"",""?00;"", //"""),"'","""")</f>
        <v>081, 19400924, 19.45, 7490, 00,  300, 00</v>
      </c>
    </row>
    <row r="806" spans="1:1" x14ac:dyDescent="0.25">
      <c r="A806" s="25" t="str">
        <f ca="1">TEXT(Overig!A806,"000\,")&amp;TEXT(Overig!B806,"?00000000")&amp;TEXT(Overig!C806,""", ""@")&amp;SUBSTITUTE(TEXT(IF(ISTEXT(Overig!D806),Overig!D806,10*Overig!D806),""",""????0;"",""???-0;"",""????0;"", ////"""),"'","""")&amp;SUBSTITUTE(TEXT(Overig!E806,""",""?00;"",""?-00;"",""?00;"", //"""),"'","""")&amp;SUBSTITUTE(TEXT(IF(ISTEXT(Overig!F806),Overig!F806,10*Overig!F806),""",""????0;"",""???-0;"",""????0;"", ////"""),"'","""")&amp;SUBSTITUTE(TEXT(Overig!G806,""",""?00;"",""?-00;"",""?00;"", //"""),"'","""")</f>
        <v>081, 19400925, 07.45, 7490, 00,  290, 00</v>
      </c>
    </row>
    <row r="807" spans="1:1" x14ac:dyDescent="0.25">
      <c r="A807" s="25" t="str">
        <f ca="1">TEXT(Overig!A807,"000\,")&amp;TEXT(Overig!B807,"?00000000")&amp;TEXT(Overig!C807,""", ""@")&amp;SUBSTITUTE(TEXT(IF(ISTEXT(Overig!D807),Overig!D807,10*Overig!D807),""",""????0;"",""???-0;"",""????0;"", ////"""),"'","""")&amp;SUBSTITUTE(TEXT(Overig!E807,""",""?00;"",""?-00;"",""?00;"", //"""),"'","""")&amp;SUBSTITUTE(TEXT(IF(ISTEXT(Overig!F807),Overig!F807,10*Overig!F807),""",""????0;"",""???-0;"",""????0;"", ////"""),"'","""")&amp;SUBSTITUTE(TEXT(Overig!G807,""",""?00;"",""?-00;"",""?00;"", //"""),"'","""")</f>
        <v>081, 19400925, 13.45, 7480, 00,  310, 00</v>
      </c>
    </row>
    <row r="808" spans="1:1" x14ac:dyDescent="0.25">
      <c r="A808" s="25" t="str">
        <f ca="1">TEXT(Overig!A808,"000\,")&amp;TEXT(Overig!B808,"?00000000")&amp;TEXT(Overig!C808,""", ""@")&amp;SUBSTITUTE(TEXT(IF(ISTEXT(Overig!D808),Overig!D808,10*Overig!D808),""",""????0;"",""???-0;"",""????0;"", ////"""),"'","""")&amp;SUBSTITUTE(TEXT(Overig!E808,""",""?00;"",""?-00;"",""?00;"", //"""),"'","""")&amp;SUBSTITUTE(TEXT(IF(ISTEXT(Overig!F808),Overig!F808,10*Overig!F808),""",""????0;"",""???-0;"",""????0;"", ////"""),"'","""")&amp;SUBSTITUTE(TEXT(Overig!G808,""",""?00;"",""?-00;"",""?00;"", //"""),"'","""")</f>
        <v>081, 19400925, 19.45, 7480, 00,  300, 00</v>
      </c>
    </row>
    <row r="809" spans="1:1" x14ac:dyDescent="0.25">
      <c r="A809" s="25" t="str">
        <f ca="1">TEXT(Overig!A809,"000\,")&amp;TEXT(Overig!B809,"?00000000")&amp;TEXT(Overig!C809,""", ""@")&amp;SUBSTITUTE(TEXT(IF(ISTEXT(Overig!D809),Overig!D809,10*Overig!D809),""",""????0;"",""???-0;"",""????0;"", ////"""),"'","""")&amp;SUBSTITUTE(TEXT(Overig!E809,""",""?00;"",""?-00;"",""?00;"", //"""),"'","""")&amp;SUBSTITUTE(TEXT(IF(ISTEXT(Overig!F809),Overig!F809,10*Overig!F809),""",""????0;"",""???-0;"",""????0;"", ////"""),"'","""")&amp;SUBSTITUTE(TEXT(Overig!G809,""",""?00;"",""?-00;"",""?00;"", //"""),"'","""")</f>
        <v>081, 19400926, 07.45, 7470, 00,  290, 00</v>
      </c>
    </row>
    <row r="810" spans="1:1" x14ac:dyDescent="0.25">
      <c r="A810" s="25" t="str">
        <f ca="1">TEXT(Overig!A810,"000\,")&amp;TEXT(Overig!B810,"?00000000")&amp;TEXT(Overig!C810,""", ""@")&amp;SUBSTITUTE(TEXT(IF(ISTEXT(Overig!D810),Overig!D810,10*Overig!D810),""",""????0;"",""???-0;"",""????0;"", ////"""),"'","""")&amp;SUBSTITUTE(TEXT(Overig!E810,""",""?00;"",""?-00;"",""?00;"", //"""),"'","""")&amp;SUBSTITUTE(TEXT(IF(ISTEXT(Overig!F810),Overig!F810,10*Overig!F810),""",""????0;"",""???-0;"",""????0;"", ////"""),"'","""")&amp;SUBSTITUTE(TEXT(Overig!G810,""",""?00;"",""?-00;"",""?00;"", //"""),"'","""")</f>
        <v>081, 19400926, 13.45, 7460, 00,  310, 00</v>
      </c>
    </row>
    <row r="811" spans="1:1" x14ac:dyDescent="0.25">
      <c r="A811" s="25" t="str">
        <f ca="1">TEXT(Overig!A811,"000\,")&amp;TEXT(Overig!B811,"?00000000")&amp;TEXT(Overig!C811,""", ""@")&amp;SUBSTITUTE(TEXT(IF(ISTEXT(Overig!D811),Overig!D811,10*Overig!D811),""",""????0;"",""???-0;"",""????0;"", ////"""),"'","""")&amp;SUBSTITUTE(TEXT(Overig!E811,""",""?00;"",""?-00;"",""?00;"", //"""),"'","""")&amp;SUBSTITUTE(TEXT(IF(ISTEXT(Overig!F811),Overig!F811,10*Overig!F811),""",""????0;"",""???-0;"",""????0;"", ////"""),"'","""")&amp;SUBSTITUTE(TEXT(Overig!G811,""",""?00;"",""?-00;"",""?00;"", //"""),"'","""")</f>
        <v>081, 19400926, 19.45, 7460, 00,  300, 00</v>
      </c>
    </row>
    <row r="812" spans="1:1" x14ac:dyDescent="0.25">
      <c r="A812" s="25" t="str">
        <f ca="1">TEXT(Overig!A812,"000\,")&amp;TEXT(Overig!B812,"?00000000")&amp;TEXT(Overig!C812,""", ""@")&amp;SUBSTITUTE(TEXT(IF(ISTEXT(Overig!D812),Overig!D812,10*Overig!D812),""",""????0;"",""???-0;"",""????0;"", ////"""),"'","""")&amp;SUBSTITUTE(TEXT(Overig!E812,""",""?00;"",""?-00;"",""?00;"", //"""),"'","""")&amp;SUBSTITUTE(TEXT(IF(ISTEXT(Overig!F812),Overig!F812,10*Overig!F812),""",""????0;"",""???-0;"",""????0;"", ////"""),"'","""")&amp;SUBSTITUTE(TEXT(Overig!G812,""",""?00;"",""?-00;"",""?00;"", //"""),"'","""")</f>
        <v>081, 19400927, 07.45, 7460, 00,  280, 00</v>
      </c>
    </row>
    <row r="813" spans="1:1" x14ac:dyDescent="0.25">
      <c r="A813" s="25" t="str">
        <f ca="1">TEXT(Overig!A813,"000\,")&amp;TEXT(Overig!B813,"?00000000")&amp;TEXT(Overig!C813,""", ""@")&amp;SUBSTITUTE(TEXT(IF(ISTEXT(Overig!D813),Overig!D813,10*Overig!D813),""",""????0;"",""???-0;"",""????0;"", ////"""),"'","""")&amp;SUBSTITUTE(TEXT(Overig!E813,""",""?00;"",""?-00;"",""?00;"", //"""),"'","""")&amp;SUBSTITUTE(TEXT(IF(ISTEXT(Overig!F813),Overig!F813,10*Overig!F813),""",""????0;"",""???-0;"",""????0;"", ////"""),"'","""")&amp;SUBSTITUTE(TEXT(Overig!G813,""",""?00;"",""?-00;"",""?00;"", //"""),"'","""")</f>
        <v>081, 19400927, 13.45, 7460, 00,  310, 00</v>
      </c>
    </row>
    <row r="814" spans="1:1" x14ac:dyDescent="0.25">
      <c r="A814" s="25" t="str">
        <f ca="1">TEXT(Overig!A814,"000\,")&amp;TEXT(Overig!B814,"?00000000")&amp;TEXT(Overig!C814,""", ""@")&amp;SUBSTITUTE(TEXT(IF(ISTEXT(Overig!D814),Overig!D814,10*Overig!D814),""",""????0;"",""???-0;"",""????0;"", ////"""),"'","""")&amp;SUBSTITUTE(TEXT(Overig!E814,""",""?00;"",""?-00;"",""?00;"", //"""),"'","""")&amp;SUBSTITUTE(TEXT(IF(ISTEXT(Overig!F814),Overig!F814,10*Overig!F814),""",""????0;"",""???-0;"",""????0;"", ////"""),"'","""")&amp;SUBSTITUTE(TEXT(Overig!G814,""",""?00;"",""?-00;"",""?00;"", //"""),"'","""")</f>
        <v>081, 19400927, 19.45, 7460, 00,  290, 00</v>
      </c>
    </row>
    <row r="815" spans="1:1" x14ac:dyDescent="0.25">
      <c r="A815" s="25" t="str">
        <f ca="1">TEXT(Overig!A815,"000\,")&amp;TEXT(Overig!B815,"?00000000")&amp;TEXT(Overig!C815,""", ""@")&amp;SUBSTITUTE(TEXT(IF(ISTEXT(Overig!D815),Overig!D815,10*Overig!D815),""",""????0;"",""???-0;"",""????0;"", ////"""),"'","""")&amp;SUBSTITUTE(TEXT(Overig!E815,""",""?00;"",""?-00;"",""?00;"", //"""),"'","""")&amp;SUBSTITUTE(TEXT(IF(ISTEXT(Overig!F815),Overig!F815,10*Overig!F815),""",""????0;"",""???-0;"",""????0;"", ////"""),"'","""")&amp;SUBSTITUTE(TEXT(Overig!G815,""",""?00;"",""?-00;"",""?00;"", //"""),"'","""")</f>
        <v>081, 19400928, 07.45, 7470, 00,  280, 00</v>
      </c>
    </row>
    <row r="816" spans="1:1" x14ac:dyDescent="0.25">
      <c r="A816" s="25" t="str">
        <f ca="1">TEXT(Overig!A816,"000\,")&amp;TEXT(Overig!B816,"?00000000")&amp;TEXT(Overig!C816,""", ""@")&amp;SUBSTITUTE(TEXT(IF(ISTEXT(Overig!D816),Overig!D816,10*Overig!D816),""",""????0;"",""???-0;"",""????0;"", ////"""),"'","""")&amp;SUBSTITUTE(TEXT(Overig!E816,""",""?00;"",""?-00;"",""?00;"", //"""),"'","""")&amp;SUBSTITUTE(TEXT(IF(ISTEXT(Overig!F816),Overig!F816,10*Overig!F816),""",""????0;"",""???-0;"",""????0;"", ////"""),"'","""")&amp;SUBSTITUTE(TEXT(Overig!G816,""",""?00;"",""?-00;"",""?00;"", //"""),"'","""")</f>
        <v>081, 19400928, 13.45, 7460, 00,  310, 00</v>
      </c>
    </row>
    <row r="817" spans="1:1" x14ac:dyDescent="0.25">
      <c r="A817" s="25" t="str">
        <f ca="1">TEXT(Overig!A817,"000\,")&amp;TEXT(Overig!B817,"?00000000")&amp;TEXT(Overig!C817,""", ""@")&amp;SUBSTITUTE(TEXT(IF(ISTEXT(Overig!D817),Overig!D817,10*Overig!D817),""",""????0;"",""???-0;"",""????0;"", ////"""),"'","""")&amp;SUBSTITUTE(TEXT(Overig!E817,""",""?00;"",""?-00;"",""?00;"", //"""),"'","""")&amp;SUBSTITUTE(TEXT(IF(ISTEXT(Overig!F817),Overig!F817,10*Overig!F817),""",""????0;"",""???-0;"",""????0;"", ////"""),"'","""")&amp;SUBSTITUTE(TEXT(Overig!G817,""",""?00;"",""?-00;"",""?00;"", //"""),"'","""")</f>
        <v>081, 19400928, 19.45, 7470, 00,  270, 00</v>
      </c>
    </row>
    <row r="818" spans="1:1" x14ac:dyDescent="0.25">
      <c r="A818" s="25" t="str">
        <f ca="1">TEXT(Overig!A818,"000\,")&amp;TEXT(Overig!B818,"?00000000")&amp;TEXT(Overig!C818,""", ""@")&amp;SUBSTITUTE(TEXT(IF(ISTEXT(Overig!D818),Overig!D818,10*Overig!D818),""",""????0;"",""???-0;"",""????0;"", ////"""),"'","""")&amp;SUBSTITUTE(TEXT(Overig!E818,""",""?00;"",""?-00;"",""?00;"", //"""),"'","""")&amp;SUBSTITUTE(TEXT(IF(ISTEXT(Overig!F818),Overig!F818,10*Overig!F818),""",""????0;"",""???-0;"",""????0;"", ////"""),"'","""")&amp;SUBSTITUTE(TEXT(Overig!G818,""",""?00;"",""?-00;"",""?00;"", //"""),"'","""")</f>
        <v>081, 19400929, 07.45, 7480, 00,  270, 00</v>
      </c>
    </row>
    <row r="819" spans="1:1" x14ac:dyDescent="0.25">
      <c r="A819" s="25" t="str">
        <f ca="1">TEXT(Overig!A819,"000\,")&amp;TEXT(Overig!B819,"?00000000")&amp;TEXT(Overig!C819,""", ""@")&amp;SUBSTITUTE(TEXT(IF(ISTEXT(Overig!D819),Overig!D819,10*Overig!D819),""",""????0;"",""???-0;"",""????0;"", ////"""),"'","""")&amp;SUBSTITUTE(TEXT(Overig!E819,""",""?00;"",""?-00;"",""?00;"", //"""),"'","""")&amp;SUBSTITUTE(TEXT(IF(ISTEXT(Overig!F819),Overig!F819,10*Overig!F819),""",""????0;"",""???-0;"",""????0;"", ////"""),"'","""")&amp;SUBSTITUTE(TEXT(Overig!G819,""",""?00;"",""?-00;"",""?00;"", //"""),"'","""")</f>
        <v>081, 19400929, 13.45, 7480, 00,  300, 00</v>
      </c>
    </row>
    <row r="820" spans="1:1" x14ac:dyDescent="0.25">
      <c r="A820" s="25" t="str">
        <f ca="1">TEXT(Overig!A820,"000\,")&amp;TEXT(Overig!B820,"?00000000")&amp;TEXT(Overig!C820,""", ""@")&amp;SUBSTITUTE(TEXT(IF(ISTEXT(Overig!D820),Overig!D820,10*Overig!D820),""",""????0;"",""???-0;"",""????0;"", ////"""),"'","""")&amp;SUBSTITUTE(TEXT(Overig!E820,""",""?00;"",""?-00;"",""?00;"", //"""),"'","""")&amp;SUBSTITUTE(TEXT(IF(ISTEXT(Overig!F820),Overig!F820,10*Overig!F820),""",""????0;"",""???-0;"",""????0;"", ////"""),"'","""")&amp;SUBSTITUTE(TEXT(Overig!G820,""",""?00;"",""?-00;"",""?00;"", //"""),"'","""")</f>
        <v>081, 19400929, 19.45, 7480, 00,  290, 00</v>
      </c>
    </row>
    <row r="821" spans="1:1" x14ac:dyDescent="0.25">
      <c r="A821" s="25" t="str">
        <f ca="1">TEXT(Overig!A821,"000\,")&amp;TEXT(Overig!B821,"?00000000")&amp;TEXT(Overig!C821,""", ""@")&amp;SUBSTITUTE(TEXT(IF(ISTEXT(Overig!D821),Overig!D821,10*Overig!D821),""",""????0;"",""???-0;"",""????0;"", ////"""),"'","""")&amp;SUBSTITUTE(TEXT(Overig!E821,""",""?00;"",""?-00;"",""?00;"", //"""),"'","""")&amp;SUBSTITUTE(TEXT(IF(ISTEXT(Overig!F821),Overig!F821,10*Overig!F821),""",""????0;"",""???-0;"",""????0;"", ////"""),"'","""")&amp;SUBSTITUTE(TEXT(Overig!G821,""",""?00;"",""?-00;"",""?00;"", //"""),"'","""")</f>
        <v>081, 19400930, 07.45, 7480, 00,  280, 00</v>
      </c>
    </row>
    <row r="822" spans="1:1" x14ac:dyDescent="0.25">
      <c r="A822" s="25" t="str">
        <f ca="1">TEXT(Overig!A822,"000\,")&amp;TEXT(Overig!B822,"?00000000")&amp;TEXT(Overig!C822,""", ""@")&amp;SUBSTITUTE(TEXT(IF(ISTEXT(Overig!D822),Overig!D822,10*Overig!D822),""",""????0;"",""???-0;"",""????0;"", ////"""),"'","""")&amp;SUBSTITUTE(TEXT(Overig!E822,""",""?00;"",""?-00;"",""?00;"", //"""),"'","""")&amp;SUBSTITUTE(TEXT(IF(ISTEXT(Overig!F822),Overig!F822,10*Overig!F822),""",""????0;"",""???-0;"",""????0;"", ////"""),"'","""")&amp;SUBSTITUTE(TEXT(Overig!G822,""",""?00;"",""?-00;"",""?00;"", //"""),"'","""")</f>
        <v>081, 19400930, 13.45, 7480, 00,  310, 00</v>
      </c>
    </row>
    <row r="823" spans="1:1" x14ac:dyDescent="0.25">
      <c r="A823" s="25" t="str">
        <f ca="1">TEXT(Overig!A823,"000\,")&amp;TEXT(Overig!B823,"?00000000")&amp;TEXT(Overig!C823,""", ""@")&amp;SUBSTITUTE(TEXT(IF(ISTEXT(Overig!D823),Overig!D823,10*Overig!D823),""",""????0;"",""???-0;"",""????0;"", ////"""),"'","""")&amp;SUBSTITUTE(TEXT(Overig!E823,""",""?00;"",""?-00;"",""?00;"", //"""),"'","""")&amp;SUBSTITUTE(TEXT(IF(ISTEXT(Overig!F823),Overig!F823,10*Overig!F823),""",""????0;"",""???-0;"",""????0;"", ////"""),"'","""")&amp;SUBSTITUTE(TEXT(Overig!G823,""",""?00;"",""?-00;"",""?00;"", //"""),"'","""")</f>
        <v>081, 19400930, 19.45, 7480, 00,  290, 00</v>
      </c>
    </row>
    <row r="824" spans="1:1" x14ac:dyDescent="0.25">
      <c r="A824" s="25" t="str">
        <f ca="1">TEXT(Overig!A824,"000\,")&amp;TEXT(Overig!B824,"?00000000")&amp;TEXT(Overig!C824,""", ""@")&amp;SUBSTITUTE(TEXT(IF(ISTEXT(Overig!D824),Overig!D824,10*Overig!D824),""",""????0;"",""???-0;"",""????0;"", ////"""),"'","""")&amp;SUBSTITUTE(TEXT(Overig!E824,""",""?00;"",""?-00;"",""?00;"", //"""),"'","""")&amp;SUBSTITUTE(TEXT(IF(ISTEXT(Overig!F824),Overig!F824,10*Overig!F824),""",""????0;"",""???-0;"",""????0;"", ////"""),"'","""")&amp;SUBSTITUTE(TEXT(Overig!G824,""",""?00;"",""?-00;"",""?00;"", //"""),"'","""")</f>
        <v>081, 19401001, 07.45, 7480, 00,  280, 00</v>
      </c>
    </row>
    <row r="825" spans="1:1" x14ac:dyDescent="0.25">
      <c r="A825" s="25" t="str">
        <f ca="1">TEXT(Overig!A825,"000\,")&amp;TEXT(Overig!B825,"?00000000")&amp;TEXT(Overig!C825,""", ""@")&amp;SUBSTITUTE(TEXT(IF(ISTEXT(Overig!D825),Overig!D825,10*Overig!D825),""",""????0;"",""???-0;"",""????0;"", ////"""),"'","""")&amp;SUBSTITUTE(TEXT(Overig!E825,""",""?00;"",""?-00;"",""?00;"", //"""),"'","""")&amp;SUBSTITUTE(TEXT(IF(ISTEXT(Overig!F825),Overig!F825,10*Overig!F825),""",""????0;"",""???-0;"",""????0;"", ////"""),"'","""")&amp;SUBSTITUTE(TEXT(Overig!G825,""",""?00;"",""?-00;"",""?00;"", //"""),"'","""")</f>
        <v>081, 19401001, 13.45, 7480, 00,  300, 00</v>
      </c>
    </row>
    <row r="826" spans="1:1" x14ac:dyDescent="0.25">
      <c r="A826" s="25" t="str">
        <f ca="1">TEXT(Overig!A826,"000\,")&amp;TEXT(Overig!B826,"?00000000")&amp;TEXT(Overig!C826,""", ""@")&amp;SUBSTITUTE(TEXT(IF(ISTEXT(Overig!D826),Overig!D826,10*Overig!D826),""",""????0;"",""???-0;"",""????0;"", ////"""),"'","""")&amp;SUBSTITUTE(TEXT(Overig!E826,""",""?00;"",""?-00;"",""?00;"", //"""),"'","""")&amp;SUBSTITUTE(TEXT(IF(ISTEXT(Overig!F826),Overig!F826,10*Overig!F826),""",""????0;"",""???-0;"",""????0;"", ////"""),"'","""")&amp;SUBSTITUTE(TEXT(Overig!G826,""",""?00;"",""?-00;"",""?00;"", //"""),"'","""")</f>
        <v>081, 19401001, 19.45, 7480, 00,  290, 00</v>
      </c>
    </row>
    <row r="827" spans="1:1" x14ac:dyDescent="0.25">
      <c r="A827" s="25" t="str">
        <f ca="1">TEXT(Overig!A827,"000\,")&amp;TEXT(Overig!B827,"?00000000")&amp;TEXT(Overig!C827,""", ""@")&amp;SUBSTITUTE(TEXT(IF(ISTEXT(Overig!D827),Overig!D827,10*Overig!D827),""",""????0;"",""???-0;"",""????0;"", ////"""),"'","""")&amp;SUBSTITUTE(TEXT(Overig!E827,""",""?00;"",""?-00;"",""?00;"", //"""),"'","""")&amp;SUBSTITUTE(TEXT(IF(ISTEXT(Overig!F827),Overig!F827,10*Overig!F827),""",""????0;"",""???-0;"",""????0;"", ////"""),"'","""")&amp;SUBSTITUTE(TEXT(Overig!G827,""",""?00;"",""?-00;"",""?00;"", //"""),"'","""")</f>
        <v>081, 19401002, 07.45, 7480, 00,  280, 00</v>
      </c>
    </row>
    <row r="828" spans="1:1" x14ac:dyDescent="0.25">
      <c r="A828" s="25" t="str">
        <f ca="1">TEXT(Overig!A828,"000\,")&amp;TEXT(Overig!B828,"?00000000")&amp;TEXT(Overig!C828,""", ""@")&amp;SUBSTITUTE(TEXT(IF(ISTEXT(Overig!D828),Overig!D828,10*Overig!D828),""",""????0;"",""???-0;"",""????0;"", ////"""),"'","""")&amp;SUBSTITUTE(TEXT(Overig!E828,""",""?00;"",""?-00;"",""?00;"", //"""),"'","""")&amp;SUBSTITUTE(TEXT(IF(ISTEXT(Overig!F828),Overig!F828,10*Overig!F828),""",""????0;"",""???-0;"",""????0;"", ////"""),"'","""")&amp;SUBSTITUTE(TEXT(Overig!G828,""",""?00;"",""?-00;"",""?00;"", //"""),"'","""")</f>
        <v>081, 19401002, 13.45, 7480, 00,  300, 00</v>
      </c>
    </row>
    <row r="829" spans="1:1" x14ac:dyDescent="0.25">
      <c r="A829" s="25" t="str">
        <f ca="1">TEXT(Overig!A829,"000\,")&amp;TEXT(Overig!B829,"?00000000")&amp;TEXT(Overig!C829,""", ""@")&amp;SUBSTITUTE(TEXT(IF(ISTEXT(Overig!D829),Overig!D829,10*Overig!D829),""",""????0;"",""???-0;"",""????0;"", ////"""),"'","""")&amp;SUBSTITUTE(TEXT(Overig!E829,""",""?00;"",""?-00;"",""?00;"", //"""),"'","""")&amp;SUBSTITUTE(TEXT(IF(ISTEXT(Overig!F829),Overig!F829,10*Overig!F829),""",""????0;"",""???-0;"",""????0;"", ////"""),"'","""")&amp;SUBSTITUTE(TEXT(Overig!G829,""",""?00;"",""?-00;"",""?00;"", //"""),"'","""")</f>
        <v>081, 19401002, 19.45, 7480, 00,  290, 00</v>
      </c>
    </row>
    <row r="830" spans="1:1" x14ac:dyDescent="0.25">
      <c r="A830" s="25" t="str">
        <f ca="1">TEXT(Overig!A830,"000\,")&amp;TEXT(Overig!B830,"?00000000")&amp;TEXT(Overig!C830,""", ""@")&amp;SUBSTITUTE(TEXT(IF(ISTEXT(Overig!D830),Overig!D830,10*Overig!D830),""",""????0;"",""???-0;"",""????0;"", ////"""),"'","""")&amp;SUBSTITUTE(TEXT(Overig!E830,""",""?00;"",""?-00;"",""?00;"", //"""),"'","""")&amp;SUBSTITUTE(TEXT(IF(ISTEXT(Overig!F830),Overig!F830,10*Overig!F830),""",""????0;"",""???-0;"",""????0;"", ////"""),"'","""")&amp;SUBSTITUTE(TEXT(Overig!G830,""",""?00;"",""?-00;"",""?00;"", //"""),"'","""")</f>
        <v>081, 19401003, 07.45, 7480, 00,  280, 00</v>
      </c>
    </row>
    <row r="831" spans="1:1" x14ac:dyDescent="0.25">
      <c r="A831" s="25" t="str">
        <f ca="1">TEXT(Overig!A831,"000\,")&amp;TEXT(Overig!B831,"?00000000")&amp;TEXT(Overig!C831,""", ""@")&amp;SUBSTITUTE(TEXT(IF(ISTEXT(Overig!D831),Overig!D831,10*Overig!D831),""",""????0;"",""???-0;"",""????0;"", ////"""),"'","""")&amp;SUBSTITUTE(TEXT(Overig!E831,""",""?00;"",""?-00;"",""?00;"", //"""),"'","""")&amp;SUBSTITUTE(TEXT(IF(ISTEXT(Overig!F831),Overig!F831,10*Overig!F831),""",""????0;"",""???-0;"",""????0;"", ////"""),"'","""")&amp;SUBSTITUTE(TEXT(Overig!G831,""",""?00;"",""?-00;"",""?00;"", //"""),"'","""")</f>
        <v>081, 19401003, 13.45, 7480, 00,  300, 00</v>
      </c>
    </row>
    <row r="832" spans="1:1" x14ac:dyDescent="0.25">
      <c r="A832" s="25" t="str">
        <f ca="1">TEXT(Overig!A832,"000\,")&amp;TEXT(Overig!B832,"?00000000")&amp;TEXT(Overig!C832,""", ""@")&amp;SUBSTITUTE(TEXT(IF(ISTEXT(Overig!D832),Overig!D832,10*Overig!D832),""",""????0;"",""???-0;"",""????0;"", ////"""),"'","""")&amp;SUBSTITUTE(TEXT(Overig!E832,""",""?00;"",""?-00;"",""?00;"", //"""),"'","""")&amp;SUBSTITUTE(TEXT(IF(ISTEXT(Overig!F832),Overig!F832,10*Overig!F832),""",""????0;"",""???-0;"",""????0;"", ////"""),"'","""")&amp;SUBSTITUTE(TEXT(Overig!G832,""",""?00;"",""?-00;"",""?00;"", //"""),"'","""")</f>
        <v>081, 19401003, 19.45, 7480, 00,  290, 00</v>
      </c>
    </row>
    <row r="833" spans="1:1" x14ac:dyDescent="0.25">
      <c r="A833" s="25" t="str">
        <f ca="1">TEXT(Overig!A833,"000\,")&amp;TEXT(Overig!B833,"?00000000")&amp;TEXT(Overig!C833,""", ""@")&amp;SUBSTITUTE(TEXT(IF(ISTEXT(Overig!D833),Overig!D833,10*Overig!D833),""",""????0;"",""???-0;"",""????0;"", ////"""),"'","""")&amp;SUBSTITUTE(TEXT(Overig!E833,""",""?00;"",""?-00;"",""?00;"", //"""),"'","""")&amp;SUBSTITUTE(TEXT(IF(ISTEXT(Overig!F833),Overig!F833,10*Overig!F833),""",""????0;"",""???-0;"",""????0;"", ////"""),"'","""")&amp;SUBSTITUTE(TEXT(Overig!G833,""",""?00;"",""?-00;"",""?00;"", //"""),"'","""")</f>
        <v>081, 19401004, 07.45, 7480, 00,  280, 00</v>
      </c>
    </row>
    <row r="834" spans="1:1" x14ac:dyDescent="0.25">
      <c r="A834" s="25" t="str">
        <f ca="1">TEXT(Overig!A834,"000\,")&amp;TEXT(Overig!B834,"?00000000")&amp;TEXT(Overig!C834,""", ""@")&amp;SUBSTITUTE(TEXT(IF(ISTEXT(Overig!D834),Overig!D834,10*Overig!D834),""",""????0;"",""???-0;"",""????0;"", ////"""),"'","""")&amp;SUBSTITUTE(TEXT(Overig!E834,""",""?00;"",""?-00;"",""?00;"", //"""),"'","""")&amp;SUBSTITUTE(TEXT(IF(ISTEXT(Overig!F834),Overig!F834,10*Overig!F834),""",""????0;"",""???-0;"",""????0;"", ////"""),"'","""")&amp;SUBSTITUTE(TEXT(Overig!G834,""",""?00;"",""?-00;"",""?00;"", //"""),"'","""")</f>
        <v>081, 19401004, 13.45, 7480, 00,  300, 00</v>
      </c>
    </row>
    <row r="835" spans="1:1" x14ac:dyDescent="0.25">
      <c r="A835" s="25" t="str">
        <f ca="1">TEXT(Overig!A835,"000\,")&amp;TEXT(Overig!B835,"?00000000")&amp;TEXT(Overig!C835,""", ""@")&amp;SUBSTITUTE(TEXT(IF(ISTEXT(Overig!D835),Overig!D835,10*Overig!D835),""",""????0;"",""???-0;"",""????0;"", ////"""),"'","""")&amp;SUBSTITUTE(TEXT(Overig!E835,""",""?00;"",""?-00;"",""?00;"", //"""),"'","""")&amp;SUBSTITUTE(TEXT(IF(ISTEXT(Overig!F835),Overig!F835,10*Overig!F835),""",""????0;"",""???-0;"",""????0;"", ////"""),"'","""")&amp;SUBSTITUTE(TEXT(Overig!G835,""",""?00;"",""?-00;"",""?00;"", //"""),"'","""")</f>
        <v>081, 19401004, 19.45, 7480, 00,  290, 00</v>
      </c>
    </row>
    <row r="836" spans="1:1" x14ac:dyDescent="0.25">
      <c r="A836" s="25" t="str">
        <f ca="1">TEXT(Overig!A836,"000\,")&amp;TEXT(Overig!B836,"?00000000")&amp;TEXT(Overig!C836,""", ""@")&amp;SUBSTITUTE(TEXT(IF(ISTEXT(Overig!D836),Overig!D836,10*Overig!D836),""",""????0;"",""???-0;"",""????0;"", ////"""),"'","""")&amp;SUBSTITUTE(TEXT(Overig!E836,""",""?00;"",""?-00;"",""?00;"", //"""),"'","""")&amp;SUBSTITUTE(TEXT(IF(ISTEXT(Overig!F836),Overig!F836,10*Overig!F836),""",""????0;"",""???-0;"",""????0;"", ////"""),"'","""")&amp;SUBSTITUTE(TEXT(Overig!G836,""",""?00;"",""?-00;"",""?00;"", //"""),"'","""")</f>
        <v>081, 19401005, 07.45, 7480, 00,  280, 00</v>
      </c>
    </row>
    <row r="837" spans="1:1" x14ac:dyDescent="0.25">
      <c r="A837" s="25" t="str">
        <f ca="1">TEXT(Overig!A837,"000\,")&amp;TEXT(Overig!B837,"?00000000")&amp;TEXT(Overig!C837,""", ""@")&amp;SUBSTITUTE(TEXT(IF(ISTEXT(Overig!D837),Overig!D837,10*Overig!D837),""",""????0;"",""???-0;"",""????0;"", ////"""),"'","""")&amp;SUBSTITUTE(TEXT(Overig!E837,""",""?00;"",""?-00;"",""?00;"", //"""),"'","""")&amp;SUBSTITUTE(TEXT(IF(ISTEXT(Overig!F837),Overig!F837,10*Overig!F837),""",""????0;"",""???-0;"",""????0;"", ////"""),"'","""")&amp;SUBSTITUTE(TEXT(Overig!G837,""",""?00;"",""?-00;"",""?00;"", //"""),"'","""")</f>
        <v>081, 19401005, 13.45, 7480, 00,  300, 00</v>
      </c>
    </row>
    <row r="838" spans="1:1" x14ac:dyDescent="0.25">
      <c r="A838" s="25" t="str">
        <f ca="1">TEXT(Overig!A838,"000\,")&amp;TEXT(Overig!B838,"?00000000")&amp;TEXT(Overig!C838,""", ""@")&amp;SUBSTITUTE(TEXT(IF(ISTEXT(Overig!D838),Overig!D838,10*Overig!D838),""",""????0;"",""???-0;"",""????0;"", ////"""),"'","""")&amp;SUBSTITUTE(TEXT(Overig!E838,""",""?00;"",""?-00;"",""?00;"", //"""),"'","""")&amp;SUBSTITUTE(TEXT(IF(ISTEXT(Overig!F838),Overig!F838,10*Overig!F838),""",""????0;"",""???-0;"",""????0;"", ////"""),"'","""")&amp;SUBSTITUTE(TEXT(Overig!G838,""",""?00;"",""?-00;"",""?00;"", //"""),"'","""")</f>
        <v>081, 19401005, 19.45, 7480, 00,  290, 00</v>
      </c>
    </row>
    <row r="839" spans="1:1" x14ac:dyDescent="0.25">
      <c r="A839" s="25" t="str">
        <f ca="1">TEXT(Overig!A839,"000\,")&amp;TEXT(Overig!B839,"?00000000")&amp;TEXT(Overig!C839,""", ""@")&amp;SUBSTITUTE(TEXT(IF(ISTEXT(Overig!D839),Overig!D839,10*Overig!D839),""",""????0;"",""???-0;"",""????0;"", ////"""),"'","""")&amp;SUBSTITUTE(TEXT(Overig!E839,""",""?00;"",""?-00;"",""?00;"", //"""),"'","""")&amp;SUBSTITUTE(TEXT(IF(ISTEXT(Overig!F839),Overig!F839,10*Overig!F839),""",""????0;"",""???-0;"",""????0;"", ////"""),"'","""")&amp;SUBSTITUTE(TEXT(Overig!G839,""",""?00;"",""?-00;"",""?00;"", //"""),"'","""")</f>
        <v>081, 19401006, 07.45, 7480, 00,  280, 00</v>
      </c>
    </row>
    <row r="840" spans="1:1" x14ac:dyDescent="0.25">
      <c r="A840" s="25" t="str">
        <f ca="1">TEXT(Overig!A840,"000\,")&amp;TEXT(Overig!B840,"?00000000")&amp;TEXT(Overig!C840,""", ""@")&amp;SUBSTITUTE(TEXT(IF(ISTEXT(Overig!D840),Overig!D840,10*Overig!D840),""",""????0;"",""???-0;"",""????0;"", ////"""),"'","""")&amp;SUBSTITUTE(TEXT(Overig!E840,""",""?00;"",""?-00;"",""?00;"", //"""),"'","""")&amp;SUBSTITUTE(TEXT(IF(ISTEXT(Overig!F840),Overig!F840,10*Overig!F840),""",""????0;"",""???-0;"",""????0;"", ////"""),"'","""")&amp;SUBSTITUTE(TEXT(Overig!G840,""",""?00;"",""?-00;"",""?00;"", //"""),"'","""")</f>
        <v>081, 19401006, 13.45, 7480, 00,  300, 00</v>
      </c>
    </row>
    <row r="841" spans="1:1" x14ac:dyDescent="0.25">
      <c r="A841" s="25" t="str">
        <f ca="1">TEXT(Overig!A841,"000\,")&amp;TEXT(Overig!B841,"?00000000")&amp;TEXT(Overig!C841,""", ""@")&amp;SUBSTITUTE(TEXT(IF(ISTEXT(Overig!D841),Overig!D841,10*Overig!D841),""",""????0;"",""???-0;"",""????0;"", ////"""),"'","""")&amp;SUBSTITUTE(TEXT(Overig!E841,""",""?00;"",""?-00;"",""?00;"", //"""),"'","""")&amp;SUBSTITUTE(TEXT(IF(ISTEXT(Overig!F841),Overig!F841,10*Overig!F841),""",""????0;"",""???-0;"",""????0;"", ////"""),"'","""")&amp;SUBSTITUTE(TEXT(Overig!G841,""",""?00;"",""?-00;"",""?00;"", //"""),"'","""")</f>
        <v>081, 19401006, 19.45, 7480, 00,  290, 00</v>
      </c>
    </row>
    <row r="842" spans="1:1" x14ac:dyDescent="0.25">
      <c r="A842" s="25" t="str">
        <f ca="1">TEXT(Overig!A842,"000\,")&amp;TEXT(Overig!B842,"?00000000")&amp;TEXT(Overig!C842,""", ""@")&amp;SUBSTITUTE(TEXT(IF(ISTEXT(Overig!D842),Overig!D842,10*Overig!D842),""",""????0;"",""???-0;"",""????0;"", ////"""),"'","""")&amp;SUBSTITUTE(TEXT(Overig!E842,""",""?00;"",""?-00;"",""?00;"", //"""),"'","""")&amp;SUBSTITUTE(TEXT(IF(ISTEXT(Overig!F842),Overig!F842,10*Overig!F842),""",""????0;"",""???-0;"",""????0;"", ////"""),"'","""")&amp;SUBSTITUTE(TEXT(Overig!G842,""",""?00;"",""?-00;"",""?00;"", //"""),"'","""")</f>
        <v>081, 19401007, 07.45, 7480, 00,  280, 00</v>
      </c>
    </row>
    <row r="843" spans="1:1" x14ac:dyDescent="0.25">
      <c r="A843" s="25" t="str">
        <f ca="1">TEXT(Overig!A843,"000\,")&amp;TEXT(Overig!B843,"?00000000")&amp;TEXT(Overig!C843,""", ""@")&amp;SUBSTITUTE(TEXT(IF(ISTEXT(Overig!D843),Overig!D843,10*Overig!D843),""",""????0;"",""???-0;"",""????0;"", ////"""),"'","""")&amp;SUBSTITUTE(TEXT(Overig!E843,""",""?00;"",""?-00;"",""?00;"", //"""),"'","""")&amp;SUBSTITUTE(TEXT(IF(ISTEXT(Overig!F843),Overig!F843,10*Overig!F843),""",""????0;"",""???-0;"",""????0;"", ////"""),"'","""")&amp;SUBSTITUTE(TEXT(Overig!G843,""",""?00;"",""?-00;"",""?00;"", //"""),"'","""")</f>
        <v>081, 19401007, 13.45, 7480, 00,  300, 00</v>
      </c>
    </row>
    <row r="844" spans="1:1" x14ac:dyDescent="0.25">
      <c r="A844" s="25" t="str">
        <f ca="1">TEXT(Overig!A844,"000\,")&amp;TEXT(Overig!B844,"?00000000")&amp;TEXT(Overig!C844,""", ""@")&amp;SUBSTITUTE(TEXT(IF(ISTEXT(Overig!D844),Overig!D844,10*Overig!D844),""",""????0;"",""???-0;"",""????0;"", ////"""),"'","""")&amp;SUBSTITUTE(TEXT(Overig!E844,""",""?00;"",""?-00;"",""?00;"", //"""),"'","""")&amp;SUBSTITUTE(TEXT(IF(ISTEXT(Overig!F844),Overig!F844,10*Overig!F844),""",""????0;"",""???-0;"",""????0;"", ////"""),"'","""")&amp;SUBSTITUTE(TEXT(Overig!G844,""",""?00;"",""?-00;"",""?00;"", //"""),"'","""")</f>
        <v>081, 19401007, 19.45, 7480, 00,  290, 00</v>
      </c>
    </row>
    <row r="845" spans="1:1" x14ac:dyDescent="0.25">
      <c r="A845" s="25" t="str">
        <f ca="1">TEXT(Overig!A845,"000\,")&amp;TEXT(Overig!B845,"?00000000")&amp;TEXT(Overig!C845,""", ""@")&amp;SUBSTITUTE(TEXT(IF(ISTEXT(Overig!D845),Overig!D845,10*Overig!D845),""",""????0;"",""???-0;"",""????0;"", ////"""),"'","""")&amp;SUBSTITUTE(TEXT(Overig!E845,""",""?00;"",""?-00;"",""?00;"", //"""),"'","""")&amp;SUBSTITUTE(TEXT(IF(ISTEXT(Overig!F845),Overig!F845,10*Overig!F845),""",""????0;"",""???-0;"",""????0;"", ////"""),"'","""")&amp;SUBSTITUTE(TEXT(Overig!G845,""",""?00;"",""?-00;"",""?00;"", //"""),"'","""")</f>
        <v>081, 19401008, 07.45, 7480, 00,  280, 00</v>
      </c>
    </row>
    <row r="846" spans="1:1" x14ac:dyDescent="0.25">
      <c r="A846" s="25" t="str">
        <f ca="1">TEXT(Overig!A846,"000\,")&amp;TEXT(Overig!B846,"?00000000")&amp;TEXT(Overig!C846,""", ""@")&amp;SUBSTITUTE(TEXT(IF(ISTEXT(Overig!D846),Overig!D846,10*Overig!D846),""",""????0;"",""???-0;"",""????0;"", ////"""),"'","""")&amp;SUBSTITUTE(TEXT(Overig!E846,""",""?00;"",""?-00;"",""?00;"", //"""),"'","""")&amp;SUBSTITUTE(TEXT(IF(ISTEXT(Overig!F846),Overig!F846,10*Overig!F846),""",""????0;"",""???-0;"",""????0;"", ////"""),"'","""")&amp;SUBSTITUTE(TEXT(Overig!G846,""",""?00;"",""?-00;"",""?00;"", //"""),"'","""")</f>
        <v>081, 19401008, 13.45, 7480, 00,  310, 00</v>
      </c>
    </row>
    <row r="847" spans="1:1" x14ac:dyDescent="0.25">
      <c r="A847" s="25" t="str">
        <f ca="1">TEXT(Overig!A847,"000\,")&amp;TEXT(Overig!B847,"?00000000")&amp;TEXT(Overig!C847,""", ""@")&amp;SUBSTITUTE(TEXT(IF(ISTEXT(Overig!D847),Overig!D847,10*Overig!D847),""",""????0;"",""???-0;"",""????0;"", ////"""),"'","""")&amp;SUBSTITUTE(TEXT(Overig!E847,""",""?00;"",""?-00;"",""?00;"", //"""),"'","""")&amp;SUBSTITUTE(TEXT(IF(ISTEXT(Overig!F847),Overig!F847,10*Overig!F847),""",""????0;"",""???-0;"",""????0;"", ////"""),"'","""")&amp;SUBSTITUTE(TEXT(Overig!G847,""",""?00;"",""?-00;"",""?00;"", //"""),"'","""")</f>
        <v>081, 19401008, 19.45, 7480, 00,  290, 00</v>
      </c>
    </row>
    <row r="848" spans="1:1" x14ac:dyDescent="0.25">
      <c r="A848" s="25" t="str">
        <f ca="1">TEXT(Overig!A848,"000\,")&amp;TEXT(Overig!B848,"?00000000")&amp;TEXT(Overig!C848,""", ""@")&amp;SUBSTITUTE(TEXT(IF(ISTEXT(Overig!D848),Overig!D848,10*Overig!D848),""",""????0;"",""???-0;"",""????0;"", ////"""),"'","""")&amp;SUBSTITUTE(TEXT(Overig!E848,""",""?00;"",""?-00;"",""?00;"", //"""),"'","""")&amp;SUBSTITUTE(TEXT(IF(ISTEXT(Overig!F848),Overig!F848,10*Overig!F848),""",""????0;"",""???-0;"",""????0;"", ////"""),"'","""")&amp;SUBSTITUTE(TEXT(Overig!G848,""",""?00;"",""?-00;"",""?00;"", //"""),"'","""")</f>
        <v>081, 19401009, 07.45, 7480, 00,  280, 00</v>
      </c>
    </row>
    <row r="849" spans="1:1" x14ac:dyDescent="0.25">
      <c r="A849" s="25" t="str">
        <f ca="1">TEXT(Overig!A849,"000\,")&amp;TEXT(Overig!B849,"?00000000")&amp;TEXT(Overig!C849,""", ""@")&amp;SUBSTITUTE(TEXT(IF(ISTEXT(Overig!D849),Overig!D849,10*Overig!D849),""",""????0;"",""???-0;"",""????0;"", ////"""),"'","""")&amp;SUBSTITUTE(TEXT(Overig!E849,""",""?00;"",""?-00;"",""?00;"", //"""),"'","""")&amp;SUBSTITUTE(TEXT(IF(ISTEXT(Overig!F849),Overig!F849,10*Overig!F849),""",""????0;"",""???-0;"",""????0;"", ////"""),"'","""")&amp;SUBSTITUTE(TEXT(Overig!G849,""",""?00;"",""?-00;"",""?00;"", //"""),"'","""")</f>
        <v>081, 19401009, 13.45, 7480, 00,  310, 00</v>
      </c>
    </row>
    <row r="850" spans="1:1" x14ac:dyDescent="0.25">
      <c r="A850" s="25" t="str">
        <f ca="1">TEXT(Overig!A850,"000\,")&amp;TEXT(Overig!B850,"?00000000")&amp;TEXT(Overig!C850,""", ""@")&amp;SUBSTITUTE(TEXT(IF(ISTEXT(Overig!D850),Overig!D850,10*Overig!D850),""",""????0;"",""???-0;"",""????0;"", ////"""),"'","""")&amp;SUBSTITUTE(TEXT(Overig!E850,""",""?00;"",""?-00;"",""?00;"", //"""),"'","""")&amp;SUBSTITUTE(TEXT(IF(ISTEXT(Overig!F850),Overig!F850,10*Overig!F850),""",""????0;"",""???-0;"",""????0;"", ////"""),"'","""")&amp;SUBSTITUTE(TEXT(Overig!G850,""",""?00;"",""?-00;"",""?00;"", //"""),"'","""")</f>
        <v>081, 19401009, 19.45, 7480, 00,  290, 00</v>
      </c>
    </row>
    <row r="851" spans="1:1" x14ac:dyDescent="0.25">
      <c r="A851" s="25" t="str">
        <f ca="1">TEXT(Overig!A851,"000\,")&amp;TEXT(Overig!B851,"?00000000")&amp;TEXT(Overig!C851,""", ""@")&amp;SUBSTITUTE(TEXT(IF(ISTEXT(Overig!D851),Overig!D851,10*Overig!D851),""",""????0;"",""???-0;"",""????0;"", ////"""),"'","""")&amp;SUBSTITUTE(TEXT(Overig!E851,""",""?00;"",""?-00;"",""?00;"", //"""),"'","""")&amp;SUBSTITUTE(TEXT(IF(ISTEXT(Overig!F851),Overig!F851,10*Overig!F851),""",""????0;"",""???-0;"",""????0;"", ////"""),"'","""")&amp;SUBSTITUTE(TEXT(Overig!G851,""",""?00;"",""?-00;"",""?00;"", //"""),"'","""")</f>
        <v>081, 19401010, 07.45, 7480, 00,  280, 00</v>
      </c>
    </row>
    <row r="852" spans="1:1" x14ac:dyDescent="0.25">
      <c r="A852" s="25" t="str">
        <f ca="1">TEXT(Overig!A852,"000\,")&amp;TEXT(Overig!B852,"?00000000")&amp;TEXT(Overig!C852,""", ""@")&amp;SUBSTITUTE(TEXT(IF(ISTEXT(Overig!D852),Overig!D852,10*Overig!D852),""",""????0;"",""???-0;"",""????0;"", ////"""),"'","""")&amp;SUBSTITUTE(TEXT(Overig!E852,""",""?00;"",""?-00;"",""?00;"", //"""),"'","""")&amp;SUBSTITUTE(TEXT(IF(ISTEXT(Overig!F852),Overig!F852,10*Overig!F852),""",""????0;"",""???-0;"",""????0;"", ////"""),"'","""")&amp;SUBSTITUTE(TEXT(Overig!G852,""",""?00;"",""?-00;"",""?00;"", //"""),"'","""")</f>
        <v>081, 19401010, 13.45, 7480, 00,  310, 00</v>
      </c>
    </row>
    <row r="853" spans="1:1" x14ac:dyDescent="0.25">
      <c r="A853" s="25" t="str">
        <f ca="1">TEXT(Overig!A853,"000\,")&amp;TEXT(Overig!B853,"?00000000")&amp;TEXT(Overig!C853,""", ""@")&amp;SUBSTITUTE(TEXT(IF(ISTEXT(Overig!D853),Overig!D853,10*Overig!D853),""",""????0;"",""???-0;"",""????0;"", ////"""),"'","""")&amp;SUBSTITUTE(TEXT(Overig!E853,""",""?00;"",""?-00;"",""?00;"", //"""),"'","""")&amp;SUBSTITUTE(TEXT(IF(ISTEXT(Overig!F853),Overig!F853,10*Overig!F853),""",""????0;"",""???-0;"",""????0;"", ////"""),"'","""")&amp;SUBSTITUTE(TEXT(Overig!G853,""",""?00;"",""?-00;"",""?00;"", //"""),"'","""")</f>
        <v>081, 19401010, 19.45, 7480, 00,  290, 00</v>
      </c>
    </row>
    <row r="854" spans="1:1" x14ac:dyDescent="0.25">
      <c r="A854" s="25" t="str">
        <f ca="1">TEXT(Overig!A854,"000\,")&amp;TEXT(Overig!B854,"?00000000")&amp;TEXT(Overig!C854,""", ""@")&amp;SUBSTITUTE(TEXT(IF(ISTEXT(Overig!D854),Overig!D854,10*Overig!D854),""",""????0;"",""???-0;"",""????0;"", ////"""),"'","""")&amp;SUBSTITUTE(TEXT(Overig!E854,""",""?00;"",""?-00;"",""?00;"", //"""),"'","""")&amp;SUBSTITUTE(TEXT(IF(ISTEXT(Overig!F854),Overig!F854,10*Overig!F854),""",""????0;"",""???-0;"",""????0;"", ////"""),"'","""")&amp;SUBSTITUTE(TEXT(Overig!G854,""",""?00;"",""?-00;"",""?00;"", //"""),"'","""")</f>
        <v>081, 19401011, 07.45, 7470, 00,  280, 00</v>
      </c>
    </row>
    <row r="855" spans="1:1" x14ac:dyDescent="0.25">
      <c r="A855" s="25" t="str">
        <f ca="1">TEXT(Overig!A855,"000\,")&amp;TEXT(Overig!B855,"?00000000")&amp;TEXT(Overig!C855,""", ""@")&amp;SUBSTITUTE(TEXT(IF(ISTEXT(Overig!D855),Overig!D855,10*Overig!D855),""",""????0;"",""???-0;"",""????0;"", ////"""),"'","""")&amp;SUBSTITUTE(TEXT(Overig!E855,""",""?00;"",""?-00;"",""?00;"", //"""),"'","""")&amp;SUBSTITUTE(TEXT(IF(ISTEXT(Overig!F855),Overig!F855,10*Overig!F855),""",""????0;"",""???-0;"",""????0;"", ////"""),"'","""")&amp;SUBSTITUTE(TEXT(Overig!G855,""",""?00;"",""?-00;"",""?00;"", //"""),"'","""")</f>
        <v>081, 19401011, 13.45, 7480, 00,  310, 00</v>
      </c>
    </row>
    <row r="856" spans="1:1" x14ac:dyDescent="0.25">
      <c r="A856" s="25" t="str">
        <f ca="1">TEXT(Overig!A856,"000\,")&amp;TEXT(Overig!B856,"?00000000")&amp;TEXT(Overig!C856,""", ""@")&amp;SUBSTITUTE(TEXT(IF(ISTEXT(Overig!D856),Overig!D856,10*Overig!D856),""",""????0;"",""???-0;"",""????0;"", ////"""),"'","""")&amp;SUBSTITUTE(TEXT(Overig!E856,""",""?00;"",""?-00;"",""?00;"", //"""),"'","""")&amp;SUBSTITUTE(TEXT(IF(ISTEXT(Overig!F856),Overig!F856,10*Overig!F856),""",""????0;"",""???-0;"",""????0;"", ////"""),"'","""")&amp;SUBSTITUTE(TEXT(Overig!G856,""",""?00;"",""?-00;"",""?00;"", //"""),"'","""")</f>
        <v>081, 19401011, 19.45, 7480, 00,  290, 00</v>
      </c>
    </row>
    <row r="857" spans="1:1" x14ac:dyDescent="0.25">
      <c r="A857" s="25" t="str">
        <f ca="1">TEXT(Overig!A857,"000\,")&amp;TEXT(Overig!B857,"?00000000")&amp;TEXT(Overig!C857,""", ""@")&amp;SUBSTITUTE(TEXT(IF(ISTEXT(Overig!D857),Overig!D857,10*Overig!D857),""",""????0;"",""???-0;"",""????0;"", ////"""),"'","""")&amp;SUBSTITUTE(TEXT(Overig!E857,""",""?00;"",""?-00;"",""?00;"", //"""),"'","""")&amp;SUBSTITUTE(TEXT(IF(ISTEXT(Overig!F857),Overig!F857,10*Overig!F857),""",""????0;"",""???-0;"",""????0;"", ////"""),"'","""")&amp;SUBSTITUTE(TEXT(Overig!G857,""",""?00;"",""?-00;"",""?00;"", //"""),"'","""")</f>
        <v>081, 19401012, 07.45, 7480, 00,  280, 00</v>
      </c>
    </row>
    <row r="858" spans="1:1" x14ac:dyDescent="0.25">
      <c r="A858" s="25" t="str">
        <f ca="1">TEXT(Overig!A858,"000\,")&amp;TEXT(Overig!B858,"?00000000")&amp;TEXT(Overig!C858,""", ""@")&amp;SUBSTITUTE(TEXT(IF(ISTEXT(Overig!D858),Overig!D858,10*Overig!D858),""",""????0;"",""???-0;"",""????0;"", ////"""),"'","""")&amp;SUBSTITUTE(TEXT(Overig!E858,""",""?00;"",""?-00;"",""?00;"", //"""),"'","""")&amp;SUBSTITUTE(TEXT(IF(ISTEXT(Overig!F858),Overig!F858,10*Overig!F858),""",""????0;"",""???-0;"",""????0;"", ////"""),"'","""")&amp;SUBSTITUTE(TEXT(Overig!G858,""",""?00;"",""?-00;"",""?00;"", //"""),"'","""")</f>
        <v>081, 19401012, 13.45, 7480, 00,  310, 00</v>
      </c>
    </row>
    <row r="859" spans="1:1" x14ac:dyDescent="0.25">
      <c r="A859" s="25" t="str">
        <f ca="1">TEXT(Overig!A859,"000\,")&amp;TEXT(Overig!B859,"?00000000")&amp;TEXT(Overig!C859,""", ""@")&amp;SUBSTITUTE(TEXT(IF(ISTEXT(Overig!D859),Overig!D859,10*Overig!D859),""",""????0;"",""???-0;"",""????0;"", ////"""),"'","""")&amp;SUBSTITUTE(TEXT(Overig!E859,""",""?00;"",""?-00;"",""?00;"", //"""),"'","""")&amp;SUBSTITUTE(TEXT(IF(ISTEXT(Overig!F859),Overig!F859,10*Overig!F859),""",""????0;"",""???-0;"",""????0;"", ////"""),"'","""")&amp;SUBSTITUTE(TEXT(Overig!G859,""",""?00;"",""?-00;"",""?00;"", //"""),"'","""")</f>
        <v>081, 19401012, 19.45, 7480, 00,  290, 00</v>
      </c>
    </row>
    <row r="860" spans="1:1" x14ac:dyDescent="0.25">
      <c r="A860" s="25" t="str">
        <f ca="1">TEXT(Overig!A860,"000\,")&amp;TEXT(Overig!B860,"?00000000")&amp;TEXT(Overig!C860,""", ""@")&amp;SUBSTITUTE(TEXT(IF(ISTEXT(Overig!D860),Overig!D860,10*Overig!D860),""",""????0;"",""???-0;"",""????0;"", ////"""),"'","""")&amp;SUBSTITUTE(TEXT(Overig!E860,""",""?00;"",""?-00;"",""?00;"", //"""),"'","""")&amp;SUBSTITUTE(TEXT(IF(ISTEXT(Overig!F860),Overig!F860,10*Overig!F860),""",""????0;"",""???-0;"",""????0;"", ////"""),"'","""")&amp;SUBSTITUTE(TEXT(Overig!G860,""",""?00;"",""?-00;"",""?00;"", //"""),"'","""")</f>
        <v>081, 19401013, 07.45, 7480, 00,  280, 00</v>
      </c>
    </row>
    <row r="861" spans="1:1" x14ac:dyDescent="0.25">
      <c r="A861" s="25" t="str">
        <f ca="1">TEXT(Overig!A861,"000\,")&amp;TEXT(Overig!B861,"?00000000")&amp;TEXT(Overig!C861,""", ""@")&amp;SUBSTITUTE(TEXT(IF(ISTEXT(Overig!D861),Overig!D861,10*Overig!D861),""",""????0;"",""???-0;"",""????0;"", ////"""),"'","""")&amp;SUBSTITUTE(TEXT(Overig!E861,""",""?00;"",""?-00;"",""?00;"", //"""),"'","""")&amp;SUBSTITUTE(TEXT(IF(ISTEXT(Overig!F861),Overig!F861,10*Overig!F861),""",""????0;"",""???-0;"",""????0;"", ////"""),"'","""")&amp;SUBSTITUTE(TEXT(Overig!G861,""",""?00;"",""?-00;"",""?00;"", //"""),"'","""")</f>
        <v>081, 19401013, 13.45, 7480, 00,  300, 00</v>
      </c>
    </row>
    <row r="862" spans="1:1" x14ac:dyDescent="0.25">
      <c r="A862" s="25" t="str">
        <f ca="1">TEXT(Overig!A862,"000\,")&amp;TEXT(Overig!B862,"?00000000")&amp;TEXT(Overig!C862,""", ""@")&amp;SUBSTITUTE(TEXT(IF(ISTEXT(Overig!D862),Overig!D862,10*Overig!D862),""",""????0;"",""???-0;"",""????0;"", ////"""),"'","""")&amp;SUBSTITUTE(TEXT(Overig!E862,""",""?00;"",""?-00;"",""?00;"", //"""),"'","""")&amp;SUBSTITUTE(TEXT(IF(ISTEXT(Overig!F862),Overig!F862,10*Overig!F862),""",""????0;"",""???-0;"",""????0;"", ////"""),"'","""")&amp;SUBSTITUTE(TEXT(Overig!G862,""",""?00;"",""?-00;"",""?00;"", //"""),"'","""")</f>
        <v>081, 19401013, 19.45, 7480, 00,  290, 00</v>
      </c>
    </row>
    <row r="863" spans="1:1" x14ac:dyDescent="0.25">
      <c r="A863" s="25" t="str">
        <f ca="1">TEXT(Overig!A863,"000\,")&amp;TEXT(Overig!B863,"?00000000")&amp;TEXT(Overig!C863,""", ""@")&amp;SUBSTITUTE(TEXT(IF(ISTEXT(Overig!D863),Overig!D863,10*Overig!D863),""",""????0;"",""???-0;"",""????0;"", ////"""),"'","""")&amp;SUBSTITUTE(TEXT(Overig!E863,""",""?00;"",""?-00;"",""?00;"", //"""),"'","""")&amp;SUBSTITUTE(TEXT(IF(ISTEXT(Overig!F863),Overig!F863,10*Overig!F863),""",""????0;"",""???-0;"",""????0;"", ////"""),"'","""")&amp;SUBSTITUTE(TEXT(Overig!G863,""",""?00;"",""?-00;"",""?00;"", //"""),"'","""")</f>
        <v>081, 19401014, 07.45, 7480, 00,  280, 00</v>
      </c>
    </row>
    <row r="864" spans="1:1" x14ac:dyDescent="0.25">
      <c r="A864" s="25" t="str">
        <f ca="1">TEXT(Overig!A864,"000\,")&amp;TEXT(Overig!B864,"?00000000")&amp;TEXT(Overig!C864,""", ""@")&amp;SUBSTITUTE(TEXT(IF(ISTEXT(Overig!D864),Overig!D864,10*Overig!D864),""",""????0;"",""???-0;"",""????0;"", ////"""),"'","""")&amp;SUBSTITUTE(TEXT(Overig!E864,""",""?00;"",""?-00;"",""?00;"", //"""),"'","""")&amp;SUBSTITUTE(TEXT(IF(ISTEXT(Overig!F864),Overig!F864,10*Overig!F864),""",""????0;"",""???-0;"",""????0;"", ////"""),"'","""")&amp;SUBSTITUTE(TEXT(Overig!G864,""",""?00;"",""?-00;"",""?00;"", //"""),"'","""")</f>
        <v>081, 19401014, 13.45, 7480, 00,  300, 00</v>
      </c>
    </row>
    <row r="865" spans="1:1" x14ac:dyDescent="0.25">
      <c r="A865" s="25" t="str">
        <f ca="1">TEXT(Overig!A865,"000\,")&amp;TEXT(Overig!B865,"?00000000")&amp;TEXT(Overig!C865,""", ""@")&amp;SUBSTITUTE(TEXT(IF(ISTEXT(Overig!D865),Overig!D865,10*Overig!D865),""",""????0;"",""???-0;"",""????0;"", ////"""),"'","""")&amp;SUBSTITUTE(TEXT(Overig!E865,""",""?00;"",""?-00;"",""?00;"", //"""),"'","""")&amp;SUBSTITUTE(TEXT(IF(ISTEXT(Overig!F865),Overig!F865,10*Overig!F865),""",""????0;"",""???-0;"",""????0;"", ////"""),"'","""")&amp;SUBSTITUTE(TEXT(Overig!G865,""",""?00;"",""?-00;"",""?00;"", //"""),"'","""")</f>
        <v>081, 19401014, 19.45, 7480, 00,  290, 00</v>
      </c>
    </row>
    <row r="866" spans="1:1" x14ac:dyDescent="0.25">
      <c r="A866" s="25" t="str">
        <f ca="1">TEXT(Overig!A866,"000\,")&amp;TEXT(Overig!B866,"?00000000")&amp;TEXT(Overig!C866,""", ""@")&amp;SUBSTITUTE(TEXT(IF(ISTEXT(Overig!D866),Overig!D866,10*Overig!D866),""",""????0;"",""???-0;"",""????0;"", ////"""),"'","""")&amp;SUBSTITUTE(TEXT(Overig!E866,""",""?00;"",""?-00;"",""?00;"", //"""),"'","""")&amp;SUBSTITUTE(TEXT(IF(ISTEXT(Overig!F866),Overig!F866,10*Overig!F866),""",""????0;"",""???-0;"",""????0;"", ////"""),"'","""")&amp;SUBSTITUTE(TEXT(Overig!G866,""",""?00;"",""?-00;"",""?00;"", //"""),"'","""")</f>
        <v>081, 19401015, 07.45, 7480, 00,  280, 00</v>
      </c>
    </row>
    <row r="867" spans="1:1" x14ac:dyDescent="0.25">
      <c r="A867" s="25" t="str">
        <f ca="1">TEXT(Overig!A867,"000\,")&amp;TEXT(Overig!B867,"?00000000")&amp;TEXT(Overig!C867,""", ""@")&amp;SUBSTITUTE(TEXT(IF(ISTEXT(Overig!D867),Overig!D867,10*Overig!D867),""",""????0;"",""???-0;"",""????0;"", ////"""),"'","""")&amp;SUBSTITUTE(TEXT(Overig!E867,""",""?00;"",""?-00;"",""?00;"", //"""),"'","""")&amp;SUBSTITUTE(TEXT(IF(ISTEXT(Overig!F867),Overig!F867,10*Overig!F867),""",""????0;"",""???-0;"",""????0;"", ////"""),"'","""")&amp;SUBSTITUTE(TEXT(Overig!G867,""",""?00;"",""?-00;"",""?00;"", //"""),"'","""")</f>
        <v>081, 19401015, 13.45, 7480, 00,  310, 00</v>
      </c>
    </row>
    <row r="868" spans="1:1" x14ac:dyDescent="0.25">
      <c r="A868" s="25" t="str">
        <f ca="1">TEXT(Overig!A868,"000\,")&amp;TEXT(Overig!B868,"?00000000")&amp;TEXT(Overig!C868,""", ""@")&amp;SUBSTITUTE(TEXT(IF(ISTEXT(Overig!D868),Overig!D868,10*Overig!D868),""",""????0;"",""???-0;"",""????0;"", ////"""),"'","""")&amp;SUBSTITUTE(TEXT(Overig!E868,""",""?00;"",""?-00;"",""?00;"", //"""),"'","""")&amp;SUBSTITUTE(TEXT(IF(ISTEXT(Overig!F868),Overig!F868,10*Overig!F868),""",""????0;"",""???-0;"",""????0;"", ////"""),"'","""")&amp;SUBSTITUTE(TEXT(Overig!G868,""",""?00;"",""?-00;"",""?00;"", //"""),"'","""")</f>
        <v>081, 19401015, 19.45, 7480, 00,  300, 00</v>
      </c>
    </row>
    <row r="869" spans="1:1" x14ac:dyDescent="0.25">
      <c r="A869" s="25" t="str">
        <f ca="1">TEXT(Overig!A869,"000\,")&amp;TEXT(Overig!B869,"?00000000")&amp;TEXT(Overig!C869,""", ""@")&amp;SUBSTITUTE(TEXT(IF(ISTEXT(Overig!D869),Overig!D869,10*Overig!D869),""",""????0;"",""???-0;"",""????0;"", ////"""),"'","""")&amp;SUBSTITUTE(TEXT(Overig!E869,""",""?00;"",""?-00;"",""?00;"", //"""),"'","""")&amp;SUBSTITUTE(TEXT(IF(ISTEXT(Overig!F869),Overig!F869,10*Overig!F869),""",""????0;"",""???-0;"",""????0;"", ////"""),"'","""")&amp;SUBSTITUTE(TEXT(Overig!G869,""",""?00;"",""?-00;"",""?00;"", //"""),"'","""")</f>
        <v>081, 19401016, 07.45, 7480, 00,  280, 00</v>
      </c>
    </row>
    <row r="870" spans="1:1" x14ac:dyDescent="0.25">
      <c r="A870" s="25" t="str">
        <f ca="1">TEXT(Overig!A870,"000\,")&amp;TEXT(Overig!B870,"?00000000")&amp;TEXT(Overig!C870,""", ""@")&amp;SUBSTITUTE(TEXT(IF(ISTEXT(Overig!D870),Overig!D870,10*Overig!D870),""",""????0;"",""???-0;"",""????0;"", ////"""),"'","""")&amp;SUBSTITUTE(TEXT(Overig!E870,""",""?00;"",""?-00;"",""?00;"", //"""),"'","""")&amp;SUBSTITUTE(TEXT(IF(ISTEXT(Overig!F870),Overig!F870,10*Overig!F870),""",""????0;"",""???-0;"",""????0;"", ////"""),"'","""")&amp;SUBSTITUTE(TEXT(Overig!G870,""",""?00;"",""?-00;"",""?00;"", //"""),"'","""")</f>
        <v>081, 19401016, 13.45, 7480, 00,  300, 00</v>
      </c>
    </row>
    <row r="871" spans="1:1" x14ac:dyDescent="0.25">
      <c r="A871" s="25" t="str">
        <f ca="1">TEXT(Overig!A871,"000\,")&amp;TEXT(Overig!B871,"?00000000")&amp;TEXT(Overig!C871,""", ""@")&amp;SUBSTITUTE(TEXT(IF(ISTEXT(Overig!D871),Overig!D871,10*Overig!D871),""",""????0;"",""???-0;"",""????0;"", ////"""),"'","""")&amp;SUBSTITUTE(TEXT(Overig!E871,""",""?00;"",""?-00;"",""?00;"", //"""),"'","""")&amp;SUBSTITUTE(TEXT(IF(ISTEXT(Overig!F871),Overig!F871,10*Overig!F871),""",""????0;"",""???-0;"",""????0;"", ////"""),"'","""")&amp;SUBSTITUTE(TEXT(Overig!G871,""",""?00;"",""?-00;"",""?00;"", //"""),"'","""")</f>
        <v>081, 19401016, 19.45, 7480, 00,  280, 00</v>
      </c>
    </row>
    <row r="872" spans="1:1" x14ac:dyDescent="0.25">
      <c r="A872" s="25" t="str">
        <f ca="1">TEXT(Overig!A872,"000\,")&amp;TEXT(Overig!B872,"?00000000")&amp;TEXT(Overig!C872,""", ""@")&amp;SUBSTITUTE(TEXT(IF(ISTEXT(Overig!D872),Overig!D872,10*Overig!D872),""",""????0;"",""???-0;"",""????0;"", ////"""),"'","""")&amp;SUBSTITUTE(TEXT(Overig!E872,""",""?00;"",""?-00;"",""?00;"", //"""),"'","""")&amp;SUBSTITUTE(TEXT(IF(ISTEXT(Overig!F872),Overig!F872,10*Overig!F872),""",""????0;"",""???-0;"",""????0;"", ////"""),"'","""")&amp;SUBSTITUTE(TEXT(Overig!G872,""",""?00;"",""?-00;"",""?00;"", //"""),"'","""")</f>
        <v>081, 19401017, 07.45, 7490, 00,  270, 00</v>
      </c>
    </row>
    <row r="873" spans="1:1" x14ac:dyDescent="0.25">
      <c r="A873" s="25" t="str">
        <f ca="1">TEXT(Overig!A873,"000\,")&amp;TEXT(Overig!B873,"?00000000")&amp;TEXT(Overig!C873,""", ""@")&amp;SUBSTITUTE(TEXT(IF(ISTEXT(Overig!D873),Overig!D873,10*Overig!D873),""",""????0;"",""???-0;"",""????0;"", ////"""),"'","""")&amp;SUBSTITUTE(TEXT(Overig!E873,""",""?00;"",""?-00;"",""?00;"", //"""),"'","""")&amp;SUBSTITUTE(TEXT(IF(ISTEXT(Overig!F873),Overig!F873,10*Overig!F873),""",""????0;"",""???-0;"",""????0;"", ////"""),"'","""")&amp;SUBSTITUTE(TEXT(Overig!G873,""",""?00;"",""?-00;"",""?00;"", //"""),"'","""")</f>
        <v>081, 19401017, 13.45, 7480, 00,  310, 00</v>
      </c>
    </row>
    <row r="874" spans="1:1" x14ac:dyDescent="0.25">
      <c r="A874" s="25" t="str">
        <f ca="1">TEXT(Overig!A874,"000\,")&amp;TEXT(Overig!B874,"?00000000")&amp;TEXT(Overig!C874,""", ""@")&amp;SUBSTITUTE(TEXT(IF(ISTEXT(Overig!D874),Overig!D874,10*Overig!D874),""",""????0;"",""???-0;"",""????0;"", ////"""),"'","""")&amp;SUBSTITUTE(TEXT(Overig!E874,""",""?00;"",""?-00;"",""?00;"", //"""),"'","""")&amp;SUBSTITUTE(TEXT(IF(ISTEXT(Overig!F874),Overig!F874,10*Overig!F874),""",""????0;"",""???-0;"",""????0;"", ////"""),"'","""")&amp;SUBSTITUTE(TEXT(Overig!G874,""",""?00;"",""?-00;"",""?00;"", //"""),"'","""")</f>
        <v>081, 19401017, 19.45, 7490, 00,  300, 00</v>
      </c>
    </row>
    <row r="875" spans="1:1" x14ac:dyDescent="0.25">
      <c r="A875" s="25" t="str">
        <f ca="1">TEXT(Overig!A875,"000\,")&amp;TEXT(Overig!B875,"?00000000")&amp;TEXT(Overig!C875,""", ""@")&amp;SUBSTITUTE(TEXT(IF(ISTEXT(Overig!D875),Overig!D875,10*Overig!D875),""",""????0;"",""???-0;"",""????0;"", ////"""),"'","""")&amp;SUBSTITUTE(TEXT(Overig!E875,""",""?00;"",""?-00;"",""?00;"", //"""),"'","""")&amp;SUBSTITUTE(TEXT(IF(ISTEXT(Overig!F875),Overig!F875,10*Overig!F875),""",""????0;"",""???-0;"",""????0;"", ////"""),"'","""")&amp;SUBSTITUTE(TEXT(Overig!G875,""",""?00;"",""?-00;"",""?00;"", //"""),"'","""")</f>
        <v>081, 19401018, 07.45, 7480, 00,  280, 00</v>
      </c>
    </row>
    <row r="876" spans="1:1" x14ac:dyDescent="0.25">
      <c r="A876" s="25" t="str">
        <f ca="1">TEXT(Overig!A876,"000\,")&amp;TEXT(Overig!B876,"?00000000")&amp;TEXT(Overig!C876,""", ""@")&amp;SUBSTITUTE(TEXT(IF(ISTEXT(Overig!D876),Overig!D876,10*Overig!D876),""",""????0;"",""???-0;"",""????0;"", ////"""),"'","""")&amp;SUBSTITUTE(TEXT(Overig!E876,""",""?00;"",""?-00;"",""?00;"", //"""),"'","""")&amp;SUBSTITUTE(TEXT(IF(ISTEXT(Overig!F876),Overig!F876,10*Overig!F876),""",""????0;"",""???-0;"",""????0;"", ////"""),"'","""")&amp;SUBSTITUTE(TEXT(Overig!G876,""",""?00;"",""?-00;"",""?00;"", //"""),"'","""")</f>
        <v>081, 19401018, 13.45, 7480, 00,  310, 00</v>
      </c>
    </row>
    <row r="877" spans="1:1" x14ac:dyDescent="0.25">
      <c r="A877" s="25" t="str">
        <f ca="1">TEXT(Overig!A877,"000\,")&amp;TEXT(Overig!B877,"?00000000")&amp;TEXT(Overig!C877,""", ""@")&amp;SUBSTITUTE(TEXT(IF(ISTEXT(Overig!D877),Overig!D877,10*Overig!D877),""",""????0;"",""???-0;"",""????0;"", ////"""),"'","""")&amp;SUBSTITUTE(TEXT(Overig!E877,""",""?00;"",""?-00;"",""?00;"", //"""),"'","""")&amp;SUBSTITUTE(TEXT(IF(ISTEXT(Overig!F877),Overig!F877,10*Overig!F877),""",""????0;"",""???-0;"",""????0;"", ////"""),"'","""")&amp;SUBSTITUTE(TEXT(Overig!G877,""",""?00;"",""?-00;"",""?00;"", //"""),"'","""")</f>
        <v>081, 19401018, 19.45, 7480, 00,  300, 00</v>
      </c>
    </row>
    <row r="878" spans="1:1" x14ac:dyDescent="0.25">
      <c r="A878" s="25" t="str">
        <f ca="1">TEXT(Overig!A878,"000\,")&amp;TEXT(Overig!B878,"?00000000")&amp;TEXT(Overig!C878,""", ""@")&amp;SUBSTITUTE(TEXT(IF(ISTEXT(Overig!D878),Overig!D878,10*Overig!D878),""",""????0;"",""???-0;"",""????0;"", ////"""),"'","""")&amp;SUBSTITUTE(TEXT(Overig!E878,""",""?00;"",""?-00;"",""?00;"", //"""),"'","""")&amp;SUBSTITUTE(TEXT(IF(ISTEXT(Overig!F878),Overig!F878,10*Overig!F878),""",""????0;"",""???-0;"",""????0;"", ////"""),"'","""")&amp;SUBSTITUTE(TEXT(Overig!G878,""",""?00;"",""?-00;"",""?00;"", //"""),"'","""")</f>
        <v>081, 19401019, 07.45, 7480, 00,  280, 00</v>
      </c>
    </row>
    <row r="879" spans="1:1" x14ac:dyDescent="0.25">
      <c r="A879" s="25" t="str">
        <f ca="1">TEXT(Overig!A879,"000\,")&amp;TEXT(Overig!B879,"?00000000")&amp;TEXT(Overig!C879,""", ""@")&amp;SUBSTITUTE(TEXT(IF(ISTEXT(Overig!D879),Overig!D879,10*Overig!D879),""",""????0;"",""???-0;"",""????0;"", ////"""),"'","""")&amp;SUBSTITUTE(TEXT(Overig!E879,""",""?00;"",""?-00;"",""?00;"", //"""),"'","""")&amp;SUBSTITUTE(TEXT(IF(ISTEXT(Overig!F879),Overig!F879,10*Overig!F879),""",""????0;"",""???-0;"",""????0;"", ////"""),"'","""")&amp;SUBSTITUTE(TEXT(Overig!G879,""",""?00;"",""?-00;"",""?00;"", //"""),"'","""")</f>
        <v>081, 19401019, 13.45, 7470, 00,  310, 00</v>
      </c>
    </row>
    <row r="880" spans="1:1" x14ac:dyDescent="0.25">
      <c r="A880" s="25" t="str">
        <f ca="1">TEXT(Overig!A880,"000\,")&amp;TEXT(Overig!B880,"?00000000")&amp;TEXT(Overig!C880,""", ""@")&amp;SUBSTITUTE(TEXT(IF(ISTEXT(Overig!D880),Overig!D880,10*Overig!D880),""",""????0;"",""???-0;"",""????0;"", ////"""),"'","""")&amp;SUBSTITUTE(TEXT(Overig!E880,""",""?00;"",""?-00;"",""?00;"", //"""),"'","""")&amp;SUBSTITUTE(TEXT(IF(ISTEXT(Overig!F880),Overig!F880,10*Overig!F880),""",""????0;"",""???-0;"",""????0;"", ////"""),"'","""")&amp;SUBSTITUTE(TEXT(Overig!G880,""",""?00;"",""?-00;"",""?00;"", //"""),"'","""")</f>
        <v>081, 19401019, 19.45, 7480, 00,  300, 00</v>
      </c>
    </row>
    <row r="881" spans="1:1" x14ac:dyDescent="0.25">
      <c r="A881" s="25" t="str">
        <f ca="1">TEXT(Overig!A881,"000\,")&amp;TEXT(Overig!B881,"?00000000")&amp;TEXT(Overig!C881,""", ""@")&amp;SUBSTITUTE(TEXT(IF(ISTEXT(Overig!D881),Overig!D881,10*Overig!D881),""",""????0;"",""???-0;"",""????0;"", ////"""),"'","""")&amp;SUBSTITUTE(TEXT(Overig!E881,""",""?00;"",""?-00;"",""?00;"", //"""),"'","""")&amp;SUBSTITUTE(TEXT(IF(ISTEXT(Overig!F881),Overig!F881,10*Overig!F881),""",""????0;"",""???-0;"",""????0;"", ////"""),"'","""")&amp;SUBSTITUTE(TEXT(Overig!G881,""",""?00;"",""?-00;"",""?00;"", //"""),"'","""")</f>
        <v>081, 19401020, 07.45, 7480, 00,  280, 00</v>
      </c>
    </row>
    <row r="882" spans="1:1" x14ac:dyDescent="0.25">
      <c r="A882" s="25" t="str">
        <f ca="1">TEXT(Overig!A882,"000\,")&amp;TEXT(Overig!B882,"?00000000")&amp;TEXT(Overig!C882,""", ""@")&amp;SUBSTITUTE(TEXT(IF(ISTEXT(Overig!D882),Overig!D882,10*Overig!D882),""",""????0;"",""???-0;"",""????0;"", ////"""),"'","""")&amp;SUBSTITUTE(TEXT(Overig!E882,""",""?00;"",""?-00;"",""?00;"", //"""),"'","""")&amp;SUBSTITUTE(TEXT(IF(ISTEXT(Overig!F882),Overig!F882,10*Overig!F882),""",""????0;"",""???-0;"",""????0;"", ////"""),"'","""")&amp;SUBSTITUTE(TEXT(Overig!G882,""",""?00;"",""?-00;"",""?00;"", //"""),"'","""")</f>
        <v>081, 19401020, 13.45, 7480, 00,  300, 00</v>
      </c>
    </row>
    <row r="883" spans="1:1" x14ac:dyDescent="0.25">
      <c r="A883" s="25" t="str">
        <f ca="1">TEXT(Overig!A883,"000\,")&amp;TEXT(Overig!B883,"?00000000")&amp;TEXT(Overig!C883,""", ""@")&amp;SUBSTITUTE(TEXT(IF(ISTEXT(Overig!D883),Overig!D883,10*Overig!D883),""",""????0;"",""???-0;"",""????0;"", ////"""),"'","""")&amp;SUBSTITUTE(TEXT(Overig!E883,""",""?00;"",""?-00;"",""?00;"", //"""),"'","""")&amp;SUBSTITUTE(TEXT(IF(ISTEXT(Overig!F883),Overig!F883,10*Overig!F883),""",""????0;"",""???-0;"",""????0;"", ////"""),"'","""")&amp;SUBSTITUTE(TEXT(Overig!G883,""",""?00;"",""?-00;"",""?00;"", //"""),"'","""")</f>
        <v>081, 19401020, 19.45, 7480, 00,  290, 00</v>
      </c>
    </row>
    <row r="884" spans="1:1" x14ac:dyDescent="0.25">
      <c r="A884" s="25" t="str">
        <f ca="1">TEXT(Overig!A884,"000\,")&amp;TEXT(Overig!B884,"?00000000")&amp;TEXT(Overig!C884,""", ""@")&amp;SUBSTITUTE(TEXT(IF(ISTEXT(Overig!D884),Overig!D884,10*Overig!D884),""",""????0;"",""???-0;"",""????0;"", ////"""),"'","""")&amp;SUBSTITUTE(TEXT(Overig!E884,""",""?00;"",""?-00;"",""?00;"", //"""),"'","""")&amp;SUBSTITUTE(TEXT(IF(ISTEXT(Overig!F884),Overig!F884,10*Overig!F884),""",""????0;"",""???-0;"",""????0;"", ////"""),"'","""")&amp;SUBSTITUTE(TEXT(Overig!G884,""",""?00;"",""?-00;"",""?00;"", //"""),"'","""")</f>
        <v>081, 19401021, 07.45, 7470, 00,  280, 00</v>
      </c>
    </row>
    <row r="885" spans="1:1" x14ac:dyDescent="0.25">
      <c r="A885" s="25" t="str">
        <f ca="1">TEXT(Overig!A885,"000\,")&amp;TEXT(Overig!B885,"?00000000")&amp;TEXT(Overig!C885,""", ""@")&amp;SUBSTITUTE(TEXT(IF(ISTEXT(Overig!D885),Overig!D885,10*Overig!D885),""",""????0;"",""???-0;"",""????0;"", ////"""),"'","""")&amp;SUBSTITUTE(TEXT(Overig!E885,""",""?00;"",""?-00;"",""?00;"", //"""),"'","""")&amp;SUBSTITUTE(TEXT(IF(ISTEXT(Overig!F885),Overig!F885,10*Overig!F885),""",""????0;"",""???-0;"",""????0;"", ////"""),"'","""")&amp;SUBSTITUTE(TEXT(Overig!G885,""",""?00;"",""?-00;"",""?00;"", //"""),"'","""")</f>
        <v>081, 19401021, 13.45, 7480, 00,  310, 00</v>
      </c>
    </row>
    <row r="886" spans="1:1" x14ac:dyDescent="0.25">
      <c r="A886" s="25" t="str">
        <f ca="1">TEXT(Overig!A886,"000\,")&amp;TEXT(Overig!B886,"?00000000")&amp;TEXT(Overig!C886,""", ""@")&amp;SUBSTITUTE(TEXT(IF(ISTEXT(Overig!D886),Overig!D886,10*Overig!D886),""",""????0;"",""???-0;"",""????0;"", ////"""),"'","""")&amp;SUBSTITUTE(TEXT(Overig!E886,""",""?00;"",""?-00;"",""?00;"", //"""),"'","""")&amp;SUBSTITUTE(TEXT(IF(ISTEXT(Overig!F886),Overig!F886,10*Overig!F886),""",""????0;"",""???-0;"",""????0;"", ////"""),"'","""")&amp;SUBSTITUTE(TEXT(Overig!G886,""",""?00;"",""?-00;"",""?00;"", //"""),"'","""")</f>
        <v>081, 19401021, 19.45, 7480, 00,  290, 00</v>
      </c>
    </row>
    <row r="887" spans="1:1" x14ac:dyDescent="0.25">
      <c r="A887" s="25" t="str">
        <f ca="1">TEXT(Overig!A887,"000\,")&amp;TEXT(Overig!B887,"?00000000")&amp;TEXT(Overig!C887,""", ""@")&amp;SUBSTITUTE(TEXT(IF(ISTEXT(Overig!D887),Overig!D887,10*Overig!D887),""",""????0;"",""???-0;"",""????0;"", ////"""),"'","""")&amp;SUBSTITUTE(TEXT(Overig!E887,""",""?00;"",""?-00;"",""?00;"", //"""),"'","""")&amp;SUBSTITUTE(TEXT(IF(ISTEXT(Overig!F887),Overig!F887,10*Overig!F887),""",""????0;"",""???-0;"",""????0;"", ////"""),"'","""")&amp;SUBSTITUTE(TEXT(Overig!G887,""",""?00;"",""?-00;"",""?00;"", //"""),"'","""")</f>
        <v>081, 19401022, 07.45, 7480, 00,  280, 00</v>
      </c>
    </row>
    <row r="888" spans="1:1" x14ac:dyDescent="0.25">
      <c r="A888" s="25" t="str">
        <f ca="1">TEXT(Overig!A888,"000\,")&amp;TEXT(Overig!B888,"?00000000")&amp;TEXT(Overig!C888,""", ""@")&amp;SUBSTITUTE(TEXT(IF(ISTEXT(Overig!D888),Overig!D888,10*Overig!D888),""",""????0;"",""???-0;"",""????0;"", ////"""),"'","""")&amp;SUBSTITUTE(TEXT(Overig!E888,""",""?00;"",""?-00;"",""?00;"", //"""),"'","""")&amp;SUBSTITUTE(TEXT(IF(ISTEXT(Overig!F888),Overig!F888,10*Overig!F888),""",""????0;"",""???-0;"",""????0;"", ////"""),"'","""")&amp;SUBSTITUTE(TEXT(Overig!G888,""",""?00;"",""?-00;"",""?00;"", //"""),"'","""")</f>
        <v>081, 19401022, 13.45, 7480, 00,  300, 00</v>
      </c>
    </row>
    <row r="889" spans="1:1" x14ac:dyDescent="0.25">
      <c r="A889" s="25" t="str">
        <f ca="1">TEXT(Overig!A889,"000\,")&amp;TEXT(Overig!B889,"?00000000")&amp;TEXT(Overig!C889,""", ""@")&amp;SUBSTITUTE(TEXT(IF(ISTEXT(Overig!D889),Overig!D889,10*Overig!D889),""",""????0;"",""???-0;"",""????0;"", ////"""),"'","""")&amp;SUBSTITUTE(TEXT(Overig!E889,""",""?00;"",""?-00;"",""?00;"", //"""),"'","""")&amp;SUBSTITUTE(TEXT(IF(ISTEXT(Overig!F889),Overig!F889,10*Overig!F889),""",""????0;"",""???-0;"",""????0;"", ////"""),"'","""")&amp;SUBSTITUTE(TEXT(Overig!G889,""",""?00;"",""?-00;"",""?00;"", //"""),"'","""")</f>
        <v>081, 19401022, 19.45, 7470, 00,  290, 00</v>
      </c>
    </row>
    <row r="890" spans="1:1" x14ac:dyDescent="0.25">
      <c r="A890" s="25" t="str">
        <f ca="1">TEXT(Overig!A890,"000\,")&amp;TEXT(Overig!B890,"?00000000")&amp;TEXT(Overig!C890,""", ""@")&amp;SUBSTITUTE(TEXT(IF(ISTEXT(Overig!D890),Overig!D890,10*Overig!D890),""",""????0;"",""???-0;"",""????0;"", ////"""),"'","""")&amp;SUBSTITUTE(TEXT(Overig!E890,""",""?00;"",""?-00;"",""?00;"", //"""),"'","""")&amp;SUBSTITUTE(TEXT(IF(ISTEXT(Overig!F890),Overig!F890,10*Overig!F890),""",""????0;"",""???-0;"",""????0;"", ////"""),"'","""")&amp;SUBSTITUTE(TEXT(Overig!G890,""",""?00;"",""?-00;"",""?00;"", //"""),"'","""")</f>
        <v>081, 19401023, 07.45, 7470, 00,  280, 00</v>
      </c>
    </row>
    <row r="891" spans="1:1" x14ac:dyDescent="0.25">
      <c r="A891" s="25" t="str">
        <f ca="1">TEXT(Overig!A891,"000\,")&amp;TEXT(Overig!B891,"?00000000")&amp;TEXT(Overig!C891,""", ""@")&amp;SUBSTITUTE(TEXT(IF(ISTEXT(Overig!D891),Overig!D891,10*Overig!D891),""",""????0;"",""???-0;"",""????0;"", ////"""),"'","""")&amp;SUBSTITUTE(TEXT(Overig!E891,""",""?00;"",""?-00;"",""?00;"", //"""),"'","""")&amp;SUBSTITUTE(TEXT(IF(ISTEXT(Overig!F891),Overig!F891,10*Overig!F891),""",""????0;"",""???-0;"",""????0;"", ////"""),"'","""")&amp;SUBSTITUTE(TEXT(Overig!G891,""",""?00;"",""?-00;"",""?00;"", //"""),"'","""")</f>
        <v>081, 19401023, 13.45, 7470, 00,  300, 00</v>
      </c>
    </row>
    <row r="892" spans="1:1" x14ac:dyDescent="0.25">
      <c r="A892" s="25" t="str">
        <f ca="1">TEXT(Overig!A892,"000\,")&amp;TEXT(Overig!B892,"?00000000")&amp;TEXT(Overig!C892,""", ""@")&amp;SUBSTITUTE(TEXT(IF(ISTEXT(Overig!D892),Overig!D892,10*Overig!D892),""",""????0;"",""???-0;"",""????0;"", ////"""),"'","""")&amp;SUBSTITUTE(TEXT(Overig!E892,""",""?00;"",""?-00;"",""?00;"", //"""),"'","""")&amp;SUBSTITUTE(TEXT(IF(ISTEXT(Overig!F892),Overig!F892,10*Overig!F892),""",""????0;"",""???-0;"",""????0;"", ////"""),"'","""")&amp;SUBSTITUTE(TEXT(Overig!G892,""",""?00;"",""?-00;"",""?00;"", //"""),"'","""")</f>
        <v>081, 19401023, 19.45, 7480, 00,  290, 00</v>
      </c>
    </row>
    <row r="893" spans="1:1" x14ac:dyDescent="0.25">
      <c r="A893" s="25" t="str">
        <f ca="1">TEXT(Overig!A893,"000\,")&amp;TEXT(Overig!B893,"?00000000")&amp;TEXT(Overig!C893,""", ""@")&amp;SUBSTITUTE(TEXT(IF(ISTEXT(Overig!D893),Overig!D893,10*Overig!D893),""",""????0;"",""???-0;"",""????0;"", ////"""),"'","""")&amp;SUBSTITUTE(TEXT(Overig!E893,""",""?00;"",""?-00;"",""?00;"", //"""),"'","""")&amp;SUBSTITUTE(TEXT(IF(ISTEXT(Overig!F893),Overig!F893,10*Overig!F893),""",""????0;"",""???-0;"",""????0;"", ////"""),"'","""")&amp;SUBSTITUTE(TEXT(Overig!G893,""",""?00;"",""?-00;"",""?00;"", //"""),"'","""")</f>
        <v>081, 19401024, 07.45, 7470, 00,  280, 00</v>
      </c>
    </row>
    <row r="894" spans="1:1" x14ac:dyDescent="0.25">
      <c r="A894" s="25" t="str">
        <f ca="1">TEXT(Overig!A894,"000\,")&amp;TEXT(Overig!B894,"?00000000")&amp;TEXT(Overig!C894,""", ""@")&amp;SUBSTITUTE(TEXT(IF(ISTEXT(Overig!D894),Overig!D894,10*Overig!D894),""",""????0;"",""???-0;"",""????0;"", ////"""),"'","""")&amp;SUBSTITUTE(TEXT(Overig!E894,""",""?00;"",""?-00;"",""?00;"", //"""),"'","""")&amp;SUBSTITUTE(TEXT(IF(ISTEXT(Overig!F894),Overig!F894,10*Overig!F894),""",""????0;"",""???-0;"",""????0;"", ////"""),"'","""")&amp;SUBSTITUTE(TEXT(Overig!G894,""",""?00;"",""?-00;"",""?00;"", //"""),"'","""")</f>
        <v>081, 19401024, 13.45, 7480, 00,  300, 00</v>
      </c>
    </row>
    <row r="895" spans="1:1" x14ac:dyDescent="0.25">
      <c r="A895" s="25" t="str">
        <f ca="1">TEXT(Overig!A895,"000\,")&amp;TEXT(Overig!B895,"?00000000")&amp;TEXT(Overig!C895,""", ""@")&amp;SUBSTITUTE(TEXT(IF(ISTEXT(Overig!D895),Overig!D895,10*Overig!D895),""",""????0;"",""???-0;"",""????0;"", ////"""),"'","""")&amp;SUBSTITUTE(TEXT(Overig!E895,""",""?00;"",""?-00;"",""?00;"", //"""),"'","""")&amp;SUBSTITUTE(TEXT(IF(ISTEXT(Overig!F895),Overig!F895,10*Overig!F895),""",""????0;"",""???-0;"",""????0;"", ////"""),"'","""")&amp;SUBSTITUTE(TEXT(Overig!G895,""",""?00;"",""?-00;"",""?00;"", //"""),"'","""")</f>
        <v>081, 19401024, 19.45, 7480, 00,  290, 00</v>
      </c>
    </row>
    <row r="896" spans="1:1" x14ac:dyDescent="0.25">
      <c r="A896" s="25" t="str">
        <f ca="1">TEXT(Overig!A896,"000\,")&amp;TEXT(Overig!B896,"?00000000")&amp;TEXT(Overig!C896,""", ""@")&amp;SUBSTITUTE(TEXT(IF(ISTEXT(Overig!D896),Overig!D896,10*Overig!D896),""",""????0;"",""???-0;"",""????0;"", ////"""),"'","""")&amp;SUBSTITUTE(TEXT(Overig!E896,""",""?00;"",""?-00;"",""?00;"", //"""),"'","""")&amp;SUBSTITUTE(TEXT(IF(ISTEXT(Overig!F896),Overig!F896,10*Overig!F896),""",""????0;"",""???-0;"",""????0;"", ////"""),"'","""")&amp;SUBSTITUTE(TEXT(Overig!G896,""",""?00;"",""?-00;"",""?00;"", //"""),"'","""")</f>
        <v>081, 19401025, 07.45, 7480, 00,  280, 00</v>
      </c>
    </row>
    <row r="897" spans="1:1" x14ac:dyDescent="0.25">
      <c r="A897" s="25" t="str">
        <f ca="1">TEXT(Overig!A897,"000\,")&amp;TEXT(Overig!B897,"?00000000")&amp;TEXT(Overig!C897,""", ""@")&amp;SUBSTITUTE(TEXT(IF(ISTEXT(Overig!D897),Overig!D897,10*Overig!D897),""",""????0;"",""???-0;"",""????0;"", ////"""),"'","""")&amp;SUBSTITUTE(TEXT(Overig!E897,""",""?00;"",""?-00;"",""?00;"", //"""),"'","""")&amp;SUBSTITUTE(TEXT(IF(ISTEXT(Overig!F897),Overig!F897,10*Overig!F897),""",""????0;"",""???-0;"",""????0;"", ////"""),"'","""")&amp;SUBSTITUTE(TEXT(Overig!G897,""",""?00;"",""?-00;"",""?00;"", //"""),"'","""")</f>
        <v>081, 19401025, 13.45, 7480, 00,  310, 00</v>
      </c>
    </row>
    <row r="898" spans="1:1" x14ac:dyDescent="0.25">
      <c r="A898" s="25" t="str">
        <f ca="1">TEXT(Overig!A898,"000\,")&amp;TEXT(Overig!B898,"?00000000")&amp;TEXT(Overig!C898,""", ""@")&amp;SUBSTITUTE(TEXT(IF(ISTEXT(Overig!D898),Overig!D898,10*Overig!D898),""",""????0;"",""???-0;"",""????0;"", ////"""),"'","""")&amp;SUBSTITUTE(TEXT(Overig!E898,""",""?00;"",""?-00;"",""?00;"", //"""),"'","""")&amp;SUBSTITUTE(TEXT(IF(ISTEXT(Overig!F898),Overig!F898,10*Overig!F898),""",""????0;"",""???-0;"",""????0;"", ////"""),"'","""")&amp;SUBSTITUTE(TEXT(Overig!G898,""",""?00;"",""?-00;"",""?00;"", //"""),"'","""")</f>
        <v>081, 19401025, 19.45, 7480, 00,  300, 00</v>
      </c>
    </row>
    <row r="899" spans="1:1" x14ac:dyDescent="0.25">
      <c r="A899" s="25" t="str">
        <f ca="1">TEXT(Overig!A899,"000\,")&amp;TEXT(Overig!B899,"?00000000")&amp;TEXT(Overig!C899,""", ""@")&amp;SUBSTITUTE(TEXT(IF(ISTEXT(Overig!D899),Overig!D899,10*Overig!D899),""",""????0;"",""???-0;"",""????0;"", ////"""),"'","""")&amp;SUBSTITUTE(TEXT(Overig!E899,""",""?00;"",""?-00;"",""?00;"", //"""),"'","""")&amp;SUBSTITUTE(TEXT(IF(ISTEXT(Overig!F899),Overig!F899,10*Overig!F899),""",""????0;"",""???-0;"",""????0;"", ////"""),"'","""")&amp;SUBSTITUTE(TEXT(Overig!G899,""",""?00;"",""?-00;"",""?00;"", //"""),"'","""")</f>
        <v>081, 19401026, 07.45, 7480, 00,  280, 00</v>
      </c>
    </row>
    <row r="900" spans="1:1" x14ac:dyDescent="0.25">
      <c r="A900" s="25" t="str">
        <f ca="1">TEXT(Overig!A900,"000\,")&amp;TEXT(Overig!B900,"?00000000")&amp;TEXT(Overig!C900,""", ""@")&amp;SUBSTITUTE(TEXT(IF(ISTEXT(Overig!D900),Overig!D900,10*Overig!D900),""",""????0;"",""???-0;"",""????0;"", ////"""),"'","""")&amp;SUBSTITUTE(TEXT(Overig!E900,""",""?00;"",""?-00;"",""?00;"", //"""),"'","""")&amp;SUBSTITUTE(TEXT(IF(ISTEXT(Overig!F900),Overig!F900,10*Overig!F900),""",""????0;"",""???-0;"",""????0;"", ////"""),"'","""")&amp;SUBSTITUTE(TEXT(Overig!G900,""",""?00;"",""?-00;"",""?00;"", //"""),"'","""")</f>
        <v>081, 19401026, 13.45, 7480, 00,  310, 00</v>
      </c>
    </row>
    <row r="901" spans="1:1" x14ac:dyDescent="0.25">
      <c r="A901" s="25" t="str">
        <f ca="1">TEXT(Overig!A901,"000\,")&amp;TEXT(Overig!B901,"?00000000")&amp;TEXT(Overig!C901,""", ""@")&amp;SUBSTITUTE(TEXT(IF(ISTEXT(Overig!D901),Overig!D901,10*Overig!D901),""",""????0;"",""???-0;"",""????0;"", ////"""),"'","""")&amp;SUBSTITUTE(TEXT(Overig!E901,""",""?00;"",""?-00;"",""?00;"", //"""),"'","""")&amp;SUBSTITUTE(TEXT(IF(ISTEXT(Overig!F901),Overig!F901,10*Overig!F901),""",""????0;"",""???-0;"",""????0;"", ////"""),"'","""")&amp;SUBSTITUTE(TEXT(Overig!G901,""",""?00;"",""?-00;"",""?00;"", //"""),"'","""")</f>
        <v>081, 19401026, 19.45, 7490, 00,  300, 00</v>
      </c>
    </row>
    <row r="902" spans="1:1" x14ac:dyDescent="0.25">
      <c r="A902" s="25" t="str">
        <f ca="1">TEXT(Overig!A902,"000\,")&amp;TEXT(Overig!B902,"?00000000")&amp;TEXT(Overig!C902,""", ""@")&amp;SUBSTITUTE(TEXT(IF(ISTEXT(Overig!D902),Overig!D902,10*Overig!D902),""",""????0;"",""???-0;"",""????0;"", ////"""),"'","""")&amp;SUBSTITUTE(TEXT(Overig!E902,""",""?00;"",""?-00;"",""?00;"", //"""),"'","""")&amp;SUBSTITUTE(TEXT(IF(ISTEXT(Overig!F902),Overig!F902,10*Overig!F902),""",""????0;"",""???-0;"",""????0;"", ////"""),"'","""")&amp;SUBSTITUTE(TEXT(Overig!G902,""",""?00;"",""?-00;"",""?00;"", //"""),"'","""")</f>
        <v>081, 19401027, 07.45, 7490, 00,  280, 00</v>
      </c>
    </row>
    <row r="903" spans="1:1" x14ac:dyDescent="0.25">
      <c r="A903" s="25" t="str">
        <f ca="1">TEXT(Overig!A903,"000\,")&amp;TEXT(Overig!B903,"?00000000")&amp;TEXT(Overig!C903,""", ""@")&amp;SUBSTITUTE(TEXT(IF(ISTEXT(Overig!D903),Overig!D903,10*Overig!D903),""",""????0;"",""???-0;"",""????0;"", ////"""),"'","""")&amp;SUBSTITUTE(TEXT(Overig!E903,""",""?00;"",""?-00;"",""?00;"", //"""),"'","""")&amp;SUBSTITUTE(TEXT(IF(ISTEXT(Overig!F903),Overig!F903,10*Overig!F903),""",""????0;"",""???-0;"",""????0;"", ////"""),"'","""")&amp;SUBSTITUTE(TEXT(Overig!G903,""",""?00;"",""?-00;"",""?00;"", //"""),"'","""")</f>
        <v>081, 19401027, 13.45, 7490, 00,  310, 00</v>
      </c>
    </row>
    <row r="904" spans="1:1" x14ac:dyDescent="0.25">
      <c r="A904" s="25" t="str">
        <f ca="1">TEXT(Overig!A904,"000\,")&amp;TEXT(Overig!B904,"?00000000")&amp;TEXT(Overig!C904,""", ""@")&amp;SUBSTITUTE(TEXT(IF(ISTEXT(Overig!D904),Overig!D904,10*Overig!D904),""",""????0;"",""???-0;"",""????0;"", ////"""),"'","""")&amp;SUBSTITUTE(TEXT(Overig!E904,""",""?00;"",""?-00;"",""?00;"", //"""),"'","""")&amp;SUBSTITUTE(TEXT(IF(ISTEXT(Overig!F904),Overig!F904,10*Overig!F904),""",""????0;"",""???-0;"",""????0;"", ////"""),"'","""")&amp;SUBSTITUTE(TEXT(Overig!G904,""",""?00;"",""?-00;"",""?00;"", //"""),"'","""")</f>
        <v>081, 19401027, 19.45, 7490, 00,  300, 00</v>
      </c>
    </row>
    <row r="905" spans="1:1" x14ac:dyDescent="0.25">
      <c r="A905" s="25" t="str">
        <f ca="1">TEXT(Overig!A905,"000\,")&amp;TEXT(Overig!B905,"?00000000")&amp;TEXT(Overig!C905,""", ""@")&amp;SUBSTITUTE(TEXT(IF(ISTEXT(Overig!D905),Overig!D905,10*Overig!D905),""",""????0;"",""???-0;"",""????0;"", ////"""),"'","""")&amp;SUBSTITUTE(TEXT(Overig!E905,""",""?00;"",""?-00;"",""?00;"", //"""),"'","""")&amp;SUBSTITUTE(TEXT(IF(ISTEXT(Overig!F905),Overig!F905,10*Overig!F905),""",""????0;"",""???-0;"",""????0;"", ////"""),"'","""")&amp;SUBSTITUTE(TEXT(Overig!G905,""",""?00;"",""?-00;"",""?00;"", //"""),"'","""")</f>
        <v>081, 19401028, 07.45, 7490, 00,  280, 00</v>
      </c>
    </row>
    <row r="906" spans="1:1" x14ac:dyDescent="0.25">
      <c r="A906" s="25" t="str">
        <f ca="1">TEXT(Overig!A906,"000\,")&amp;TEXT(Overig!B906,"?00000000")&amp;TEXT(Overig!C906,""", ""@")&amp;SUBSTITUTE(TEXT(IF(ISTEXT(Overig!D906),Overig!D906,10*Overig!D906),""",""????0;"",""???-0;"",""????0;"", ////"""),"'","""")&amp;SUBSTITUTE(TEXT(Overig!E906,""",""?00;"",""?-00;"",""?00;"", //"""),"'","""")&amp;SUBSTITUTE(TEXT(IF(ISTEXT(Overig!F906),Overig!F906,10*Overig!F906),""",""????0;"",""???-0;"",""????0;"", ////"""),"'","""")&amp;SUBSTITUTE(TEXT(Overig!G906,""",""?00;"",""?-00;"",""?00;"", //"""),"'","""")</f>
        <v>081, 19401028, 13.45, 7490, 00,  310, 00</v>
      </c>
    </row>
    <row r="907" spans="1:1" x14ac:dyDescent="0.25">
      <c r="A907" s="25" t="str">
        <f ca="1">TEXT(Overig!A907,"000\,")&amp;TEXT(Overig!B907,"?00000000")&amp;TEXT(Overig!C907,""", ""@")&amp;SUBSTITUTE(TEXT(IF(ISTEXT(Overig!D907),Overig!D907,10*Overig!D907),""",""????0;"",""???-0;"",""????0;"", ////"""),"'","""")&amp;SUBSTITUTE(TEXT(Overig!E907,""",""?00;"",""?-00;"",""?00;"", //"""),"'","""")&amp;SUBSTITUTE(TEXT(IF(ISTEXT(Overig!F907),Overig!F907,10*Overig!F907),""",""????0;"",""???-0;"",""????0;"", ////"""),"'","""")&amp;SUBSTITUTE(TEXT(Overig!G907,""",""?00;"",""?-00;"",""?00;"", //"""),"'","""")</f>
        <v>081, 19401028, 19.45, 7490, 00,  300, 00</v>
      </c>
    </row>
    <row r="908" spans="1:1" x14ac:dyDescent="0.25">
      <c r="A908" s="25" t="str">
        <f ca="1">TEXT(Overig!A908,"000\,")&amp;TEXT(Overig!B908,"?00000000")&amp;TEXT(Overig!C908,""", ""@")&amp;SUBSTITUTE(TEXT(IF(ISTEXT(Overig!D908),Overig!D908,10*Overig!D908),""",""????0;"",""???-0;"",""????0;"", ////"""),"'","""")&amp;SUBSTITUTE(TEXT(Overig!E908,""",""?00;"",""?-00;"",""?00;"", //"""),"'","""")&amp;SUBSTITUTE(TEXT(IF(ISTEXT(Overig!F908),Overig!F908,10*Overig!F908),""",""????0;"",""???-0;"",""????0;"", ////"""),"'","""")&amp;SUBSTITUTE(TEXT(Overig!G908,""",""?00;"",""?-00;"",""?00;"", //"""),"'","""")</f>
        <v>081, 19401029, 07.45, 7490, 00,  280, 00</v>
      </c>
    </row>
    <row r="909" spans="1:1" x14ac:dyDescent="0.25">
      <c r="A909" s="25" t="str">
        <f ca="1">TEXT(Overig!A909,"000\,")&amp;TEXT(Overig!B909,"?00000000")&amp;TEXT(Overig!C909,""", ""@")&amp;SUBSTITUTE(TEXT(IF(ISTEXT(Overig!D909),Overig!D909,10*Overig!D909),""",""????0;"",""???-0;"",""????0;"", ////"""),"'","""")&amp;SUBSTITUTE(TEXT(Overig!E909,""",""?00;"",""?-00;"",""?00;"", //"""),"'","""")&amp;SUBSTITUTE(TEXT(IF(ISTEXT(Overig!F909),Overig!F909,10*Overig!F909),""",""????0;"",""???-0;"",""????0;"", ////"""),"'","""")&amp;SUBSTITUTE(TEXT(Overig!G909,""",""?00;"",""?-00;"",""?00;"", //"""),"'","""")</f>
        <v>081, 19401029, 13.45, 7490, 00,  310, 00</v>
      </c>
    </row>
    <row r="910" spans="1:1" x14ac:dyDescent="0.25">
      <c r="A910" s="25" t="str">
        <f ca="1">TEXT(Overig!A910,"000\,")&amp;TEXT(Overig!B910,"?00000000")&amp;TEXT(Overig!C910,""", ""@")&amp;SUBSTITUTE(TEXT(IF(ISTEXT(Overig!D910),Overig!D910,10*Overig!D910),""",""????0;"",""???-0;"",""????0;"", ////"""),"'","""")&amp;SUBSTITUTE(TEXT(Overig!E910,""",""?00;"",""?-00;"",""?00;"", //"""),"'","""")&amp;SUBSTITUTE(TEXT(IF(ISTEXT(Overig!F910),Overig!F910,10*Overig!F910),""",""????0;"",""???-0;"",""????0;"", ////"""),"'","""")&amp;SUBSTITUTE(TEXT(Overig!G910,""",""?00;"",""?-00;"",""?00;"", //"""),"'","""")</f>
        <v>081, 19401029, 19.45, 7490, 00,  300, 00</v>
      </c>
    </row>
    <row r="911" spans="1:1" x14ac:dyDescent="0.25">
      <c r="A911" s="25" t="str">
        <f ca="1">TEXT(Overig!A911,"000\,")&amp;TEXT(Overig!B911,"?00000000")&amp;TEXT(Overig!C911,""", ""@")&amp;SUBSTITUTE(TEXT(IF(ISTEXT(Overig!D911),Overig!D911,10*Overig!D911),""",""????0;"",""???-0;"",""????0;"", ////"""),"'","""")&amp;SUBSTITUTE(TEXT(Overig!E911,""",""?00;"",""?-00;"",""?00;"", //"""),"'","""")&amp;SUBSTITUTE(TEXT(IF(ISTEXT(Overig!F911),Overig!F911,10*Overig!F911),""",""????0;"",""???-0;"",""????0;"", ////"""),"'","""")&amp;SUBSTITUTE(TEXT(Overig!G911,""",""?00;"",""?-00;"",""?00;"", //"""),"'","""")</f>
        <v>081, 19401030, 07.45, 7490, 00,  280, 00</v>
      </c>
    </row>
    <row r="912" spans="1:1" x14ac:dyDescent="0.25">
      <c r="A912" s="25" t="str">
        <f ca="1">TEXT(Overig!A912,"000\,")&amp;TEXT(Overig!B912,"?00000000")&amp;TEXT(Overig!C912,""", ""@")&amp;SUBSTITUTE(TEXT(IF(ISTEXT(Overig!D912),Overig!D912,10*Overig!D912),""",""????0;"",""???-0;"",""????0;"", ////"""),"'","""")&amp;SUBSTITUTE(TEXT(Overig!E912,""",""?00;"",""?-00;"",""?00;"", //"""),"'","""")&amp;SUBSTITUTE(TEXT(IF(ISTEXT(Overig!F912),Overig!F912,10*Overig!F912),""",""????0;"",""???-0;"",""????0;"", ////"""),"'","""")&amp;SUBSTITUTE(TEXT(Overig!G912,""",""?00;"",""?-00;"",""?00;"", //"""),"'","""")</f>
        <v>081, 19401030, 13.45, 7490, 00,  310, 00</v>
      </c>
    </row>
    <row r="913" spans="1:1" x14ac:dyDescent="0.25">
      <c r="A913" s="25" t="str">
        <f ca="1">TEXT(Overig!A913,"000\,")&amp;TEXT(Overig!B913,"?00000000")&amp;TEXT(Overig!C913,""", ""@")&amp;SUBSTITUTE(TEXT(IF(ISTEXT(Overig!D913),Overig!D913,10*Overig!D913),""",""????0;"",""???-0;"",""????0;"", ////"""),"'","""")&amp;SUBSTITUTE(TEXT(Overig!E913,""",""?00;"",""?-00;"",""?00;"", //"""),"'","""")&amp;SUBSTITUTE(TEXT(IF(ISTEXT(Overig!F913),Overig!F913,10*Overig!F913),""",""????0;"",""???-0;"",""????0;"", ////"""),"'","""")&amp;SUBSTITUTE(TEXT(Overig!G913,""",""?00;"",""?-00;"",""?00;"", //"""),"'","""")</f>
        <v>081, 19401030, 19.45, 7480, 00,  300, 00</v>
      </c>
    </row>
    <row r="914" spans="1:1" x14ac:dyDescent="0.25">
      <c r="A914" s="25" t="str">
        <f ca="1">TEXT(Overig!A914,"000\,")&amp;TEXT(Overig!B914,"?00000000")&amp;TEXT(Overig!C914,""", ""@")&amp;SUBSTITUTE(TEXT(IF(ISTEXT(Overig!D914),Overig!D914,10*Overig!D914),""",""????0;"",""???-0;"",""????0;"", ////"""),"'","""")&amp;SUBSTITUTE(TEXT(Overig!E914,""",""?00;"",""?-00;"",""?00;"", //"""),"'","""")&amp;SUBSTITUTE(TEXT(IF(ISTEXT(Overig!F914),Overig!F914,10*Overig!F914),""",""????0;"",""???-0;"",""????0;"", ////"""),"'","""")&amp;SUBSTITUTE(TEXT(Overig!G914,""",""?00;"",""?-00;"",""?00;"", //"""),"'","""")</f>
        <v>081, 19401031, 07.45, 7470, 00,  280, 00</v>
      </c>
    </row>
    <row r="915" spans="1:1" x14ac:dyDescent="0.25">
      <c r="A915" s="25" t="str">
        <f ca="1">TEXT(Overig!A915,"000\,")&amp;TEXT(Overig!B915,"?00000000")&amp;TEXT(Overig!C915,""", ""@")&amp;SUBSTITUTE(TEXT(IF(ISTEXT(Overig!D915),Overig!D915,10*Overig!D915),""",""????0;"",""???-0;"",""????0;"", ////"""),"'","""")&amp;SUBSTITUTE(TEXT(Overig!E915,""",""?00;"",""?-00;"",""?00;"", //"""),"'","""")&amp;SUBSTITUTE(TEXT(IF(ISTEXT(Overig!F915),Overig!F915,10*Overig!F915),""",""????0;"",""???-0;"",""????0;"", ////"""),"'","""")&amp;SUBSTITUTE(TEXT(Overig!G915,""",""?00;"",""?-00;"",""?00;"", //"""),"'","""")</f>
        <v>081, 19401031, 13.45, 7470, 00,  310, 00</v>
      </c>
    </row>
    <row r="916" spans="1:1" x14ac:dyDescent="0.25">
      <c r="A916" s="25" t="str">
        <f ca="1">TEXT(Overig!A916,"000\,")&amp;TEXT(Overig!B916,"?00000000")&amp;TEXT(Overig!C916,""", ""@")&amp;SUBSTITUTE(TEXT(IF(ISTEXT(Overig!D916),Overig!D916,10*Overig!D916),""",""????0;"",""???-0;"",""????0;"", ////"""),"'","""")&amp;SUBSTITUTE(TEXT(Overig!E916,""",""?00;"",""?-00;"",""?00;"", //"""),"'","""")&amp;SUBSTITUTE(TEXT(IF(ISTEXT(Overig!F916),Overig!F916,10*Overig!F916),""",""????0;"",""???-0;"",""????0;"", ////"""),"'","""")&amp;SUBSTITUTE(TEXT(Overig!G916,""",""?00;"",""?-00;"",""?00;"", //"""),"'","""")</f>
        <v>081, 19401031, 19.45, 7470, 00,  300, 00</v>
      </c>
    </row>
    <row r="917" spans="1:1" x14ac:dyDescent="0.25">
      <c r="A917" s="25" t="str">
        <f ca="1">TEXT(Overig!A917,"000\,")&amp;TEXT(Overig!B917,"?00000000")&amp;TEXT(Overig!C917,""", ""@")&amp;SUBSTITUTE(TEXT(IF(ISTEXT(Overig!D917),Overig!D917,10*Overig!D917),""",""????0;"",""???-0;"",""????0;"", ////"""),"'","""")&amp;SUBSTITUTE(TEXT(Overig!E917,""",""?00;"",""?-00;"",""?00;"", //"""),"'","""")&amp;SUBSTITUTE(TEXT(IF(ISTEXT(Overig!F917),Overig!F917,10*Overig!F917),""",""????0;"",""???-0;"",""????0;"", ////"""),"'","""")&amp;SUBSTITUTE(TEXT(Overig!G917,""",""?00;"",""?-00;"",""?00;"", //"""),"'","""")</f>
        <v>081, 19401101, 07.45, 7470, 00,  280, 00</v>
      </c>
    </row>
    <row r="918" spans="1:1" x14ac:dyDescent="0.25">
      <c r="A918" s="25" t="str">
        <f ca="1">TEXT(Overig!A918,"000\,")&amp;TEXT(Overig!B918,"?00000000")&amp;TEXT(Overig!C918,""", ""@")&amp;SUBSTITUTE(TEXT(IF(ISTEXT(Overig!D918),Overig!D918,10*Overig!D918),""",""????0;"",""???-0;"",""????0;"", ////"""),"'","""")&amp;SUBSTITUTE(TEXT(Overig!E918,""",""?00;"",""?-00;"",""?00;"", //"""),"'","""")&amp;SUBSTITUTE(TEXT(IF(ISTEXT(Overig!F918),Overig!F918,10*Overig!F918),""",""????0;"",""???-0;"",""????0;"", ////"""),"'","""")&amp;SUBSTITUTE(TEXT(Overig!G918,""",""?00;"",""?-00;"",""?00;"", //"""),"'","""")</f>
        <v>081, 19401101, 13.45, 7480, 00,  310, 00</v>
      </c>
    </row>
    <row r="919" spans="1:1" x14ac:dyDescent="0.25">
      <c r="A919" s="25" t="str">
        <f ca="1">TEXT(Overig!A919,"000\,")&amp;TEXT(Overig!B919,"?00000000")&amp;TEXT(Overig!C919,""", ""@")&amp;SUBSTITUTE(TEXT(IF(ISTEXT(Overig!D919),Overig!D919,10*Overig!D919),""",""????0;"",""???-0;"",""????0;"", ////"""),"'","""")&amp;SUBSTITUTE(TEXT(Overig!E919,""",""?00;"",""?-00;"",""?00;"", //"""),"'","""")&amp;SUBSTITUTE(TEXT(IF(ISTEXT(Overig!F919),Overig!F919,10*Overig!F919),""",""????0;"",""???-0;"",""????0;"", ////"""),"'","""")&amp;SUBSTITUTE(TEXT(Overig!G919,""",""?00;"",""?-00;"",""?00;"", //"""),"'","""")</f>
        <v>081, 19401101, 19.45, 7480, 00,  300, 00</v>
      </c>
    </row>
    <row r="920" spans="1:1" x14ac:dyDescent="0.25">
      <c r="A920" s="25" t="str">
        <f ca="1">TEXT(Overig!A920,"000\,")&amp;TEXT(Overig!B920,"?00000000")&amp;TEXT(Overig!C920,""", ""@")&amp;SUBSTITUTE(TEXT(IF(ISTEXT(Overig!D920),Overig!D920,10*Overig!D920),""",""????0;"",""???-0;"",""????0;"", ////"""),"'","""")&amp;SUBSTITUTE(TEXT(Overig!E920,""",""?00;"",""?-00;"",""?00;"", //"""),"'","""")&amp;SUBSTITUTE(TEXT(IF(ISTEXT(Overig!F920),Overig!F920,10*Overig!F920),""",""????0;"",""???-0;"",""????0;"", ////"""),"'","""")&amp;SUBSTITUTE(TEXT(Overig!G920,""",""?00;"",""?-00;"",""?00;"", //"""),"'","""")</f>
        <v>081, 19401102, 07.45, 7480, 00,  280, 00</v>
      </c>
    </row>
    <row r="921" spans="1:1" x14ac:dyDescent="0.25">
      <c r="A921" s="25" t="str">
        <f ca="1">TEXT(Overig!A921,"000\,")&amp;TEXT(Overig!B921,"?00000000")&amp;TEXT(Overig!C921,""", ""@")&amp;SUBSTITUTE(TEXT(IF(ISTEXT(Overig!D921),Overig!D921,10*Overig!D921),""",""????0;"",""???-0;"",""????0;"", ////"""),"'","""")&amp;SUBSTITUTE(TEXT(Overig!E921,""",""?00;"",""?-00;"",""?00;"", //"""),"'","""")&amp;SUBSTITUTE(TEXT(IF(ISTEXT(Overig!F921),Overig!F921,10*Overig!F921),""",""????0;"",""???-0;"",""????0;"", ////"""),"'","""")&amp;SUBSTITUTE(TEXT(Overig!G921,""",""?00;"",""?-00;"",""?00;"", //"""),"'","""")</f>
        <v>081, 19401102, 13.45, 7470, 00,  310, 00</v>
      </c>
    </row>
    <row r="922" spans="1:1" x14ac:dyDescent="0.25">
      <c r="A922" s="25" t="str">
        <f ca="1">TEXT(Overig!A922,"000\,")&amp;TEXT(Overig!B922,"?00000000")&amp;TEXT(Overig!C922,""", ""@")&amp;SUBSTITUTE(TEXT(IF(ISTEXT(Overig!D922),Overig!D922,10*Overig!D922),""",""????0;"",""???-0;"",""????0;"", ////"""),"'","""")&amp;SUBSTITUTE(TEXT(Overig!E922,""",""?00;"",""?-00;"",""?00;"", //"""),"'","""")&amp;SUBSTITUTE(TEXT(IF(ISTEXT(Overig!F922),Overig!F922,10*Overig!F922),""",""????0;"",""???-0;"",""????0;"", ////"""),"'","""")&amp;SUBSTITUTE(TEXT(Overig!G922,""",""?00;"",""?-00;"",""?00;"", //"""),"'","""")</f>
        <v>081, 19401102, 19.45, 7470, 00,  300, 00</v>
      </c>
    </row>
    <row r="923" spans="1:1" x14ac:dyDescent="0.25">
      <c r="A923" s="25" t="str">
        <f ca="1">TEXT(Overig!A923,"000\,")&amp;TEXT(Overig!B923,"?00000000")&amp;TEXT(Overig!C923,""", ""@")&amp;SUBSTITUTE(TEXT(IF(ISTEXT(Overig!D923),Overig!D923,10*Overig!D923),""",""????0;"",""???-0;"",""????0;"", ////"""),"'","""")&amp;SUBSTITUTE(TEXT(Overig!E923,""",""?00;"",""?-00;"",""?00;"", //"""),"'","""")&amp;SUBSTITUTE(TEXT(IF(ISTEXT(Overig!F923),Overig!F923,10*Overig!F923),""",""????0;"",""???-0;"",""????0;"", ////"""),"'","""")&amp;SUBSTITUTE(TEXT(Overig!G923,""",""?00;"",""?-00;"",""?00;"", //"""),"'","""")</f>
        <v>081, 19401103, 07.45, 7470, 00,  280, 00</v>
      </c>
    </row>
    <row r="924" spans="1:1" x14ac:dyDescent="0.25">
      <c r="A924" s="25" t="str">
        <f ca="1">TEXT(Overig!A924,"000\,")&amp;TEXT(Overig!B924,"?00000000")&amp;TEXT(Overig!C924,""", ""@")&amp;SUBSTITUTE(TEXT(IF(ISTEXT(Overig!D924),Overig!D924,10*Overig!D924),""",""????0;"",""???-0;"",""????0;"", ////"""),"'","""")&amp;SUBSTITUTE(TEXT(Overig!E924,""",""?00;"",""?-00;"",""?00;"", //"""),"'","""")&amp;SUBSTITUTE(TEXT(IF(ISTEXT(Overig!F924),Overig!F924,10*Overig!F924),""",""????0;"",""???-0;"",""????0;"", ////"""),"'","""")&amp;SUBSTITUTE(TEXT(Overig!G924,""",""?00;"",""?-00;"",""?00;"", //"""),"'","""")</f>
        <v>081, 19401103, 13.45, 7460, 00,  300, 00</v>
      </c>
    </row>
    <row r="925" spans="1:1" x14ac:dyDescent="0.25">
      <c r="A925" s="25" t="str">
        <f ca="1">TEXT(Overig!A925,"000\,")&amp;TEXT(Overig!B925,"?00000000")&amp;TEXT(Overig!C925,""", ""@")&amp;SUBSTITUTE(TEXT(IF(ISTEXT(Overig!D925),Overig!D925,10*Overig!D925),""",""????0;"",""???-0;"",""????0;"", ////"""),"'","""")&amp;SUBSTITUTE(TEXT(Overig!E925,""",""?00;"",""?-00;"",""?00;"", //"""),"'","""")&amp;SUBSTITUTE(TEXT(IF(ISTEXT(Overig!F925),Overig!F925,10*Overig!F925),""",""????0;"",""???-0;"",""????0;"", ////"""),"'","""")&amp;SUBSTITUTE(TEXT(Overig!G925,""",""?00;"",""?-00;"",""?00;"", //"""),"'","""")</f>
        <v>081, 19401103, 19.45, 7460, 00,  290, 00</v>
      </c>
    </row>
    <row r="926" spans="1:1" x14ac:dyDescent="0.25">
      <c r="A926" s="25" t="str">
        <f ca="1">TEXT(Overig!A926,"000\,")&amp;TEXT(Overig!B926,"?00000000")&amp;TEXT(Overig!C926,""", ""@")&amp;SUBSTITUTE(TEXT(IF(ISTEXT(Overig!D926),Overig!D926,10*Overig!D926),""",""????0;"",""???-0;"",""????0;"", ////"""),"'","""")&amp;SUBSTITUTE(TEXT(Overig!E926,""",""?00;"",""?-00;"",""?00;"", //"""),"'","""")&amp;SUBSTITUTE(TEXT(IF(ISTEXT(Overig!F926),Overig!F926,10*Overig!F926),""",""????0;"",""???-0;"",""????0;"", ////"""),"'","""")&amp;SUBSTITUTE(TEXT(Overig!G926,""",""?00;"",""?-00;"",""?00;"", //"""),"'","""")</f>
        <v>081, 19401104, 07.45, 7450, 00,  280, 00</v>
      </c>
    </row>
    <row r="927" spans="1:1" x14ac:dyDescent="0.25">
      <c r="A927" s="25" t="str">
        <f ca="1">TEXT(Overig!A927,"000\,")&amp;TEXT(Overig!B927,"?00000000")&amp;TEXT(Overig!C927,""", ""@")&amp;SUBSTITUTE(TEXT(IF(ISTEXT(Overig!D927),Overig!D927,10*Overig!D927),""",""????0;"",""???-0;"",""????0;"", ////"""),"'","""")&amp;SUBSTITUTE(TEXT(Overig!E927,""",""?00;"",""?-00;"",""?00;"", //"""),"'","""")&amp;SUBSTITUTE(TEXT(IF(ISTEXT(Overig!F927),Overig!F927,10*Overig!F927),""",""????0;"",""???-0;"",""????0;"", ////"""),"'","""")&amp;SUBSTITUTE(TEXT(Overig!G927,""",""?00;"",""?-00;"",""?00;"", //"""),"'","""")</f>
        <v>081, 19401104, 13.45, 7450, 00,  290, 00</v>
      </c>
    </row>
    <row r="928" spans="1:1" x14ac:dyDescent="0.25">
      <c r="A928" s="25" t="str">
        <f ca="1">TEXT(Overig!A928,"000\,")&amp;TEXT(Overig!B928,"?00000000")&amp;TEXT(Overig!C928,""", ""@")&amp;SUBSTITUTE(TEXT(IF(ISTEXT(Overig!D928),Overig!D928,10*Overig!D928),""",""????0;"",""???-0;"",""????0;"", ////"""),"'","""")&amp;SUBSTITUTE(TEXT(Overig!E928,""",""?00;"",""?-00;"",""?00;"", //"""),"'","""")&amp;SUBSTITUTE(TEXT(IF(ISTEXT(Overig!F928),Overig!F928,10*Overig!F928),""",""????0;"",""???-0;"",""????0;"", ////"""),"'","""")&amp;SUBSTITUTE(TEXT(Overig!G928,""",""?00;"",""?-00;"",""?00;"", //"""),"'","""")</f>
        <v>081, 19401104, 19.45, 7450, 00,  280, 00</v>
      </c>
    </row>
    <row r="929" spans="1:1" x14ac:dyDescent="0.25">
      <c r="A929" s="25" t="str">
        <f ca="1">TEXT(Overig!A929,"000\,")&amp;TEXT(Overig!B929,"?00000000")&amp;TEXT(Overig!C929,""", ""@")&amp;SUBSTITUTE(TEXT(IF(ISTEXT(Overig!D929),Overig!D929,10*Overig!D929),""",""????0;"",""???-0;"",""????0;"", ////"""),"'","""")&amp;SUBSTITUTE(TEXT(Overig!E929,""",""?00;"",""?-00;"",""?00;"", //"""),"'","""")&amp;SUBSTITUTE(TEXT(IF(ISTEXT(Overig!F929),Overig!F929,10*Overig!F929),""",""????0;"",""???-0;"",""????0;"", ////"""),"'","""")&amp;SUBSTITUTE(TEXT(Overig!G929,""",""?00;"",""?-00;"",""?00;"", //"""),"'","""")</f>
        <v>081, 19401105, 07.45, 7450, 00,  260, 00</v>
      </c>
    </row>
    <row r="930" spans="1:1" x14ac:dyDescent="0.25">
      <c r="A930" s="25" t="str">
        <f ca="1">TEXT(Overig!A930,"000\,")&amp;TEXT(Overig!B930,"?00000000")&amp;TEXT(Overig!C930,""", ""@")&amp;SUBSTITUTE(TEXT(IF(ISTEXT(Overig!D930),Overig!D930,10*Overig!D930),""",""????0;"",""???-0;"",""????0;"", ////"""),"'","""")&amp;SUBSTITUTE(TEXT(Overig!E930,""",""?00;"",""?-00;"",""?00;"", //"""),"'","""")&amp;SUBSTITUTE(TEXT(IF(ISTEXT(Overig!F930),Overig!F930,10*Overig!F930),""",""????0;"",""???-0;"",""????0;"", ////"""),"'","""")&amp;SUBSTITUTE(TEXT(Overig!G930,""",""?00;"",""?-00;"",""?00;"", //"""),"'","""")</f>
        <v>081, 19401105, 13.45, 7450, 00,  300, 00</v>
      </c>
    </row>
    <row r="931" spans="1:1" x14ac:dyDescent="0.25">
      <c r="A931" s="25" t="str">
        <f ca="1">TEXT(Overig!A931,"000\,")&amp;TEXT(Overig!B931,"?00000000")&amp;TEXT(Overig!C931,""", ""@")&amp;SUBSTITUTE(TEXT(IF(ISTEXT(Overig!D931),Overig!D931,10*Overig!D931),""",""????0;"",""???-0;"",""????0;"", ////"""),"'","""")&amp;SUBSTITUTE(TEXT(Overig!E931,""",""?00;"",""?-00;"",""?00;"", //"""),"'","""")&amp;SUBSTITUTE(TEXT(IF(ISTEXT(Overig!F931),Overig!F931,10*Overig!F931),""",""????0;"",""???-0;"",""????0;"", ////"""),"'","""")&amp;SUBSTITUTE(TEXT(Overig!G931,""",""?00;"",""?-00;"",""?00;"", //"""),"'","""")</f>
        <v>081, 19401105, 19.45, 7450, 00,  280, 00</v>
      </c>
    </row>
    <row r="932" spans="1:1" x14ac:dyDescent="0.25">
      <c r="A932" s="25" t="str">
        <f ca="1">TEXT(Overig!A932,"000\,")&amp;TEXT(Overig!B932,"?00000000")&amp;TEXT(Overig!C932,""", ""@")&amp;SUBSTITUTE(TEXT(IF(ISTEXT(Overig!D932),Overig!D932,10*Overig!D932),""",""????0;"",""???-0;"",""????0;"", ////"""),"'","""")&amp;SUBSTITUTE(TEXT(Overig!E932,""",""?00;"",""?-00;"",""?00;"", //"""),"'","""")&amp;SUBSTITUTE(TEXT(IF(ISTEXT(Overig!F932),Overig!F932,10*Overig!F932),""",""????0;"",""???-0;"",""????0;"", ////"""),"'","""")&amp;SUBSTITUTE(TEXT(Overig!G932,""",""?00;"",""?-00;"",""?00;"", //"""),"'","""")</f>
        <v>081, 19401106, 07.45, 7450, 00,  270, 00</v>
      </c>
    </row>
    <row r="933" spans="1:1" x14ac:dyDescent="0.25">
      <c r="A933" s="25" t="str">
        <f ca="1">TEXT(Overig!A933,"000\,")&amp;TEXT(Overig!B933,"?00000000")&amp;TEXT(Overig!C933,""", ""@")&amp;SUBSTITUTE(TEXT(IF(ISTEXT(Overig!D933),Overig!D933,10*Overig!D933),""",""????0;"",""???-0;"",""????0;"", ////"""),"'","""")&amp;SUBSTITUTE(TEXT(Overig!E933,""",""?00;"",""?-00;"",""?00;"", //"""),"'","""")&amp;SUBSTITUTE(TEXT(IF(ISTEXT(Overig!F933),Overig!F933,10*Overig!F933),""",""????0;"",""???-0;"",""????0;"", ////"""),"'","""")&amp;SUBSTITUTE(TEXT(Overig!G933,""",""?00;"",""?-00;"",""?00;"", //"""),"'","""")</f>
        <v>081, 19401106, 13.45, 7450, 00,  310, 00</v>
      </c>
    </row>
    <row r="934" spans="1:1" x14ac:dyDescent="0.25">
      <c r="A934" s="25" t="str">
        <f ca="1">TEXT(Overig!A934,"000\,")&amp;TEXT(Overig!B934,"?00000000")&amp;TEXT(Overig!C934,""", ""@")&amp;SUBSTITUTE(TEXT(IF(ISTEXT(Overig!D934),Overig!D934,10*Overig!D934),""",""????0;"",""???-0;"",""????0;"", ////"""),"'","""")&amp;SUBSTITUTE(TEXT(Overig!E934,""",""?00;"",""?-00;"",""?00;"", //"""),"'","""")&amp;SUBSTITUTE(TEXT(IF(ISTEXT(Overig!F934),Overig!F934,10*Overig!F934),""",""????0;"",""???-0;"",""????0;"", ////"""),"'","""")&amp;SUBSTITUTE(TEXT(Overig!G934,""",""?00;"",""?-00;"",""?00;"", //"""),"'","""")</f>
        <v>081, 19401106, 19.45, 7450, 00,  290, 00</v>
      </c>
    </row>
    <row r="935" spans="1:1" x14ac:dyDescent="0.25">
      <c r="A935" s="25" t="str">
        <f ca="1">TEXT(Overig!A935,"000\,")&amp;TEXT(Overig!B935,"?00000000")&amp;TEXT(Overig!C935,""", ""@")&amp;SUBSTITUTE(TEXT(IF(ISTEXT(Overig!D935),Overig!D935,10*Overig!D935),""",""????0;"",""???-0;"",""????0;"", ////"""),"'","""")&amp;SUBSTITUTE(TEXT(Overig!E935,""",""?00;"",""?-00;"",""?00;"", //"""),"'","""")&amp;SUBSTITUTE(TEXT(IF(ISTEXT(Overig!F935),Overig!F935,10*Overig!F935),""",""????0;"",""???-0;"",""????0;"", ////"""),"'","""")&amp;SUBSTITUTE(TEXT(Overig!G935,""",""?00;"",""?-00;"",""?00;"", //"""),"'","""")</f>
        <v>081, 19401107, 07.45, 7460, 00,  270, 00</v>
      </c>
    </row>
    <row r="936" spans="1:1" x14ac:dyDescent="0.25">
      <c r="A936" s="25" t="str">
        <f ca="1">TEXT(Overig!A936,"000\,")&amp;TEXT(Overig!B936,"?00000000")&amp;TEXT(Overig!C936,""", ""@")&amp;SUBSTITUTE(TEXT(IF(ISTEXT(Overig!D936),Overig!D936,10*Overig!D936),""",""????0;"",""???-0;"",""????0;"", ////"""),"'","""")&amp;SUBSTITUTE(TEXT(Overig!E936,""",""?00;"",""?-00;"",""?00;"", //"""),"'","""")&amp;SUBSTITUTE(TEXT(IF(ISTEXT(Overig!F936),Overig!F936,10*Overig!F936),""",""????0;"",""???-0;"",""????0;"", ////"""),"'","""")&amp;SUBSTITUTE(TEXT(Overig!G936,""",""?00;"",""?-00;"",""?00;"", //"""),"'","""")</f>
        <v>081, 19401107, 13.45, 7460, 00,  300, 00</v>
      </c>
    </row>
    <row r="937" spans="1:1" x14ac:dyDescent="0.25">
      <c r="A937" s="25" t="str">
        <f ca="1">TEXT(Overig!A937,"000\,")&amp;TEXT(Overig!B937,"?00000000")&amp;TEXT(Overig!C937,""", ""@")&amp;SUBSTITUTE(TEXT(IF(ISTEXT(Overig!D937),Overig!D937,10*Overig!D937),""",""????0;"",""???-0;"",""????0;"", ////"""),"'","""")&amp;SUBSTITUTE(TEXT(Overig!E937,""",""?00;"",""?-00;"",""?00;"", //"""),"'","""")&amp;SUBSTITUTE(TEXT(IF(ISTEXT(Overig!F937),Overig!F937,10*Overig!F937),""",""????0;"",""???-0;"",""????0;"", ////"""),"'","""")&amp;SUBSTITUTE(TEXT(Overig!G937,""",""?00;"",""?-00;"",""?00;"", //"""),"'","""")</f>
        <v>081, 19401107, 19.45, 7460, 00,  290, 00</v>
      </c>
    </row>
    <row r="938" spans="1:1" x14ac:dyDescent="0.25">
      <c r="A938" s="25" t="str">
        <f ca="1">TEXT(Overig!A938,"000\,")&amp;TEXT(Overig!B938,"?00000000")&amp;TEXT(Overig!C938,""", ""@")&amp;SUBSTITUTE(TEXT(IF(ISTEXT(Overig!D938),Overig!D938,10*Overig!D938),""",""????0;"",""???-0;"",""????0;"", ////"""),"'","""")&amp;SUBSTITUTE(TEXT(Overig!E938,""",""?00;"",""?-00;"",""?00;"", //"""),"'","""")&amp;SUBSTITUTE(TEXT(IF(ISTEXT(Overig!F938),Overig!F938,10*Overig!F938),""",""????0;"",""???-0;"",""????0;"", ////"""),"'","""")&amp;SUBSTITUTE(TEXT(Overig!G938,""",""?00;"",""?-00;"",""?00;"", //"""),"'","""")</f>
        <v>081, 19401108, 07.45, 7460, 00,  280, 00</v>
      </c>
    </row>
    <row r="939" spans="1:1" x14ac:dyDescent="0.25">
      <c r="A939" s="25" t="str">
        <f ca="1">TEXT(Overig!A939,"000\,")&amp;TEXT(Overig!B939,"?00000000")&amp;TEXT(Overig!C939,""", ""@")&amp;SUBSTITUTE(TEXT(IF(ISTEXT(Overig!D939),Overig!D939,10*Overig!D939),""",""????0;"",""???-0;"",""????0;"", ////"""),"'","""")&amp;SUBSTITUTE(TEXT(Overig!E939,""",""?00;"",""?-00;"",""?00;"", //"""),"'","""")&amp;SUBSTITUTE(TEXT(IF(ISTEXT(Overig!F939),Overig!F939,10*Overig!F939),""",""????0;"",""???-0;"",""????0;"", ////"""),"'","""")&amp;SUBSTITUTE(TEXT(Overig!G939,""",""?00;"",""?-00;"",""?00;"", //"""),"'","""")</f>
        <v>081, 19401108, 13.45, 7460, 00,  310, 00</v>
      </c>
    </row>
    <row r="940" spans="1:1" x14ac:dyDescent="0.25">
      <c r="A940" s="25" t="str">
        <f ca="1">TEXT(Overig!A940,"000\,")&amp;TEXT(Overig!B940,"?00000000")&amp;TEXT(Overig!C940,""", ""@")&amp;SUBSTITUTE(TEXT(IF(ISTEXT(Overig!D940),Overig!D940,10*Overig!D940),""",""????0;"",""???-0;"",""????0;"", ////"""),"'","""")&amp;SUBSTITUTE(TEXT(Overig!E940,""",""?00;"",""?-00;"",""?00;"", //"""),"'","""")&amp;SUBSTITUTE(TEXT(IF(ISTEXT(Overig!F940),Overig!F940,10*Overig!F940),""",""????0;"",""???-0;"",""????0;"", ////"""),"'","""")&amp;SUBSTITUTE(TEXT(Overig!G940,""",""?00;"",""?-00;"",""?00;"", //"""),"'","""")</f>
        <v>081, 19401108, 19.45, 7460, 00,  300, 00</v>
      </c>
    </row>
    <row r="941" spans="1:1" x14ac:dyDescent="0.25">
      <c r="A941" s="25" t="str">
        <f ca="1">TEXT(Overig!A941,"000\,")&amp;TEXT(Overig!B941,"?00000000")&amp;TEXT(Overig!C941,""", ""@")&amp;SUBSTITUTE(TEXT(IF(ISTEXT(Overig!D941),Overig!D941,10*Overig!D941),""",""????0;"",""???-0;"",""????0;"", ////"""),"'","""")&amp;SUBSTITUTE(TEXT(Overig!E941,""",""?00;"",""?-00;"",""?00;"", //"""),"'","""")&amp;SUBSTITUTE(TEXT(IF(ISTEXT(Overig!F941),Overig!F941,10*Overig!F941),""",""????0;"",""???-0;"",""????0;"", ////"""),"'","""")&amp;SUBSTITUTE(TEXT(Overig!G941,""",""?00;"",""?-00;"",""?00;"", //"""),"'","""")</f>
        <v>081, 19401109, 07.45, 7460, 00,  280, 00</v>
      </c>
    </row>
    <row r="942" spans="1:1" x14ac:dyDescent="0.25">
      <c r="A942" s="25" t="str">
        <f ca="1">TEXT(Overig!A942,"000\,")&amp;TEXT(Overig!B942,"?00000000")&amp;TEXT(Overig!C942,""", ""@")&amp;SUBSTITUTE(TEXT(IF(ISTEXT(Overig!D942),Overig!D942,10*Overig!D942),""",""????0;"",""???-0;"",""????0;"", ////"""),"'","""")&amp;SUBSTITUTE(TEXT(Overig!E942,""",""?00;"",""?-00;"",""?00;"", //"""),"'","""")&amp;SUBSTITUTE(TEXT(IF(ISTEXT(Overig!F942),Overig!F942,10*Overig!F942),""",""????0;"",""???-0;"",""????0;"", ////"""),"'","""")&amp;SUBSTITUTE(TEXT(Overig!G942,""",""?00;"",""?-00;"",""?00;"", //"""),"'","""")</f>
        <v>081, 19401109, 13.45, 7470, 00,  310, 00</v>
      </c>
    </row>
    <row r="943" spans="1:1" x14ac:dyDescent="0.25">
      <c r="A943" s="25" t="str">
        <f ca="1">TEXT(Overig!A943,"000\,")&amp;TEXT(Overig!B943,"?00000000")&amp;TEXT(Overig!C943,""", ""@")&amp;SUBSTITUTE(TEXT(IF(ISTEXT(Overig!D943),Overig!D943,10*Overig!D943),""",""????0;"",""???-0;"",""????0;"", ////"""),"'","""")&amp;SUBSTITUTE(TEXT(Overig!E943,""",""?00;"",""?-00;"",""?00;"", //"""),"'","""")&amp;SUBSTITUTE(TEXT(IF(ISTEXT(Overig!F943),Overig!F943,10*Overig!F943),""",""????0;"",""???-0;"",""????0;"", ////"""),"'","""")&amp;SUBSTITUTE(TEXT(Overig!G943,""",""?00;"",""?-00;"",""?00;"", //"""),"'","""")</f>
        <v>081, 19401109, 19.45, 7470, 00,  300, 00</v>
      </c>
    </row>
    <row r="944" spans="1:1" x14ac:dyDescent="0.25">
      <c r="A944" s="25" t="str">
        <f ca="1">TEXT(Overig!A944,"000\,")&amp;TEXT(Overig!B944,"?00000000")&amp;TEXT(Overig!C944,""", ""@")&amp;SUBSTITUTE(TEXT(IF(ISTEXT(Overig!D944),Overig!D944,10*Overig!D944),""",""????0;"",""???-0;"",""????0;"", ////"""),"'","""")&amp;SUBSTITUTE(TEXT(Overig!E944,""",""?00;"",""?-00;"",""?00;"", //"""),"'","""")&amp;SUBSTITUTE(TEXT(IF(ISTEXT(Overig!F944),Overig!F944,10*Overig!F944),""",""????0;"",""???-0;"",""????0;"", ////"""),"'","""")&amp;SUBSTITUTE(TEXT(Overig!G944,""",""?00;"",""?-00;"",""?00;"", //"""),"'","""")</f>
        <v>081, 19401110, 07.45, 7480, 00,  280, 00</v>
      </c>
    </row>
    <row r="945" spans="1:1" x14ac:dyDescent="0.25">
      <c r="A945" s="25" t="str">
        <f ca="1">TEXT(Overig!A945,"000\,")&amp;TEXT(Overig!B945,"?00000000")&amp;TEXT(Overig!C945,""", ""@")&amp;SUBSTITUTE(TEXT(IF(ISTEXT(Overig!D945),Overig!D945,10*Overig!D945),""",""????0;"",""???-0;"",""????0;"", ////"""),"'","""")&amp;SUBSTITUTE(TEXT(Overig!E945,""",""?00;"",""?-00;"",""?00;"", //"""),"'","""")&amp;SUBSTITUTE(TEXT(IF(ISTEXT(Overig!F945),Overig!F945,10*Overig!F945),""",""????0;"",""???-0;"",""????0;"", ////"""),"'","""")&amp;SUBSTITUTE(TEXT(Overig!G945,""",""?00;"",""?-00;"",""?00;"", //"""),"'","""")</f>
        <v>081, 19401110, 13.45, 7480, 00,  300, 00</v>
      </c>
    </row>
    <row r="946" spans="1:1" x14ac:dyDescent="0.25">
      <c r="A946" s="25" t="str">
        <f ca="1">TEXT(Overig!A946,"000\,")&amp;TEXT(Overig!B946,"?00000000")&amp;TEXT(Overig!C946,""", ""@")&amp;SUBSTITUTE(TEXT(IF(ISTEXT(Overig!D946),Overig!D946,10*Overig!D946),""",""????0;"",""???-0;"",""????0;"", ////"""),"'","""")&amp;SUBSTITUTE(TEXT(Overig!E946,""",""?00;"",""?-00;"",""?00;"", //"""),"'","""")&amp;SUBSTITUTE(TEXT(IF(ISTEXT(Overig!F946),Overig!F946,10*Overig!F946),""",""????0;"",""???-0;"",""????0;"", ////"""),"'","""")&amp;SUBSTITUTE(TEXT(Overig!G946,""",""?00;"",""?-00;"",""?00;"", //"""),"'","""")</f>
        <v>081, 19401110, 19.45, 7480, 00,  290, 00</v>
      </c>
    </row>
    <row r="947" spans="1:1" x14ac:dyDescent="0.25">
      <c r="A947" s="25" t="str">
        <f ca="1">TEXT(Overig!A947,"000\,")&amp;TEXT(Overig!B947,"?00000000")&amp;TEXT(Overig!C947,""", ""@")&amp;SUBSTITUTE(TEXT(IF(ISTEXT(Overig!D947),Overig!D947,10*Overig!D947),""",""????0;"",""???-0;"",""????0;"", ////"""),"'","""")&amp;SUBSTITUTE(TEXT(Overig!E947,""",""?00;"",""?-00;"",""?00;"", //"""),"'","""")&amp;SUBSTITUTE(TEXT(IF(ISTEXT(Overig!F947),Overig!F947,10*Overig!F947),""",""????0;"",""???-0;"",""????0;"", ////"""),"'","""")&amp;SUBSTITUTE(TEXT(Overig!G947,""",""?00;"",""?-00;"",""?00;"", //"""),"'","""")</f>
        <v>081, 19401111, 07.45, 7480, 00,  260, 00</v>
      </c>
    </row>
    <row r="948" spans="1:1" x14ac:dyDescent="0.25">
      <c r="A948" s="25" t="str">
        <f ca="1">TEXT(Overig!A948,"000\,")&amp;TEXT(Overig!B948,"?00000000")&amp;TEXT(Overig!C948,""", ""@")&amp;SUBSTITUTE(TEXT(IF(ISTEXT(Overig!D948),Overig!D948,10*Overig!D948),""",""????0;"",""???-0;"",""????0;"", ////"""),"'","""")&amp;SUBSTITUTE(TEXT(Overig!E948,""",""?00;"",""?-00;"",""?00;"", //"""),"'","""")&amp;SUBSTITUTE(TEXT(IF(ISTEXT(Overig!F948),Overig!F948,10*Overig!F948),""",""????0;"",""???-0;"",""????0;"", ////"""),"'","""")&amp;SUBSTITUTE(TEXT(Overig!G948,""",""?00;"",""?-00;"",""?00;"", //"""),"'","""")</f>
        <v>081, 19401111, 13.45, 7480, 00,  290, 00</v>
      </c>
    </row>
    <row r="949" spans="1:1" x14ac:dyDescent="0.25">
      <c r="A949" s="25" t="str">
        <f ca="1">TEXT(Overig!A949,"000\,")&amp;TEXT(Overig!B949,"?00000000")&amp;TEXT(Overig!C949,""", ""@")&amp;SUBSTITUTE(TEXT(IF(ISTEXT(Overig!D949),Overig!D949,10*Overig!D949),""",""????0;"",""???-0;"",""????0;"", ////"""),"'","""")&amp;SUBSTITUTE(TEXT(Overig!E949,""",""?00;"",""?-00;"",""?00;"", //"""),"'","""")&amp;SUBSTITUTE(TEXT(IF(ISTEXT(Overig!F949),Overig!F949,10*Overig!F949),""",""????0;"",""???-0;"",""????0;"", ////"""),"'","""")&amp;SUBSTITUTE(TEXT(Overig!G949,""",""?00;"",""?-00;"",""?00;"", //"""),"'","""")</f>
        <v>081, 19401111, 19.45, 7480, 00,  280, 00</v>
      </c>
    </row>
    <row r="950" spans="1:1" x14ac:dyDescent="0.25">
      <c r="A950" s="25" t="str">
        <f ca="1">TEXT(Overig!A950,"000\,")&amp;TEXT(Overig!B950,"?00000000")&amp;TEXT(Overig!C950,""", ""@")&amp;SUBSTITUTE(TEXT(IF(ISTEXT(Overig!D950),Overig!D950,10*Overig!D950),""",""????0;"",""???-0;"",""????0;"", ////"""),"'","""")&amp;SUBSTITUTE(TEXT(Overig!E950,""",""?00;"",""?-00;"",""?00;"", //"""),"'","""")&amp;SUBSTITUTE(TEXT(IF(ISTEXT(Overig!F950),Overig!F950,10*Overig!F950),""",""????0;"",""???-0;"",""????0;"", ////"""),"'","""")&amp;SUBSTITUTE(TEXT(Overig!G950,""",""?00;"",""?-00;"",""?00;"", //"""),"'","""")</f>
        <v>081, 19401112, 07.45, 7470, 00,  260, 00</v>
      </c>
    </row>
    <row r="951" spans="1:1" x14ac:dyDescent="0.25">
      <c r="A951" s="25" t="str">
        <f ca="1">TEXT(Overig!A951,"000\,")&amp;TEXT(Overig!B951,"?00000000")&amp;TEXT(Overig!C951,""", ""@")&amp;SUBSTITUTE(TEXT(IF(ISTEXT(Overig!D951),Overig!D951,10*Overig!D951),""",""????0;"",""???-0;"",""????0;"", ////"""),"'","""")&amp;SUBSTITUTE(TEXT(Overig!E951,""",""?00;"",""?-00;"",""?00;"", //"""),"'","""")&amp;SUBSTITUTE(TEXT(IF(ISTEXT(Overig!F951),Overig!F951,10*Overig!F951),""",""????0;"",""???-0;"",""????0;"", ////"""),"'","""")&amp;SUBSTITUTE(TEXT(Overig!G951,""",""?00;"",""?-00;"",""?00;"", //"""),"'","""")</f>
        <v>081, 19401112, 13.45, 7460, 00,  290, 00</v>
      </c>
    </row>
    <row r="952" spans="1:1" x14ac:dyDescent="0.25">
      <c r="A952" s="25" t="str">
        <f ca="1">TEXT(Overig!A952,"000\,")&amp;TEXT(Overig!B952,"?00000000")&amp;TEXT(Overig!C952,""", ""@")&amp;SUBSTITUTE(TEXT(IF(ISTEXT(Overig!D952),Overig!D952,10*Overig!D952),""",""????0;"",""???-0;"",""????0;"", ////"""),"'","""")&amp;SUBSTITUTE(TEXT(Overig!E952,""",""?00;"",""?-00;"",""?00;"", //"""),"'","""")&amp;SUBSTITUTE(TEXT(IF(ISTEXT(Overig!F952),Overig!F952,10*Overig!F952),""",""????0;"",""???-0;"",""????0;"", ////"""),"'","""")&amp;SUBSTITUTE(TEXT(Overig!G952,""",""?00;"",""?-00;"",""?00;"", //"""),"'","""")</f>
        <v>081, 19401112, 19.45, 7450, 00,  280, 00</v>
      </c>
    </row>
    <row r="953" spans="1:1" x14ac:dyDescent="0.25">
      <c r="A953" s="25" t="str">
        <f ca="1">TEXT(Overig!A953,"000\,")&amp;TEXT(Overig!B953,"?00000000")&amp;TEXT(Overig!C953,""", ""@")&amp;SUBSTITUTE(TEXT(IF(ISTEXT(Overig!D953),Overig!D953,10*Overig!D953),""",""????0;"",""???-0;"",""????0;"", ////"""),"'","""")&amp;SUBSTITUTE(TEXT(Overig!E953,""",""?00;"",""?-00;"",""?00;"", //"""),"'","""")&amp;SUBSTITUTE(TEXT(IF(ISTEXT(Overig!F953),Overig!F953,10*Overig!F953),""",""????0;"",""???-0;"",""????0;"", ////"""),"'","""")&amp;SUBSTITUTE(TEXT(Overig!G953,""",""?00;"",""?-00;"",""?00;"", //"""),"'","""")</f>
        <v>081, 19401113, 07.45, 7450, 00,  260, 00</v>
      </c>
    </row>
    <row r="954" spans="1:1" x14ac:dyDescent="0.25">
      <c r="A954" s="25" t="str">
        <f ca="1">TEXT(Overig!A954,"000\,")&amp;TEXT(Overig!B954,"?00000000")&amp;TEXT(Overig!C954,""", ""@")&amp;SUBSTITUTE(TEXT(IF(ISTEXT(Overig!D954),Overig!D954,10*Overig!D954),""",""????0;"",""???-0;"",""????0;"", ////"""),"'","""")&amp;SUBSTITUTE(TEXT(Overig!E954,""",""?00;"",""?-00;"",""?00;"", //"""),"'","""")&amp;SUBSTITUTE(TEXT(IF(ISTEXT(Overig!F954),Overig!F954,10*Overig!F954),""",""????0;"",""???-0;"",""????0;"", ////"""),"'","""")&amp;SUBSTITUTE(TEXT(Overig!G954,""",""?00;"",""?-00;"",""?00;"", //"""),"'","""")</f>
        <v>081, 19401113, 13.45, 7450, 00,  290, 00</v>
      </c>
    </row>
    <row r="955" spans="1:1" x14ac:dyDescent="0.25">
      <c r="A955" s="25" t="str">
        <f ca="1">TEXT(Overig!A955,"000\,")&amp;TEXT(Overig!B955,"?00000000")&amp;TEXT(Overig!C955,""", ""@")&amp;SUBSTITUTE(TEXT(IF(ISTEXT(Overig!D955),Overig!D955,10*Overig!D955),""",""????0;"",""???-0;"",""????0;"", ////"""),"'","""")&amp;SUBSTITUTE(TEXT(Overig!E955,""",""?00;"",""?-00;"",""?00;"", //"""),"'","""")&amp;SUBSTITUTE(TEXT(IF(ISTEXT(Overig!F955),Overig!F955,10*Overig!F955),""",""????0;"",""???-0;"",""????0;"", ////"""),"'","""")&amp;SUBSTITUTE(TEXT(Overig!G955,""",""?00;"",""?-00;"",""?00;"", //"""),"'","""")</f>
        <v>081, 19401113, 19.45, 7450, 00,  280, 00</v>
      </c>
    </row>
    <row r="956" spans="1:1" x14ac:dyDescent="0.25">
      <c r="A956" s="25" t="str">
        <f ca="1">TEXT(Overig!A956,"000\,")&amp;TEXT(Overig!B956,"?00000000")&amp;TEXT(Overig!C956,""", ""@")&amp;SUBSTITUTE(TEXT(IF(ISTEXT(Overig!D956),Overig!D956,10*Overig!D956),""",""????0;"",""???-0;"",""????0;"", ////"""),"'","""")&amp;SUBSTITUTE(TEXT(Overig!E956,""",""?00;"",""?-00;"",""?00;"", //"""),"'","""")&amp;SUBSTITUTE(TEXT(IF(ISTEXT(Overig!F956),Overig!F956,10*Overig!F956),""",""????0;"",""???-0;"",""????0;"", ////"""),"'","""")&amp;SUBSTITUTE(TEXT(Overig!G956,""",""?00;"",""?-00;"",""?00;"", //"""),"'","""")</f>
        <v>081, 19401114, 07.45, 7460, 00,  260, 00</v>
      </c>
    </row>
    <row r="957" spans="1:1" x14ac:dyDescent="0.25">
      <c r="A957" s="25" t="str">
        <f ca="1">TEXT(Overig!A957,"000\,")&amp;TEXT(Overig!B957,"?00000000")&amp;TEXT(Overig!C957,""", ""@")&amp;SUBSTITUTE(TEXT(IF(ISTEXT(Overig!D957),Overig!D957,10*Overig!D957),""",""????0;"",""???-0;"",""????0;"", ////"""),"'","""")&amp;SUBSTITUTE(TEXT(Overig!E957,""",""?00;"",""?-00;"",""?00;"", //"""),"'","""")&amp;SUBSTITUTE(TEXT(IF(ISTEXT(Overig!F957),Overig!F957,10*Overig!F957),""",""????0;"",""???-0;"",""????0;"", ////"""),"'","""")&amp;SUBSTITUTE(TEXT(Overig!G957,""",""?00;"",""?-00;"",""?00;"", //"""),"'","""")</f>
        <v>081, 19401114, 13.45, 7460, 00,  290, 00</v>
      </c>
    </row>
    <row r="958" spans="1:1" x14ac:dyDescent="0.25">
      <c r="A958" s="25" t="str">
        <f ca="1">TEXT(Overig!A958,"000\,")&amp;TEXT(Overig!B958,"?00000000")&amp;TEXT(Overig!C958,""", ""@")&amp;SUBSTITUTE(TEXT(IF(ISTEXT(Overig!D958),Overig!D958,10*Overig!D958),""",""????0;"",""???-0;"",""????0;"", ////"""),"'","""")&amp;SUBSTITUTE(TEXT(Overig!E958,""",""?00;"",""?-00;"",""?00;"", //"""),"'","""")&amp;SUBSTITUTE(TEXT(IF(ISTEXT(Overig!F958),Overig!F958,10*Overig!F958),""",""????0;"",""???-0;"",""????0;"", ////"""),"'","""")&amp;SUBSTITUTE(TEXT(Overig!G958,""",""?00;"",""?-00;"",""?00;"", //"""),"'","""")</f>
        <v>081, 19401114, 19.45, 7470, 00,  280, 00</v>
      </c>
    </row>
    <row r="959" spans="1:1" x14ac:dyDescent="0.25">
      <c r="A959" s="25" t="str">
        <f ca="1">TEXT(Overig!A959,"000\,")&amp;TEXT(Overig!B959,"?00000000")&amp;TEXT(Overig!C959,""", ""@")&amp;SUBSTITUTE(TEXT(IF(ISTEXT(Overig!D959),Overig!D959,10*Overig!D959),""",""????0;"",""???-0;"",""????0;"", ////"""),"'","""")&amp;SUBSTITUTE(TEXT(Overig!E959,""",""?00;"",""?-00;"",""?00;"", //"""),"'","""")&amp;SUBSTITUTE(TEXT(IF(ISTEXT(Overig!F959),Overig!F959,10*Overig!F959),""",""????0;"",""???-0;"",""????0;"", ////"""),"'","""")&amp;SUBSTITUTE(TEXT(Overig!G959,""",""?00;"",""?-00;"",""?00;"", //"""),"'","""")</f>
        <v>081, 19401115, 07.45, 7470, 00,  260, 00</v>
      </c>
    </row>
    <row r="960" spans="1:1" x14ac:dyDescent="0.25">
      <c r="A960" s="25" t="str">
        <f ca="1">TEXT(Overig!A960,"000\,")&amp;TEXT(Overig!B960,"?00000000")&amp;TEXT(Overig!C960,""", ""@")&amp;SUBSTITUTE(TEXT(IF(ISTEXT(Overig!D960),Overig!D960,10*Overig!D960),""",""????0;"",""???-0;"",""????0;"", ////"""),"'","""")&amp;SUBSTITUTE(TEXT(Overig!E960,""",""?00;"",""?-00;"",""?00;"", //"""),"'","""")&amp;SUBSTITUTE(TEXT(IF(ISTEXT(Overig!F960),Overig!F960,10*Overig!F960),""",""????0;"",""???-0;"",""????0;"", ////"""),"'","""")&amp;SUBSTITUTE(TEXT(Overig!G960,""",""?00;"",""?-00;"",""?00;"", //"""),"'","""")</f>
        <v>081, 19401115, 13.45, 7470, 00,  290, 00</v>
      </c>
    </row>
    <row r="961" spans="1:1" x14ac:dyDescent="0.25">
      <c r="A961" s="25" t="str">
        <f ca="1">TEXT(Overig!A961,"000\,")&amp;TEXT(Overig!B961,"?00000000")&amp;TEXT(Overig!C961,""", ""@")&amp;SUBSTITUTE(TEXT(IF(ISTEXT(Overig!D961),Overig!D961,10*Overig!D961),""",""????0;"",""???-0;"",""????0;"", ////"""),"'","""")&amp;SUBSTITUTE(TEXT(Overig!E961,""",""?00;"",""?-00;"",""?00;"", //"""),"'","""")&amp;SUBSTITUTE(TEXT(IF(ISTEXT(Overig!F961),Overig!F961,10*Overig!F961),""",""????0;"",""???-0;"",""????0;"", ////"""),"'","""")&amp;SUBSTITUTE(TEXT(Overig!G961,""",""?00;"",""?-00;"",""?00;"", //"""),"'","""")</f>
        <v>081, 19401115, 19.45, 7480, 00,  280, 00</v>
      </c>
    </row>
    <row r="962" spans="1:1" x14ac:dyDescent="0.25">
      <c r="A962" s="25" t="str">
        <f ca="1">TEXT(Overig!A962,"000\,")&amp;TEXT(Overig!B962,"?00000000")&amp;TEXT(Overig!C962,""", ""@")&amp;SUBSTITUTE(TEXT(IF(ISTEXT(Overig!D962),Overig!D962,10*Overig!D962),""",""????0;"",""???-0;"",""????0;"", ////"""),"'","""")&amp;SUBSTITUTE(TEXT(Overig!E962,""",""?00;"",""?-00;"",""?00;"", //"""),"'","""")&amp;SUBSTITUTE(TEXT(IF(ISTEXT(Overig!F962),Overig!F962,10*Overig!F962),""",""????0;"",""???-0;"",""????0;"", ////"""),"'","""")&amp;SUBSTITUTE(TEXT(Overig!G962,""",""?00;"",""?-00;"",""?00;"", //"""),"'","""")</f>
        <v>081, 19401116, 07.45, 7490, 00,  270, 00</v>
      </c>
    </row>
    <row r="963" spans="1:1" x14ac:dyDescent="0.25">
      <c r="A963" s="25" t="str">
        <f ca="1">TEXT(Overig!A963,"000\,")&amp;TEXT(Overig!B963,"?00000000")&amp;TEXT(Overig!C963,""", ""@")&amp;SUBSTITUTE(TEXT(IF(ISTEXT(Overig!D963),Overig!D963,10*Overig!D963),""",""????0;"",""???-0;"",""????0;"", ////"""),"'","""")&amp;SUBSTITUTE(TEXT(Overig!E963,""",""?00;"",""?-00;"",""?00;"", //"""),"'","""")&amp;SUBSTITUTE(TEXT(IF(ISTEXT(Overig!F963),Overig!F963,10*Overig!F963),""",""????0;"",""???-0;"",""????0;"", ////"""),"'","""")&amp;SUBSTITUTE(TEXT(Overig!G963,""",""?00;"",""?-00;"",""?00;"", //"""),"'","""")</f>
        <v>081, 19401116, 13.45, 7490, 00,  290, 00</v>
      </c>
    </row>
    <row r="964" spans="1:1" x14ac:dyDescent="0.25">
      <c r="A964" s="25" t="str">
        <f ca="1">TEXT(Overig!A964,"000\,")&amp;TEXT(Overig!B964,"?00000000")&amp;TEXT(Overig!C964,""", ""@")&amp;SUBSTITUTE(TEXT(IF(ISTEXT(Overig!D964),Overig!D964,10*Overig!D964),""",""????0;"",""???-0;"",""????0;"", ////"""),"'","""")&amp;SUBSTITUTE(TEXT(Overig!E964,""",""?00;"",""?-00;"",""?00;"", //"""),"'","""")&amp;SUBSTITUTE(TEXT(IF(ISTEXT(Overig!F964),Overig!F964,10*Overig!F964),""",""????0;"",""???-0;"",""????0;"", ////"""),"'","""")&amp;SUBSTITUTE(TEXT(Overig!G964,""",""?00;"",""?-00;"",""?00;"", //"""),"'","""")</f>
        <v>081, 19401116, 19.45, 7490, 00,  280, 00</v>
      </c>
    </row>
    <row r="965" spans="1:1" x14ac:dyDescent="0.25">
      <c r="A965" s="25" t="str">
        <f ca="1">TEXT(Overig!A965,"000\,")&amp;TEXT(Overig!B965,"?00000000")&amp;TEXT(Overig!C965,""", ""@")&amp;SUBSTITUTE(TEXT(IF(ISTEXT(Overig!D965),Overig!D965,10*Overig!D965),""",""????0;"",""???-0;"",""????0;"", ////"""),"'","""")&amp;SUBSTITUTE(TEXT(Overig!E965,""",""?00;"",""?-00;"",""?00;"", //"""),"'","""")&amp;SUBSTITUTE(TEXT(IF(ISTEXT(Overig!F965),Overig!F965,10*Overig!F965),""",""????0;"",""???-0;"",""????0;"", ////"""),"'","""")&amp;SUBSTITUTE(TEXT(Overig!G965,""",""?00;"",""?-00;"",""?00;"", //"""),"'","""")</f>
        <v>081, 19401117, 07.45, 7490, 00,  270, 00</v>
      </c>
    </row>
    <row r="966" spans="1:1" x14ac:dyDescent="0.25">
      <c r="A966" s="25" t="str">
        <f ca="1">TEXT(Overig!A966,"000\,")&amp;TEXT(Overig!B966,"?00000000")&amp;TEXT(Overig!C966,""", ""@")&amp;SUBSTITUTE(TEXT(IF(ISTEXT(Overig!D966),Overig!D966,10*Overig!D966),""",""????0;"",""???-0;"",""????0;"", ////"""),"'","""")&amp;SUBSTITUTE(TEXT(Overig!E966,""",""?00;"",""?-00;"",""?00;"", //"""),"'","""")&amp;SUBSTITUTE(TEXT(IF(ISTEXT(Overig!F966),Overig!F966,10*Overig!F966),""",""????0;"",""???-0;"",""????0;"", ////"""),"'","""")&amp;SUBSTITUTE(TEXT(Overig!G966,""",""?00;"",""?-00;"",""?00;"", //"""),"'","""")</f>
        <v>081, 19401117, 13.45, 7490, 00,  290, 00</v>
      </c>
    </row>
    <row r="967" spans="1:1" x14ac:dyDescent="0.25">
      <c r="A967" s="25" t="str">
        <f ca="1">TEXT(Overig!A967,"000\,")&amp;TEXT(Overig!B967,"?00000000")&amp;TEXT(Overig!C967,""", ""@")&amp;SUBSTITUTE(TEXT(IF(ISTEXT(Overig!D967),Overig!D967,10*Overig!D967),""",""????0;"",""???-0;"",""????0;"", ////"""),"'","""")&amp;SUBSTITUTE(TEXT(Overig!E967,""",""?00;"",""?-00;"",""?00;"", //"""),"'","""")&amp;SUBSTITUTE(TEXT(IF(ISTEXT(Overig!F967),Overig!F967,10*Overig!F967),""",""????0;"",""???-0;"",""????0;"", ////"""),"'","""")&amp;SUBSTITUTE(TEXT(Overig!G967,""",""?00;"",""?-00;"",""?00;"", //"""),"'","""")</f>
        <v>081, 19401117, 19.45, 7490, 00,  280, 00</v>
      </c>
    </row>
    <row r="968" spans="1:1" x14ac:dyDescent="0.25">
      <c r="A968" s="25" t="str">
        <f ca="1">TEXT(Overig!A968,"000\,")&amp;TEXT(Overig!B968,"?00000000")&amp;TEXT(Overig!C968,""", ""@")&amp;SUBSTITUTE(TEXT(IF(ISTEXT(Overig!D968),Overig!D968,10*Overig!D968),""",""????0;"",""???-0;"",""????0;"", ////"""),"'","""")&amp;SUBSTITUTE(TEXT(Overig!E968,""",""?00;"",""?-00;"",""?00;"", //"""),"'","""")&amp;SUBSTITUTE(TEXT(IF(ISTEXT(Overig!F968),Overig!F968,10*Overig!F968),""",""????0;"",""???-0;"",""????0;"", ////"""),"'","""")&amp;SUBSTITUTE(TEXT(Overig!G968,""",""?00;"",""?-00;"",""?00;"", //"""),"'","""")</f>
        <v>081, 19401118, 07.45, 7490, 00,  280, 00</v>
      </c>
    </row>
    <row r="969" spans="1:1" x14ac:dyDescent="0.25">
      <c r="A969" s="25" t="str">
        <f ca="1">TEXT(Overig!A969,"000\,")&amp;TEXT(Overig!B969,"?00000000")&amp;TEXT(Overig!C969,""", ""@")&amp;SUBSTITUTE(TEXT(IF(ISTEXT(Overig!D969),Overig!D969,10*Overig!D969),""",""????0;"",""???-0;"",""????0;"", ////"""),"'","""")&amp;SUBSTITUTE(TEXT(Overig!E969,""",""?00;"",""?-00;"",""?00;"", //"""),"'","""")&amp;SUBSTITUTE(TEXT(IF(ISTEXT(Overig!F969),Overig!F969,10*Overig!F969),""",""????0;"",""???-0;"",""????0;"", ////"""),"'","""")&amp;SUBSTITUTE(TEXT(Overig!G969,""",""?00;"",""?-00;"",""?00;"", //"""),"'","""")</f>
        <v>081, 19401118, 13.45, 7500, 00,  290, 00</v>
      </c>
    </row>
    <row r="970" spans="1:1" x14ac:dyDescent="0.25">
      <c r="A970" s="25" t="str">
        <f ca="1">TEXT(Overig!A970,"000\,")&amp;TEXT(Overig!B970,"?00000000")&amp;TEXT(Overig!C970,""", ""@")&amp;SUBSTITUTE(TEXT(IF(ISTEXT(Overig!D970),Overig!D970,10*Overig!D970),""",""????0;"",""???-0;"",""????0;"", ////"""),"'","""")&amp;SUBSTITUTE(TEXT(Overig!E970,""",""?00;"",""?-00;"",""?00;"", //"""),"'","""")&amp;SUBSTITUTE(TEXT(IF(ISTEXT(Overig!F970),Overig!F970,10*Overig!F970),""",""????0;"",""???-0;"",""????0;"", ////"""),"'","""")&amp;SUBSTITUTE(TEXT(Overig!G970,""",""?00;"",""?-00;"",""?00;"", //"""),"'","""")</f>
        <v>081, 19401118, 19.45, 7500, 00,  280, 00</v>
      </c>
    </row>
    <row r="971" spans="1:1" x14ac:dyDescent="0.25">
      <c r="A971" s="25" t="str">
        <f ca="1">TEXT(Overig!A971,"000\,")&amp;TEXT(Overig!B971,"?00000000")&amp;TEXT(Overig!C971,""", ""@")&amp;SUBSTITUTE(TEXT(IF(ISTEXT(Overig!D971),Overig!D971,10*Overig!D971),""",""????0;"",""???-0;"",""????0;"", ////"""),"'","""")&amp;SUBSTITUTE(TEXT(Overig!E971,""",""?00;"",""?-00;"",""?00;"", //"""),"'","""")&amp;SUBSTITUTE(TEXT(IF(ISTEXT(Overig!F971),Overig!F971,10*Overig!F971),""",""????0;"",""???-0;"",""????0;"", ////"""),"'","""")&amp;SUBSTITUTE(TEXT(Overig!G971,""",""?00;"",""?-00;"",""?00;"", //"""),"'","""")</f>
        <v>081, 19401119, 07.45, 7500, 00,  270, 00</v>
      </c>
    </row>
    <row r="972" spans="1:1" x14ac:dyDescent="0.25">
      <c r="A972" s="25" t="str">
        <f ca="1">TEXT(Overig!A972,"000\,")&amp;TEXT(Overig!B972,"?00000000")&amp;TEXT(Overig!C972,""", ""@")&amp;SUBSTITUTE(TEXT(IF(ISTEXT(Overig!D972),Overig!D972,10*Overig!D972),""",""????0;"",""???-0;"",""????0;"", ////"""),"'","""")&amp;SUBSTITUTE(TEXT(Overig!E972,""",""?00;"",""?-00;"",""?00;"", //"""),"'","""")&amp;SUBSTITUTE(TEXT(IF(ISTEXT(Overig!F972),Overig!F972,10*Overig!F972),""",""????0;"",""???-0;"",""????0;"", ////"""),"'","""")&amp;SUBSTITUTE(TEXT(Overig!G972,""",""?00;"",""?-00;"",""?00;"", //"""),"'","""")</f>
        <v>081, 19401119, 13.45, 7500, 00,  290, 00</v>
      </c>
    </row>
    <row r="973" spans="1:1" x14ac:dyDescent="0.25">
      <c r="A973" s="25" t="str">
        <f ca="1">TEXT(Overig!A973,"000\,")&amp;TEXT(Overig!B973,"?00000000")&amp;TEXT(Overig!C973,""", ""@")&amp;SUBSTITUTE(TEXT(IF(ISTEXT(Overig!D973),Overig!D973,10*Overig!D973),""",""????0;"",""???-0;"",""????0;"", ////"""),"'","""")&amp;SUBSTITUTE(TEXT(Overig!E973,""",""?00;"",""?-00;"",""?00;"", //"""),"'","""")&amp;SUBSTITUTE(TEXT(IF(ISTEXT(Overig!F973),Overig!F973,10*Overig!F973),""",""????0;"",""???-0;"",""????0;"", ////"""),"'","""")&amp;SUBSTITUTE(TEXT(Overig!G973,""",""?00;"",""?-00;"",""?00;"", //"""),"'","""")</f>
        <v>081, 19401119, 19.45, 7500, 00,  280, 00</v>
      </c>
    </row>
    <row r="974" spans="1:1" x14ac:dyDescent="0.25">
      <c r="A974" s="25" t="str">
        <f ca="1">TEXT(Overig!A974,"000\,")&amp;TEXT(Overig!B974,"?00000000")&amp;TEXT(Overig!C974,""", ""@")&amp;SUBSTITUTE(TEXT(IF(ISTEXT(Overig!D974),Overig!D974,10*Overig!D974),""",""????0;"",""???-0;"",""????0;"", ////"""),"'","""")&amp;SUBSTITUTE(TEXT(Overig!E974,""",""?00;"",""?-00;"",""?00;"", //"""),"'","""")&amp;SUBSTITUTE(TEXT(IF(ISTEXT(Overig!F974),Overig!F974,10*Overig!F974),""",""????0;"",""???-0;"",""????0;"", ////"""),"'","""")&amp;SUBSTITUTE(TEXT(Overig!G974,""",""?00;"",""?-00;"",""?00;"", //"""),"'","""")</f>
        <v>081, 19401120, 07.45, 7490, 00,  270, 00</v>
      </c>
    </row>
    <row r="975" spans="1:1" x14ac:dyDescent="0.25">
      <c r="A975" s="25" t="str">
        <f ca="1">TEXT(Overig!A975,"000\,")&amp;TEXT(Overig!B975,"?00000000")&amp;TEXT(Overig!C975,""", ""@")&amp;SUBSTITUTE(TEXT(IF(ISTEXT(Overig!D975),Overig!D975,10*Overig!D975),""",""????0;"",""???-0;"",""????0;"", ////"""),"'","""")&amp;SUBSTITUTE(TEXT(Overig!E975,""",""?00;"",""?-00;"",""?00;"", //"""),"'","""")&amp;SUBSTITUTE(TEXT(IF(ISTEXT(Overig!F975),Overig!F975,10*Overig!F975),""",""????0;"",""???-0;"",""????0;"", ////"""),"'","""")&amp;SUBSTITUTE(TEXT(Overig!G975,""",""?00;"",""?-00;"",""?00;"", //"""),"'","""")</f>
        <v>081, 19401120, 13.45, 7490, 00,  290, 00</v>
      </c>
    </row>
    <row r="976" spans="1:1" x14ac:dyDescent="0.25">
      <c r="A976" s="25" t="str">
        <f ca="1">TEXT(Overig!A976,"000\,")&amp;TEXT(Overig!B976,"?00000000")&amp;TEXT(Overig!C976,""", ""@")&amp;SUBSTITUTE(TEXT(IF(ISTEXT(Overig!D976),Overig!D976,10*Overig!D976),""",""????0;"",""???-0;"",""????0;"", ////"""),"'","""")&amp;SUBSTITUTE(TEXT(Overig!E976,""",""?00;"",""?-00;"",""?00;"", //"""),"'","""")&amp;SUBSTITUTE(TEXT(IF(ISTEXT(Overig!F976),Overig!F976,10*Overig!F976),""",""????0;"",""???-0;"",""????0;"", ////"""),"'","""")&amp;SUBSTITUTE(TEXT(Overig!G976,""",""?00;"",""?-00;"",""?00;"", //"""),"'","""")</f>
        <v>081, 19401120, 19.45, 7490, 00,  280, 00</v>
      </c>
    </row>
    <row r="977" spans="1:1" x14ac:dyDescent="0.25">
      <c r="A977" s="25" t="str">
        <f ca="1">TEXT(Overig!A977,"000\,")&amp;TEXT(Overig!B977,"?00000000")&amp;TEXT(Overig!C977,""", ""@")&amp;SUBSTITUTE(TEXT(IF(ISTEXT(Overig!D977),Overig!D977,10*Overig!D977),""",""????0;"",""???-0;"",""????0;"", ////"""),"'","""")&amp;SUBSTITUTE(TEXT(Overig!E977,""",""?00;"",""?-00;"",""?00;"", //"""),"'","""")&amp;SUBSTITUTE(TEXT(IF(ISTEXT(Overig!F977),Overig!F977,10*Overig!F977),""",""????0;"",""???-0;"",""????0;"", ////"""),"'","""")&amp;SUBSTITUTE(TEXT(Overig!G977,""",""?00;"",""?-00;"",""?00;"", //"""),"'","""")</f>
        <v>081, 19401121, 07.45, 7490, 00,  270, 00</v>
      </c>
    </row>
    <row r="978" spans="1:1" x14ac:dyDescent="0.25">
      <c r="A978" s="25" t="str">
        <f ca="1">TEXT(Overig!A978,"000\,")&amp;TEXT(Overig!B978,"?00000000")&amp;TEXT(Overig!C978,""", ""@")&amp;SUBSTITUTE(TEXT(IF(ISTEXT(Overig!D978),Overig!D978,10*Overig!D978),""",""????0;"",""???-0;"",""????0;"", ////"""),"'","""")&amp;SUBSTITUTE(TEXT(Overig!E978,""",""?00;"",""?-00;"",""?00;"", //"""),"'","""")&amp;SUBSTITUTE(TEXT(IF(ISTEXT(Overig!F978),Overig!F978,10*Overig!F978),""",""????0;"",""???-0;"",""????0;"", ////"""),"'","""")&amp;SUBSTITUTE(TEXT(Overig!G978,""",""?00;"",""?-00;"",""?00;"", //"""),"'","""")</f>
        <v>081, 19401121, 13.45, 7490, 00,  290, 00</v>
      </c>
    </row>
    <row r="979" spans="1:1" x14ac:dyDescent="0.25">
      <c r="A979" s="25" t="str">
        <f ca="1">TEXT(Overig!A979,"000\,")&amp;TEXT(Overig!B979,"?00000000")&amp;TEXT(Overig!C979,""", ""@")&amp;SUBSTITUTE(TEXT(IF(ISTEXT(Overig!D979),Overig!D979,10*Overig!D979),""",""????0;"",""???-0;"",""????0;"", ////"""),"'","""")&amp;SUBSTITUTE(TEXT(Overig!E979,""",""?00;"",""?-00;"",""?00;"", //"""),"'","""")&amp;SUBSTITUTE(TEXT(IF(ISTEXT(Overig!F979),Overig!F979,10*Overig!F979),""",""????0;"",""???-0;"",""????0;"", ////"""),"'","""")&amp;SUBSTITUTE(TEXT(Overig!G979,""",""?00;"",""?-00;"",""?00;"", //"""),"'","""")</f>
        <v>081, 19401121, 19.45, 7490, 00,  280, 00</v>
      </c>
    </row>
    <row r="980" spans="1:1" x14ac:dyDescent="0.25">
      <c r="A980" s="25" t="str">
        <f ca="1">TEXT(Overig!A980,"000\,")&amp;TEXT(Overig!B980,"?00000000")&amp;TEXT(Overig!C980,""", ""@")&amp;SUBSTITUTE(TEXT(IF(ISTEXT(Overig!D980),Overig!D980,10*Overig!D980),""",""????0;"",""???-0;"",""????0;"", ////"""),"'","""")&amp;SUBSTITUTE(TEXT(Overig!E980,""",""?00;"",""?-00;"",""?00;"", //"""),"'","""")&amp;SUBSTITUTE(TEXT(IF(ISTEXT(Overig!F980),Overig!F980,10*Overig!F980),""",""????0;"",""???-0;"",""????0;"", ////"""),"'","""")&amp;SUBSTITUTE(TEXT(Overig!G980,""",""?00;"",""?-00;"",""?00;"", //"""),"'","""")</f>
        <v>081, 19401122, 07.45, 7490, 00,  270, 00</v>
      </c>
    </row>
    <row r="981" spans="1:1" x14ac:dyDescent="0.25">
      <c r="A981" s="25" t="str">
        <f ca="1">TEXT(Overig!A981,"000\,")&amp;TEXT(Overig!B981,"?00000000")&amp;TEXT(Overig!C981,""", ""@")&amp;SUBSTITUTE(TEXT(IF(ISTEXT(Overig!D981),Overig!D981,10*Overig!D981),""",""????0;"",""???-0;"",""????0;"", ////"""),"'","""")&amp;SUBSTITUTE(TEXT(Overig!E981,""",""?00;"",""?-00;"",""?00;"", //"""),"'","""")&amp;SUBSTITUTE(TEXT(IF(ISTEXT(Overig!F981),Overig!F981,10*Overig!F981),""",""????0;"",""???-0;"",""????0;"", ////"""),"'","""")&amp;SUBSTITUTE(TEXT(Overig!G981,""",""?00;"",""?-00;"",""?00;"", //"""),"'","""")</f>
        <v>081, 19401122, 13.45, 7490, 00,  300, 00</v>
      </c>
    </row>
    <row r="982" spans="1:1" x14ac:dyDescent="0.25">
      <c r="A982" s="25" t="str">
        <f ca="1">TEXT(Overig!A982,"000\,")&amp;TEXT(Overig!B982,"?00000000")&amp;TEXT(Overig!C982,""", ""@")&amp;SUBSTITUTE(TEXT(IF(ISTEXT(Overig!D982),Overig!D982,10*Overig!D982),""",""????0;"",""???-0;"",""????0;"", ////"""),"'","""")&amp;SUBSTITUTE(TEXT(Overig!E982,""",""?00;"",""?-00;"",""?00;"", //"""),"'","""")&amp;SUBSTITUTE(TEXT(IF(ISTEXT(Overig!F982),Overig!F982,10*Overig!F982),""",""????0;"",""???-0;"",""????0;"", ////"""),"'","""")&amp;SUBSTITUTE(TEXT(Overig!G982,""",""?00;"",""?-00;"",""?00;"", //"""),"'","""")</f>
        <v>081, 19401122, 19.45, 7490, 00,  290, 00</v>
      </c>
    </row>
    <row r="983" spans="1:1" x14ac:dyDescent="0.25">
      <c r="A983" s="25" t="str">
        <f ca="1">TEXT(Overig!A983,"000\,")&amp;TEXT(Overig!B983,"?00000000")&amp;TEXT(Overig!C983,""", ""@")&amp;SUBSTITUTE(TEXT(IF(ISTEXT(Overig!D983),Overig!D983,10*Overig!D983),""",""????0;"",""???-0;"",""????0;"", ////"""),"'","""")&amp;SUBSTITUTE(TEXT(Overig!E983,""",""?00;"",""?-00;"",""?00;"", //"""),"'","""")&amp;SUBSTITUTE(TEXT(IF(ISTEXT(Overig!F983),Overig!F983,10*Overig!F983),""",""????0;"",""???-0;"",""????0;"", ////"""),"'","""")&amp;SUBSTITUTE(TEXT(Overig!G983,""",""?00;"",""?-00;"",""?00;"", //"""),"'","""")</f>
        <v>081, 19401123, 07.45, 7480, 00,  260, 00</v>
      </c>
    </row>
    <row r="984" spans="1:1" x14ac:dyDescent="0.25">
      <c r="A984" s="25" t="str">
        <f ca="1">TEXT(Overig!A984,"000\,")&amp;TEXT(Overig!B984,"?00000000")&amp;TEXT(Overig!C984,""", ""@")&amp;SUBSTITUTE(TEXT(IF(ISTEXT(Overig!D984),Overig!D984,10*Overig!D984),""",""????0;"",""???-0;"",""????0;"", ////"""),"'","""")&amp;SUBSTITUTE(TEXT(Overig!E984,""",""?00;"",""?-00;"",""?00;"", //"""),"'","""")&amp;SUBSTITUTE(TEXT(IF(ISTEXT(Overig!F984),Overig!F984,10*Overig!F984),""",""????0;"",""???-0;"",""????0;"", ////"""),"'","""")&amp;SUBSTITUTE(TEXT(Overig!G984,""",""?00;"",""?-00;"",""?00;"", //"""),"'","""")</f>
        <v>081, 19401123, 13.45, 7480, 00,  290, 00</v>
      </c>
    </row>
    <row r="985" spans="1:1" x14ac:dyDescent="0.25">
      <c r="A985" s="25" t="str">
        <f ca="1">TEXT(Overig!A985,"000\,")&amp;TEXT(Overig!B985,"?00000000")&amp;TEXT(Overig!C985,""", ""@")&amp;SUBSTITUTE(TEXT(IF(ISTEXT(Overig!D985),Overig!D985,10*Overig!D985),""",""????0;"",""???-0;"",""????0;"", ////"""),"'","""")&amp;SUBSTITUTE(TEXT(Overig!E985,""",""?00;"",""?-00;"",""?00;"", //"""),"'","""")&amp;SUBSTITUTE(TEXT(IF(ISTEXT(Overig!F985),Overig!F985,10*Overig!F985),""",""????0;"",""???-0;"",""????0;"", ////"""),"'","""")&amp;SUBSTITUTE(TEXT(Overig!G985,""",""?00;"",""?-00;"",""?00;"", //"""),"'","""")</f>
        <v>081, 19401123, 19.45, 7480, 00,  270, 00</v>
      </c>
    </row>
    <row r="986" spans="1:1" x14ac:dyDescent="0.25">
      <c r="A986" s="25" t="str">
        <f ca="1">TEXT(Overig!A986,"000\,")&amp;TEXT(Overig!B986,"?00000000")&amp;TEXT(Overig!C986,""", ""@")&amp;SUBSTITUTE(TEXT(IF(ISTEXT(Overig!D986),Overig!D986,10*Overig!D986),""",""????0;"",""???-0;"",""????0;"", ////"""),"'","""")&amp;SUBSTITUTE(TEXT(Overig!E986,""",""?00;"",""?-00;"",""?00;"", //"""),"'","""")&amp;SUBSTITUTE(TEXT(IF(ISTEXT(Overig!F986),Overig!F986,10*Overig!F986),""",""????0;"",""???-0;"",""????0;"", ////"""),"'","""")&amp;SUBSTITUTE(TEXT(Overig!G986,""",""?00;"",""?-00;"",""?00;"", //"""),"'","""")</f>
        <v>081, 19401124, 07.45, 7480, 00,  270, 00</v>
      </c>
    </row>
    <row r="987" spans="1:1" x14ac:dyDescent="0.25">
      <c r="A987" s="25" t="str">
        <f ca="1">TEXT(Overig!A987,"000\,")&amp;TEXT(Overig!B987,"?00000000")&amp;TEXT(Overig!C987,""", ""@")&amp;SUBSTITUTE(TEXT(IF(ISTEXT(Overig!D987),Overig!D987,10*Overig!D987),""",""????0;"",""???-0;"",""????0;"", ////"""),"'","""")&amp;SUBSTITUTE(TEXT(Overig!E987,""",""?00;"",""?-00;"",""?00;"", //"""),"'","""")&amp;SUBSTITUTE(TEXT(IF(ISTEXT(Overig!F987),Overig!F987,10*Overig!F987),""",""????0;"",""???-0;"",""????0;"", ////"""),"'","""")&amp;SUBSTITUTE(TEXT(Overig!G987,""",""?00;"",""?-00;"",""?00;"", //"""),"'","""")</f>
        <v>081, 19401124, 13.45, 7480, 00,  300, 00</v>
      </c>
    </row>
    <row r="988" spans="1:1" x14ac:dyDescent="0.25">
      <c r="A988" s="25" t="str">
        <f ca="1">TEXT(Overig!A988,"000\,")&amp;TEXT(Overig!B988,"?00000000")&amp;TEXT(Overig!C988,""", ""@")&amp;SUBSTITUTE(TEXT(IF(ISTEXT(Overig!D988),Overig!D988,10*Overig!D988),""",""????0;"",""???-0;"",""????0;"", ////"""),"'","""")&amp;SUBSTITUTE(TEXT(Overig!E988,""",""?00;"",""?-00;"",""?00;"", //"""),"'","""")&amp;SUBSTITUTE(TEXT(IF(ISTEXT(Overig!F988),Overig!F988,10*Overig!F988),""",""????0;"",""???-0;"",""????0;"", ////"""),"'","""")&amp;SUBSTITUTE(TEXT(Overig!G988,""",""?00;"",""?-00;"",""?00;"", //"""),"'","""")</f>
        <v>081, 19401124, 19.45, 7480, 00,  290, 00</v>
      </c>
    </row>
    <row r="989" spans="1:1" x14ac:dyDescent="0.25">
      <c r="A989" s="25" t="str">
        <f ca="1">TEXT(Overig!A989,"000\,")&amp;TEXT(Overig!B989,"?00000000")&amp;TEXT(Overig!C989,""", ""@")&amp;SUBSTITUTE(TEXT(IF(ISTEXT(Overig!D989),Overig!D989,10*Overig!D989),""",""????0;"",""???-0;"",""????0;"", ////"""),"'","""")&amp;SUBSTITUTE(TEXT(Overig!E989,""",""?00;"",""?-00;"",""?00;"", //"""),"'","""")&amp;SUBSTITUTE(TEXT(IF(ISTEXT(Overig!F989),Overig!F989,10*Overig!F989),""",""????0;"",""???-0;"",""????0;"", ////"""),"'","""")&amp;SUBSTITUTE(TEXT(Overig!G989,""",""?00;"",""?-00;"",""?00;"", //"""),"'","""")</f>
        <v>081, 19401125, 07.45, 7480, 00,  260, 00</v>
      </c>
    </row>
    <row r="990" spans="1:1" x14ac:dyDescent="0.25">
      <c r="A990" s="25" t="str">
        <f ca="1">TEXT(Overig!A990,"000\,")&amp;TEXT(Overig!B990,"?00000000")&amp;TEXT(Overig!C990,""", ""@")&amp;SUBSTITUTE(TEXT(IF(ISTEXT(Overig!D990),Overig!D990,10*Overig!D990),""",""????0;"",""???-0;"",""????0;"", ////"""),"'","""")&amp;SUBSTITUTE(TEXT(Overig!E990,""",""?00;"",""?-00;"",""?00;"", //"""),"'","""")&amp;SUBSTITUTE(TEXT(IF(ISTEXT(Overig!F990),Overig!F990,10*Overig!F990),""",""????0;"",""???-0;"",""????0;"", ////"""),"'","""")&amp;SUBSTITUTE(TEXT(Overig!G990,""",""?00;"",""?-00;"",""?00;"", //"""),"'","""")</f>
        <v>081, 19401125, 13.45, 7480, 00,  300, 00</v>
      </c>
    </row>
    <row r="991" spans="1:1" x14ac:dyDescent="0.25">
      <c r="A991" s="25" t="str">
        <f ca="1">TEXT(Overig!A991,"000\,")&amp;TEXT(Overig!B991,"?00000000")&amp;TEXT(Overig!C991,""", ""@")&amp;SUBSTITUTE(TEXT(IF(ISTEXT(Overig!D991),Overig!D991,10*Overig!D991),""",""????0;"",""???-0;"",""????0;"", ////"""),"'","""")&amp;SUBSTITUTE(TEXT(Overig!E991,""",""?00;"",""?-00;"",""?00;"", //"""),"'","""")&amp;SUBSTITUTE(TEXT(IF(ISTEXT(Overig!F991),Overig!F991,10*Overig!F991),""",""????0;"",""???-0;"",""????0;"", ////"""),"'","""")&amp;SUBSTITUTE(TEXT(Overig!G991,""",""?00;"",""?-00;"",""?00;"", //"""),"'","""")</f>
        <v>081, 19401125, 19.45, 7480, 00,  290, 00</v>
      </c>
    </row>
    <row r="992" spans="1:1" x14ac:dyDescent="0.25">
      <c r="A992" s="25" t="str">
        <f ca="1">TEXT(Overig!A992,"000\,")&amp;TEXT(Overig!B992,"?00000000")&amp;TEXT(Overig!C992,""", ""@")&amp;SUBSTITUTE(TEXT(IF(ISTEXT(Overig!D992),Overig!D992,10*Overig!D992),""",""????0;"",""???-0;"",""????0;"", ////"""),"'","""")&amp;SUBSTITUTE(TEXT(Overig!E992,""",""?00;"",""?-00;"",""?00;"", //"""),"'","""")&amp;SUBSTITUTE(TEXT(IF(ISTEXT(Overig!F992),Overig!F992,10*Overig!F992),""",""????0;"",""???-0;"",""????0;"", ////"""),"'","""")&amp;SUBSTITUTE(TEXT(Overig!G992,""",""?00;"",""?-00;"",""?00;"", //"""),"'","""")</f>
        <v>081, 19401126, 07.45, 7480, 00,  270, 00</v>
      </c>
    </row>
    <row r="993" spans="1:1" x14ac:dyDescent="0.25">
      <c r="A993" s="25" t="str">
        <f ca="1">TEXT(Overig!A993,"000\,")&amp;TEXT(Overig!B993,"?00000000")&amp;TEXT(Overig!C993,""", ""@")&amp;SUBSTITUTE(TEXT(IF(ISTEXT(Overig!D993),Overig!D993,10*Overig!D993),""",""????0;"",""???-0;"",""????0;"", ////"""),"'","""")&amp;SUBSTITUTE(TEXT(Overig!E993,""",""?00;"",""?-00;"",""?00;"", //"""),"'","""")&amp;SUBSTITUTE(TEXT(IF(ISTEXT(Overig!F993),Overig!F993,10*Overig!F993),""",""????0;"",""???-0;"",""????0;"", ////"""),"'","""")&amp;SUBSTITUTE(TEXT(Overig!G993,""",""?00;"",""?-00;"",""?00;"", //"""),"'","""")</f>
        <v>081, 19401126, 13.45, 7480, 00,  300, 00</v>
      </c>
    </row>
    <row r="994" spans="1:1" x14ac:dyDescent="0.25">
      <c r="A994" s="25" t="str">
        <f ca="1">TEXT(Overig!A994,"000\,")&amp;TEXT(Overig!B994,"?00000000")&amp;TEXT(Overig!C994,""", ""@")&amp;SUBSTITUTE(TEXT(IF(ISTEXT(Overig!D994),Overig!D994,10*Overig!D994),""",""????0;"",""???-0;"",""????0;"", ////"""),"'","""")&amp;SUBSTITUTE(TEXT(Overig!E994,""",""?00;"",""?-00;"",""?00;"", //"""),"'","""")&amp;SUBSTITUTE(TEXT(IF(ISTEXT(Overig!F994),Overig!F994,10*Overig!F994),""",""????0;"",""???-0;"",""????0;"", ////"""),"'","""")&amp;SUBSTITUTE(TEXT(Overig!G994,""",""?00;"",""?-00;"",""?00;"", //"""),"'","""")</f>
        <v>081, 19401126, 19.45, 7480, 00,  290, 00</v>
      </c>
    </row>
    <row r="995" spans="1:1" x14ac:dyDescent="0.25">
      <c r="A995" s="25" t="str">
        <f ca="1">TEXT(Overig!A995,"000\,")&amp;TEXT(Overig!B995,"?00000000")&amp;TEXT(Overig!C995,""", ""@")&amp;SUBSTITUTE(TEXT(IF(ISTEXT(Overig!D995),Overig!D995,10*Overig!D995),""",""????0;"",""???-0;"",""????0;"", ////"""),"'","""")&amp;SUBSTITUTE(TEXT(Overig!E995,""",""?00;"",""?-00;"",""?00;"", //"""),"'","""")&amp;SUBSTITUTE(TEXT(IF(ISTEXT(Overig!F995),Overig!F995,10*Overig!F995),""",""????0;"",""???-0;"",""????0;"", ////"""),"'","""")&amp;SUBSTITUTE(TEXT(Overig!G995,""",""?00;"",""?-00;"",""?00;"", //"""),"'","""")</f>
        <v>081, 19401127, 07.45, 7480, 00,  270, 00</v>
      </c>
    </row>
    <row r="996" spans="1:1" x14ac:dyDescent="0.25">
      <c r="A996" s="25" t="str">
        <f ca="1">TEXT(Overig!A996,"000\,")&amp;TEXT(Overig!B996,"?00000000")&amp;TEXT(Overig!C996,""", ""@")&amp;SUBSTITUTE(TEXT(IF(ISTEXT(Overig!D996),Overig!D996,10*Overig!D996),""",""????0;"",""???-0;"",""????0;"", ////"""),"'","""")&amp;SUBSTITUTE(TEXT(Overig!E996,""",""?00;"",""?-00;"",""?00;"", //"""),"'","""")&amp;SUBSTITUTE(TEXT(IF(ISTEXT(Overig!F996),Overig!F996,10*Overig!F996),""",""????0;"",""???-0;"",""????0;"", ////"""),"'","""")&amp;SUBSTITUTE(TEXT(Overig!G996,""",""?00;"",""?-00;"",""?00;"", //"""),"'","""")</f>
        <v>081, 19401127, 13.45, 7480, 00,  300, 00</v>
      </c>
    </row>
    <row r="997" spans="1:1" x14ac:dyDescent="0.25">
      <c r="A997" s="25" t="str">
        <f ca="1">TEXT(Overig!A997,"000\,")&amp;TEXT(Overig!B997,"?00000000")&amp;TEXT(Overig!C997,""", ""@")&amp;SUBSTITUTE(TEXT(IF(ISTEXT(Overig!D997),Overig!D997,10*Overig!D997),""",""????0;"",""???-0;"",""????0;"", ////"""),"'","""")&amp;SUBSTITUTE(TEXT(Overig!E997,""",""?00;"",""?-00;"",""?00;"", //"""),"'","""")&amp;SUBSTITUTE(TEXT(IF(ISTEXT(Overig!F997),Overig!F997,10*Overig!F997),""",""????0;"",""???-0;"",""????0;"", ////"""),"'","""")&amp;SUBSTITUTE(TEXT(Overig!G997,""",""?00;"",""?-00;"",""?00;"", //"""),"'","""")</f>
        <v>081, 19401127, 19.45, 7490, 00,  290, 00</v>
      </c>
    </row>
    <row r="998" spans="1:1" x14ac:dyDescent="0.25">
      <c r="A998" s="25" t="str">
        <f ca="1">TEXT(Overig!A998,"000\,")&amp;TEXT(Overig!B998,"?00000000")&amp;TEXT(Overig!C998,""", ""@")&amp;SUBSTITUTE(TEXT(IF(ISTEXT(Overig!D998),Overig!D998,10*Overig!D998),""",""????0;"",""???-0;"",""????0;"", ////"""),"'","""")&amp;SUBSTITUTE(TEXT(Overig!E998,""",""?00;"",""?-00;"",""?00;"", //"""),"'","""")&amp;SUBSTITUTE(TEXT(IF(ISTEXT(Overig!F998),Overig!F998,10*Overig!F998),""",""????0;"",""???-0;"",""????0;"", ////"""),"'","""")&amp;SUBSTITUTE(TEXT(Overig!G998,""",""?00;"",""?-00;"",""?00;"", //"""),"'","""")</f>
        <v>081, 19401128, 07.45, 7500, 00,  270, 00</v>
      </c>
    </row>
    <row r="999" spans="1:1" x14ac:dyDescent="0.25">
      <c r="A999" s="25" t="str">
        <f ca="1">TEXT(Overig!A999,"000\,")&amp;TEXT(Overig!B999,"?00000000")&amp;TEXT(Overig!C999,""", ""@")&amp;SUBSTITUTE(TEXT(IF(ISTEXT(Overig!D999),Overig!D999,10*Overig!D999),""",""????0;"",""???-0;"",""????0;"", ////"""),"'","""")&amp;SUBSTITUTE(TEXT(Overig!E999,""",""?00;"",""?-00;"",""?00;"", //"""),"'","""")&amp;SUBSTITUTE(TEXT(IF(ISTEXT(Overig!F999),Overig!F999,10*Overig!F999),""",""????0;"",""???-0;"",""????0;"", ////"""),"'","""")&amp;SUBSTITUTE(TEXT(Overig!G999,""",""?00;"",""?-00;"",""?00;"", //"""),"'","""")</f>
        <v>081, 19401128, 13.45, 7500, 00,  300, 00</v>
      </c>
    </row>
    <row r="1000" spans="1:1" x14ac:dyDescent="0.25">
      <c r="A1000" s="25" t="str">
        <f ca="1">TEXT(Overig!A1000,"000\,")&amp;TEXT(Overig!B1000,"?00000000")&amp;TEXT(Overig!C1000,""", ""@")&amp;SUBSTITUTE(TEXT(IF(ISTEXT(Overig!D1000),Overig!D1000,10*Overig!D1000),""",""????0;"",""???-0;"",""????0;"", ////"""),"'","""")&amp;SUBSTITUTE(TEXT(Overig!E1000,""",""?00;"",""?-00;"",""?00;"", //"""),"'","""")&amp;SUBSTITUTE(TEXT(IF(ISTEXT(Overig!F1000),Overig!F1000,10*Overig!F1000),""",""????0;"",""???-0;"",""????0;"", ////"""),"'","""")&amp;SUBSTITUTE(TEXT(Overig!G1000,""",""?00;"",""?-00;"",""?00;"", //"""),"'","""")</f>
        <v>081, 19401128, 19.45, 7500, 00,  290, 00</v>
      </c>
    </row>
    <row r="1001" spans="1:1" x14ac:dyDescent="0.25">
      <c r="A1001" s="25" t="str">
        <f ca="1">TEXT(Overig!A1001,"000\,")&amp;TEXT(Overig!B1001,"?00000000")&amp;TEXT(Overig!C1001,""", ""@")&amp;SUBSTITUTE(TEXT(IF(ISTEXT(Overig!D1001),Overig!D1001,10*Overig!D1001),""",""????0;"",""???-0;"",""????0;"", ////"""),"'","""")&amp;SUBSTITUTE(TEXT(Overig!E1001,""",""?00;"",""?-00;"",""?00;"", //"""),"'","""")&amp;SUBSTITUTE(TEXT(IF(ISTEXT(Overig!F1001),Overig!F1001,10*Overig!F1001),""",""????0;"",""???-0;"",""????0;"", ////"""),"'","""")&amp;SUBSTITUTE(TEXT(Overig!G1001,""",""?00;"",""?-00;"",""?00;"", //"""),"'","""")</f>
        <v>081, 19401129, 07.45, 7500, 00,  270, 00</v>
      </c>
    </row>
    <row r="1002" spans="1:1" x14ac:dyDescent="0.25">
      <c r="A1002" s="25" t="str">
        <f ca="1">TEXT(Overig!A1002,"000\,")&amp;TEXT(Overig!B1002,"?00000000")&amp;TEXT(Overig!C1002,""", ""@")&amp;SUBSTITUTE(TEXT(IF(ISTEXT(Overig!D1002),Overig!D1002,10*Overig!D1002),""",""????0;"",""???-0;"",""????0;"", ////"""),"'","""")&amp;SUBSTITUTE(TEXT(Overig!E1002,""",""?00;"",""?-00;"",""?00;"", //"""),"'","""")&amp;SUBSTITUTE(TEXT(IF(ISTEXT(Overig!F1002),Overig!F1002,10*Overig!F1002),""",""????0;"",""???-0;"",""????0;"", ////"""),"'","""")&amp;SUBSTITUTE(TEXT(Overig!G1002,""",""?00;"",""?-00;"",""?00;"", //"""),"'","""")</f>
        <v>081, 19401129, 13.45, 7500, 00,  300, 00</v>
      </c>
    </row>
    <row r="1003" spans="1:1" x14ac:dyDescent="0.25">
      <c r="A1003" s="25" t="str">
        <f ca="1">TEXT(Overig!A1003,"000\,")&amp;TEXT(Overig!B1003,"?00000000")&amp;TEXT(Overig!C1003,""", ""@")&amp;SUBSTITUTE(TEXT(IF(ISTEXT(Overig!D1003),Overig!D1003,10*Overig!D1003),""",""????0;"",""???-0;"",""????0;"", ////"""),"'","""")&amp;SUBSTITUTE(TEXT(Overig!E1003,""",""?00;"",""?-00;"",""?00;"", //"""),"'","""")&amp;SUBSTITUTE(TEXT(IF(ISTEXT(Overig!F1003),Overig!F1003,10*Overig!F1003),""",""????0;"",""???-0;"",""????0;"", ////"""),"'","""")&amp;SUBSTITUTE(TEXT(Overig!G1003,""",""?00;"",""?-00;"",""?00;"", //"""),"'","""")</f>
        <v>081, 19401129, 19.45, 7500, 00,  290, 00</v>
      </c>
    </row>
    <row r="1004" spans="1:1" x14ac:dyDescent="0.25">
      <c r="A1004" s="25" t="str">
        <f ca="1">TEXT(Overig!A1004,"000\,")&amp;TEXT(Overig!B1004,"?00000000")&amp;TEXT(Overig!C1004,""", ""@")&amp;SUBSTITUTE(TEXT(IF(ISTEXT(Overig!D1004),Overig!D1004,10*Overig!D1004),""",""????0;"",""???-0;"",""????0;"", ////"""),"'","""")&amp;SUBSTITUTE(TEXT(Overig!E1004,""",""?00;"",""?-00;"",""?00;"", //"""),"'","""")&amp;SUBSTITUTE(TEXT(IF(ISTEXT(Overig!F1004),Overig!F1004,10*Overig!F1004),""",""????0;"",""???-0;"",""????0;"", ////"""),"'","""")&amp;SUBSTITUTE(TEXT(Overig!G1004,""",""?00;"",""?-00;"",""?00;"", //"""),"'","""")</f>
        <v>081, 19401130, 07.45, 7500, 00,  270, 00</v>
      </c>
    </row>
    <row r="1005" spans="1:1" x14ac:dyDescent="0.25">
      <c r="A1005" s="25" t="str">
        <f ca="1">TEXT(Overig!A1005,"000\,")&amp;TEXT(Overig!B1005,"?00000000")&amp;TEXT(Overig!C1005,""", ""@")&amp;SUBSTITUTE(TEXT(IF(ISTEXT(Overig!D1005),Overig!D1005,10*Overig!D1005),""",""????0;"",""???-0;"",""????0;"", ////"""),"'","""")&amp;SUBSTITUTE(TEXT(Overig!E1005,""",""?00;"",""?-00;"",""?00;"", //"""),"'","""")&amp;SUBSTITUTE(TEXT(IF(ISTEXT(Overig!F1005),Overig!F1005,10*Overig!F1005),""",""????0;"",""???-0;"",""????0;"", ////"""),"'","""")&amp;SUBSTITUTE(TEXT(Overig!G1005,""",""?00;"",""?-00;"",""?00;"", //"""),"'","""")</f>
        <v>081, 19401130, 13.45, 7500, 00,  300, 00</v>
      </c>
    </row>
    <row r="1006" spans="1:1" x14ac:dyDescent="0.25">
      <c r="A1006" s="25" t="str">
        <f ca="1">TEXT(Overig!A1006,"000\,")&amp;TEXT(Overig!B1006,"?00000000")&amp;TEXT(Overig!C1006,""", ""@")&amp;SUBSTITUTE(TEXT(IF(ISTEXT(Overig!D1006),Overig!D1006,10*Overig!D1006),""",""????0;"",""???-0;"",""????0;"", ////"""),"'","""")&amp;SUBSTITUTE(TEXT(Overig!E1006,""",""?00;"",""?-00;"",""?00;"", //"""),"'","""")&amp;SUBSTITUTE(TEXT(IF(ISTEXT(Overig!F1006),Overig!F1006,10*Overig!F1006),""",""????0;"",""???-0;"",""????0;"", ////"""),"'","""")&amp;SUBSTITUTE(TEXT(Overig!G1006,""",""?00;"",""?-00;"",""?00;"", //"""),"'","""")</f>
        <v>081, 19401130, 19.45, 7500, 00,  290, 00</v>
      </c>
    </row>
    <row r="1007" spans="1:1" x14ac:dyDescent="0.25">
      <c r="A1007" s="25" t="str">
        <f ca="1">TEXT(Overig!A1007,"000\,")&amp;TEXT(Overig!B1007,"?00000000")&amp;TEXT(Overig!C1007,""", ""@")&amp;SUBSTITUTE(TEXT(IF(ISTEXT(Overig!D1007),Overig!D1007,10*Overig!D1007),""",""????0;"",""???-0;"",""????0;"", ////"""),"'","""")&amp;SUBSTITUTE(TEXT(Overig!E1007,""",""?00;"",""?-00;"",""?00;"", //"""),"'","""")&amp;SUBSTITUTE(TEXT(IF(ISTEXT(Overig!F1007),Overig!F1007,10*Overig!F1007),""",""????0;"",""???-0;"",""????0;"", ////"""),"'","""")&amp;SUBSTITUTE(TEXT(Overig!G1007,""",""?00;"",""?-00;"",""?00;"", //"""),"'","""")</f>
        <v>081, 19401201, 07.45, 7500, 00,  270, 00</v>
      </c>
    </row>
    <row r="1008" spans="1:1" x14ac:dyDescent="0.25">
      <c r="A1008" s="25" t="str">
        <f ca="1">TEXT(Overig!A1008,"000\,")&amp;TEXT(Overig!B1008,"?00000000")&amp;TEXT(Overig!C1008,""", ""@")&amp;SUBSTITUTE(TEXT(IF(ISTEXT(Overig!D1008),Overig!D1008,10*Overig!D1008),""",""????0;"",""???-0;"",""????0;"", ////"""),"'","""")&amp;SUBSTITUTE(TEXT(Overig!E1008,""",""?00;"",""?-00;"",""?00;"", //"""),"'","""")&amp;SUBSTITUTE(TEXT(IF(ISTEXT(Overig!F1008),Overig!F1008,10*Overig!F1008),""",""????0;"",""???-0;"",""????0;"", ////"""),"'","""")&amp;SUBSTITUTE(TEXT(Overig!G1008,""",""?00;"",""?-00;"",""?00;"", //"""),"'","""")</f>
        <v>081, 19401201, 13.45, 7500, 00,  300, 00</v>
      </c>
    </row>
    <row r="1009" spans="1:1" x14ac:dyDescent="0.25">
      <c r="A1009" s="25" t="str">
        <f ca="1">TEXT(Overig!A1009,"000\,")&amp;TEXT(Overig!B1009,"?00000000")&amp;TEXT(Overig!C1009,""", ""@")&amp;SUBSTITUTE(TEXT(IF(ISTEXT(Overig!D1009),Overig!D1009,10*Overig!D1009),""",""????0;"",""???-0;"",""????0;"", ////"""),"'","""")&amp;SUBSTITUTE(TEXT(Overig!E1009,""",""?00;"",""?-00;"",""?00;"", //"""),"'","""")&amp;SUBSTITUTE(TEXT(IF(ISTEXT(Overig!F1009),Overig!F1009,10*Overig!F1009),""",""????0;"",""???-0;"",""????0;"", ////"""),"'","""")&amp;SUBSTITUTE(TEXT(Overig!G1009,""",""?00;"",""?-00;"",""?00;"", //"""),"'","""")</f>
        <v>081, 19401201, 19.45, 7500, 00,  290, 00</v>
      </c>
    </row>
    <row r="1010" spans="1:1" x14ac:dyDescent="0.25">
      <c r="A1010" s="25" t="str">
        <f ca="1">TEXT(Overig!A1010,"000\,")&amp;TEXT(Overig!B1010,"?00000000")&amp;TEXT(Overig!C1010,""", ""@")&amp;SUBSTITUTE(TEXT(IF(ISTEXT(Overig!D1010),Overig!D1010,10*Overig!D1010),""",""????0;"",""???-0;"",""????0;"", ////"""),"'","""")&amp;SUBSTITUTE(TEXT(Overig!E1010,""",""?00;"",""?-00;"",""?00;"", //"""),"'","""")&amp;SUBSTITUTE(TEXT(IF(ISTEXT(Overig!F1010),Overig!F1010,10*Overig!F1010),""",""????0;"",""???-0;"",""????0;"", ////"""),"'","""")&amp;SUBSTITUTE(TEXT(Overig!G1010,""",""?00;"",""?-00;"",""?00;"", //"""),"'","""")</f>
        <v>081, 19401202, 07.45, 7500, 00,  270, 00</v>
      </c>
    </row>
    <row r="1011" spans="1:1" x14ac:dyDescent="0.25">
      <c r="A1011" s="25" t="str">
        <f ca="1">TEXT(Overig!A1011,"000\,")&amp;TEXT(Overig!B1011,"?00000000")&amp;TEXT(Overig!C1011,""", ""@")&amp;SUBSTITUTE(TEXT(IF(ISTEXT(Overig!D1011),Overig!D1011,10*Overig!D1011),""",""????0;"",""???-0;"",""????0;"", ////"""),"'","""")&amp;SUBSTITUTE(TEXT(Overig!E1011,""",""?00;"",""?-00;"",""?00;"", //"""),"'","""")&amp;SUBSTITUTE(TEXT(IF(ISTEXT(Overig!F1011),Overig!F1011,10*Overig!F1011),""",""????0;"",""???-0;"",""????0;"", ////"""),"'","""")&amp;SUBSTITUTE(TEXT(Overig!G1011,""",""?00;"",""?-00;"",""?00;"", //"""),"'","""")</f>
        <v>081, 19401202, 13.45, 7500, 00,  300, 00</v>
      </c>
    </row>
    <row r="1012" spans="1:1" x14ac:dyDescent="0.25">
      <c r="A1012" s="25" t="str">
        <f ca="1">TEXT(Overig!A1012,"000\,")&amp;TEXT(Overig!B1012,"?00000000")&amp;TEXT(Overig!C1012,""", ""@")&amp;SUBSTITUTE(TEXT(IF(ISTEXT(Overig!D1012),Overig!D1012,10*Overig!D1012),""",""????0;"",""???-0;"",""????0;"", ////"""),"'","""")&amp;SUBSTITUTE(TEXT(Overig!E1012,""",""?00;"",""?-00;"",""?00;"", //"""),"'","""")&amp;SUBSTITUTE(TEXT(IF(ISTEXT(Overig!F1012),Overig!F1012,10*Overig!F1012),""",""????0;"",""???-0;"",""????0;"", ////"""),"'","""")&amp;SUBSTITUTE(TEXT(Overig!G1012,""",""?00;"",""?-00;"",""?00;"", //"""),"'","""")</f>
        <v>081, 19401202, 19.45, 7500, 00,  290, 00</v>
      </c>
    </row>
    <row r="1013" spans="1:1" x14ac:dyDescent="0.25">
      <c r="A1013" s="25" t="str">
        <f ca="1">TEXT(Overig!A1013,"000\,")&amp;TEXT(Overig!B1013,"?00000000")&amp;TEXT(Overig!C1013,""", ""@")&amp;SUBSTITUTE(TEXT(IF(ISTEXT(Overig!D1013),Overig!D1013,10*Overig!D1013),""",""????0;"",""???-0;"",""????0;"", ////"""),"'","""")&amp;SUBSTITUTE(TEXT(Overig!E1013,""",""?00;"",""?-00;"",""?00;"", //"""),"'","""")&amp;SUBSTITUTE(TEXT(IF(ISTEXT(Overig!F1013),Overig!F1013,10*Overig!F1013),""",""????0;"",""???-0;"",""????0;"", ////"""),"'","""")&amp;SUBSTITUTE(TEXT(Overig!G1013,""",""?00;"",""?-00;"",""?00;"", //"""),"'","""")</f>
        <v>081, 19401203, 07.45, 7500, 00,  270, 00</v>
      </c>
    </row>
    <row r="1014" spans="1:1" x14ac:dyDescent="0.25">
      <c r="A1014" s="25" t="str">
        <f ca="1">TEXT(Overig!A1014,"000\,")&amp;TEXT(Overig!B1014,"?00000000")&amp;TEXT(Overig!C1014,""", ""@")&amp;SUBSTITUTE(TEXT(IF(ISTEXT(Overig!D1014),Overig!D1014,10*Overig!D1014),""",""????0;"",""???-0;"",""????0;"", ////"""),"'","""")&amp;SUBSTITUTE(TEXT(Overig!E1014,""",""?00;"",""?-00;"",""?00;"", //"""),"'","""")&amp;SUBSTITUTE(TEXT(IF(ISTEXT(Overig!F1014),Overig!F1014,10*Overig!F1014),""",""????0;"",""???-0;"",""????0;"", ////"""),"'","""")&amp;SUBSTITUTE(TEXT(Overig!G1014,""",""?00;"",""?-00;"",""?00;"", //"""),"'","""")</f>
        <v>081, 19401203, 13.45, 7500, 00,  300, 00</v>
      </c>
    </row>
    <row r="1015" spans="1:1" x14ac:dyDescent="0.25">
      <c r="A1015" s="25" t="str">
        <f ca="1">TEXT(Overig!A1015,"000\,")&amp;TEXT(Overig!B1015,"?00000000")&amp;TEXT(Overig!C1015,""", ""@")&amp;SUBSTITUTE(TEXT(IF(ISTEXT(Overig!D1015),Overig!D1015,10*Overig!D1015),""",""????0;"",""???-0;"",""????0;"", ////"""),"'","""")&amp;SUBSTITUTE(TEXT(Overig!E1015,""",""?00;"",""?-00;"",""?00;"", //"""),"'","""")&amp;SUBSTITUTE(TEXT(IF(ISTEXT(Overig!F1015),Overig!F1015,10*Overig!F1015),""",""????0;"",""???-0;"",""????0;"", ////"""),"'","""")&amp;SUBSTITUTE(TEXT(Overig!G1015,""",""?00;"",""?-00;"",""?00;"", //"""),"'","""")</f>
        <v>081, 19401203, 19.45, 7500, 00,  290, 00</v>
      </c>
    </row>
    <row r="1016" spans="1:1" x14ac:dyDescent="0.25">
      <c r="A1016" s="25" t="str">
        <f ca="1">TEXT(Overig!A1016,"000\,")&amp;TEXT(Overig!B1016,"?00000000")&amp;TEXT(Overig!C1016,""", ""@")&amp;SUBSTITUTE(TEXT(IF(ISTEXT(Overig!D1016),Overig!D1016,10*Overig!D1016),""",""????0;"",""???-0;"",""????0;"", ////"""),"'","""")&amp;SUBSTITUTE(TEXT(Overig!E1016,""",""?00;"",""?-00;"",""?00;"", //"""),"'","""")&amp;SUBSTITUTE(TEXT(IF(ISTEXT(Overig!F1016),Overig!F1016,10*Overig!F1016),""",""????0;"",""???-0;"",""????0;"", ////"""),"'","""")&amp;SUBSTITUTE(TEXT(Overig!G1016,""",""?00;"",""?-00;"",""?00;"", //"""),"'","""")</f>
        <v>081, 19401204, 07.45, 7500, 00,  270, 00</v>
      </c>
    </row>
    <row r="1017" spans="1:1" x14ac:dyDescent="0.25">
      <c r="A1017" s="25" t="str">
        <f ca="1">TEXT(Overig!A1017,"000\,")&amp;TEXT(Overig!B1017,"?00000000")&amp;TEXT(Overig!C1017,""", ""@")&amp;SUBSTITUTE(TEXT(IF(ISTEXT(Overig!D1017),Overig!D1017,10*Overig!D1017),""",""????0;"",""???-0;"",""????0;"", ////"""),"'","""")&amp;SUBSTITUTE(TEXT(Overig!E1017,""",""?00;"",""?-00;"",""?00;"", //"""),"'","""")&amp;SUBSTITUTE(TEXT(IF(ISTEXT(Overig!F1017),Overig!F1017,10*Overig!F1017),""",""????0;"",""???-0;"",""????0;"", ////"""),"'","""")&amp;SUBSTITUTE(TEXT(Overig!G1017,""",""?00;"",""?-00;"",""?00;"", //"""),"'","""")</f>
        <v>081, 19401204, 13.45, 7500, 00,  300, 00</v>
      </c>
    </row>
    <row r="1018" spans="1:1" x14ac:dyDescent="0.25">
      <c r="A1018" s="25" t="str">
        <f ca="1">TEXT(Overig!A1018,"000\,")&amp;TEXT(Overig!B1018,"?00000000")&amp;TEXT(Overig!C1018,""", ""@")&amp;SUBSTITUTE(TEXT(IF(ISTEXT(Overig!D1018),Overig!D1018,10*Overig!D1018),""",""????0;"",""???-0;"",""????0;"", ////"""),"'","""")&amp;SUBSTITUTE(TEXT(Overig!E1018,""",""?00;"",""?-00;"",""?00;"", //"""),"'","""")&amp;SUBSTITUTE(TEXT(IF(ISTEXT(Overig!F1018),Overig!F1018,10*Overig!F1018),""",""????0;"",""???-0;"",""????0;"", ////"""),"'","""")&amp;SUBSTITUTE(TEXT(Overig!G1018,""",""?00;"",""?-00;"",""?00;"", //"""),"'","""")</f>
        <v>081, 19401204, 19.45, 7500, 00,  290, 00</v>
      </c>
    </row>
    <row r="1019" spans="1:1" x14ac:dyDescent="0.25">
      <c r="A1019" s="25" t="str">
        <f ca="1">TEXT(Overig!A1019,"000\,")&amp;TEXT(Overig!B1019,"?00000000")&amp;TEXT(Overig!C1019,""", ""@")&amp;SUBSTITUTE(TEXT(IF(ISTEXT(Overig!D1019),Overig!D1019,10*Overig!D1019),""",""????0;"",""???-0;"",""????0;"", ////"""),"'","""")&amp;SUBSTITUTE(TEXT(Overig!E1019,""",""?00;"",""?-00;"",""?00;"", //"""),"'","""")&amp;SUBSTITUTE(TEXT(IF(ISTEXT(Overig!F1019),Overig!F1019,10*Overig!F1019),""",""????0;"",""???-0;"",""????0;"", ////"""),"'","""")&amp;SUBSTITUTE(TEXT(Overig!G1019,""",""?00;"",""?-00;"",""?00;"", //"""),"'","""")</f>
        <v>081, 19401205, 07.45, 7500, 00,  270, 00</v>
      </c>
    </row>
    <row r="1020" spans="1:1" x14ac:dyDescent="0.25">
      <c r="A1020" s="25" t="str">
        <f ca="1">TEXT(Overig!A1020,"000\,")&amp;TEXT(Overig!B1020,"?00000000")&amp;TEXT(Overig!C1020,""", ""@")&amp;SUBSTITUTE(TEXT(IF(ISTEXT(Overig!D1020),Overig!D1020,10*Overig!D1020),""",""????0;"",""???-0;"",""????0;"", ////"""),"'","""")&amp;SUBSTITUTE(TEXT(Overig!E1020,""",""?00;"",""?-00;"",""?00;"", //"""),"'","""")&amp;SUBSTITUTE(TEXT(IF(ISTEXT(Overig!F1020),Overig!F1020,10*Overig!F1020),""",""????0;"",""???-0;"",""????0;"", ////"""),"'","""")&amp;SUBSTITUTE(TEXT(Overig!G1020,""",""?00;"",""?-00;"",""?00;"", //"""),"'","""")</f>
        <v>081, 19401205, 13.45, 7500, 00,  300, 00</v>
      </c>
    </row>
    <row r="1021" spans="1:1" x14ac:dyDescent="0.25">
      <c r="A1021" s="25" t="str">
        <f ca="1">TEXT(Overig!A1021,"000\,")&amp;TEXT(Overig!B1021,"?00000000")&amp;TEXT(Overig!C1021,""", ""@")&amp;SUBSTITUTE(TEXT(IF(ISTEXT(Overig!D1021),Overig!D1021,10*Overig!D1021),""",""????0;"",""???-0;"",""????0;"", ////"""),"'","""")&amp;SUBSTITUTE(TEXT(Overig!E1021,""",""?00;"",""?-00;"",""?00;"", //"""),"'","""")&amp;SUBSTITUTE(TEXT(IF(ISTEXT(Overig!F1021),Overig!F1021,10*Overig!F1021),""",""????0;"",""???-0;"",""????0;"", ////"""),"'","""")&amp;SUBSTITUTE(TEXT(Overig!G1021,""",""?00;"",""?-00;"",""?00;"", //"""),"'","""")</f>
        <v>081, 19401205, 19.45, 7500, 00,  290, 00</v>
      </c>
    </row>
    <row r="1022" spans="1:1" x14ac:dyDescent="0.25">
      <c r="A1022" s="25" t="str">
        <f ca="1">TEXT(Overig!A1022,"000\,")&amp;TEXT(Overig!B1022,"?00000000")&amp;TEXT(Overig!C1022,""", ""@")&amp;SUBSTITUTE(TEXT(IF(ISTEXT(Overig!D1022),Overig!D1022,10*Overig!D1022),""",""????0;"",""???-0;"",""????0;"", ////"""),"'","""")&amp;SUBSTITUTE(TEXT(Overig!E1022,""",""?00;"",""?-00;"",""?00;"", //"""),"'","""")&amp;SUBSTITUTE(TEXT(IF(ISTEXT(Overig!F1022),Overig!F1022,10*Overig!F1022),""",""????0;"",""???-0;"",""????0;"", ////"""),"'","""")&amp;SUBSTITUTE(TEXT(Overig!G1022,""",""?00;"",""?-00;"",""?00;"", //"""),"'","""")</f>
        <v>081, 19401206, 07.45, 7490, 00,  270, 00</v>
      </c>
    </row>
    <row r="1023" spans="1:1" x14ac:dyDescent="0.25">
      <c r="A1023" s="25" t="str">
        <f ca="1">TEXT(Overig!A1023,"000\,")&amp;TEXT(Overig!B1023,"?00000000")&amp;TEXT(Overig!C1023,""", ""@")&amp;SUBSTITUTE(TEXT(IF(ISTEXT(Overig!D1023),Overig!D1023,10*Overig!D1023),""",""????0;"",""???-0;"",""????0;"", ////"""),"'","""")&amp;SUBSTITUTE(TEXT(Overig!E1023,""",""?00;"",""?-00;"",""?00;"", //"""),"'","""")&amp;SUBSTITUTE(TEXT(IF(ISTEXT(Overig!F1023),Overig!F1023,10*Overig!F1023),""",""????0;"",""???-0;"",""????0;"", ////"""),"'","""")&amp;SUBSTITUTE(TEXT(Overig!G1023,""",""?00;"",""?-00;"",""?00;"", //"""),"'","""")</f>
        <v>081, 19401206, 13.45, 7490, 00,  300, 00</v>
      </c>
    </row>
    <row r="1024" spans="1:1" x14ac:dyDescent="0.25">
      <c r="A1024" s="25" t="str">
        <f ca="1">TEXT(Overig!A1024,"000\,")&amp;TEXT(Overig!B1024,"?00000000")&amp;TEXT(Overig!C1024,""", ""@")&amp;SUBSTITUTE(TEXT(IF(ISTEXT(Overig!D1024),Overig!D1024,10*Overig!D1024),""",""????0;"",""???-0;"",""????0;"", ////"""),"'","""")&amp;SUBSTITUTE(TEXT(Overig!E1024,""",""?00;"",""?-00;"",""?00;"", //"""),"'","""")&amp;SUBSTITUTE(TEXT(IF(ISTEXT(Overig!F1024),Overig!F1024,10*Overig!F1024),""",""????0;"",""???-0;"",""????0;"", ////"""),"'","""")&amp;SUBSTITUTE(TEXT(Overig!G1024,""",""?00;"",""?-00;"",""?00;"", //"""),"'","""")</f>
        <v>081, 19401206, 19.45, 7490, 00,  290, 00</v>
      </c>
    </row>
    <row r="1025" spans="1:1" x14ac:dyDescent="0.25">
      <c r="A1025" s="25" t="str">
        <f ca="1">TEXT(Overig!A1025,"000\,")&amp;TEXT(Overig!B1025,"?00000000")&amp;TEXT(Overig!C1025,""", ""@")&amp;SUBSTITUTE(TEXT(IF(ISTEXT(Overig!D1025),Overig!D1025,10*Overig!D1025),""",""????0;"",""???-0;"",""????0;"", ////"""),"'","""")&amp;SUBSTITUTE(TEXT(Overig!E1025,""",""?00;"",""?-00;"",""?00;"", //"""),"'","""")&amp;SUBSTITUTE(TEXT(IF(ISTEXT(Overig!F1025),Overig!F1025,10*Overig!F1025),""",""????0;"",""???-0;"",""????0;"", ////"""),"'","""")&amp;SUBSTITUTE(TEXT(Overig!G1025,""",""?00;"",""?-00;"",""?00;"", //"""),"'","""")</f>
        <v>081, 19401207, 07.45, 7490, 00,  270, 00</v>
      </c>
    </row>
    <row r="1026" spans="1:1" x14ac:dyDescent="0.25">
      <c r="A1026" s="25" t="str">
        <f ca="1">TEXT(Overig!A1026,"000\,")&amp;TEXT(Overig!B1026,"?00000000")&amp;TEXT(Overig!C1026,""", ""@")&amp;SUBSTITUTE(TEXT(IF(ISTEXT(Overig!D1026),Overig!D1026,10*Overig!D1026),""",""????0;"",""???-0;"",""????0;"", ////"""),"'","""")&amp;SUBSTITUTE(TEXT(Overig!E1026,""",""?00;"",""?-00;"",""?00;"", //"""),"'","""")&amp;SUBSTITUTE(TEXT(IF(ISTEXT(Overig!F1026),Overig!F1026,10*Overig!F1026),""",""????0;"",""???-0;"",""????0;"", ////"""),"'","""")&amp;SUBSTITUTE(TEXT(Overig!G1026,""",""?00;"",""?-00;"",""?00;"", //"""),"'","""")</f>
        <v>081, 19401207, 13.45, 7490, 00,  300, 00</v>
      </c>
    </row>
    <row r="1027" spans="1:1" x14ac:dyDescent="0.25">
      <c r="A1027" s="25" t="str">
        <f ca="1">TEXT(Overig!A1027,"000\,")&amp;TEXT(Overig!B1027,"?00000000")&amp;TEXT(Overig!C1027,""", ""@")&amp;SUBSTITUTE(TEXT(IF(ISTEXT(Overig!D1027),Overig!D1027,10*Overig!D1027),""",""????0;"",""???-0;"",""????0;"", ////"""),"'","""")&amp;SUBSTITUTE(TEXT(Overig!E1027,""",""?00;"",""?-00;"",""?00;"", //"""),"'","""")&amp;SUBSTITUTE(TEXT(IF(ISTEXT(Overig!F1027),Overig!F1027,10*Overig!F1027),""",""????0;"",""???-0;"",""????0;"", ////"""),"'","""")&amp;SUBSTITUTE(TEXT(Overig!G1027,""",""?00;"",""?-00;"",""?00;"", //"""),"'","""")</f>
        <v>081, 19401207, 19.45, 7490, 00,  290, 00</v>
      </c>
    </row>
    <row r="1028" spans="1:1" x14ac:dyDescent="0.25">
      <c r="A1028" s="25" t="str">
        <f ca="1">TEXT(Overig!A1028,"000\,")&amp;TEXT(Overig!B1028,"?00000000")&amp;TEXT(Overig!C1028,""", ""@")&amp;SUBSTITUTE(TEXT(IF(ISTEXT(Overig!D1028),Overig!D1028,10*Overig!D1028),""",""????0;"",""???-0;"",""????0;"", ////"""),"'","""")&amp;SUBSTITUTE(TEXT(Overig!E1028,""",""?00;"",""?-00;"",""?00;"", //"""),"'","""")&amp;SUBSTITUTE(TEXT(IF(ISTEXT(Overig!F1028),Overig!F1028,10*Overig!F1028),""",""????0;"",""???-0;"",""????0;"", ////"""),"'","""")&amp;SUBSTITUTE(TEXT(Overig!G1028,""",""?00;"",""?-00;"",""?00;"", //"""),"'","""")</f>
        <v>081, 19401208, 07.45, 7490, 00,  270, 00</v>
      </c>
    </row>
    <row r="1029" spans="1:1" x14ac:dyDescent="0.25">
      <c r="A1029" s="25" t="str">
        <f ca="1">TEXT(Overig!A1029,"000\,")&amp;TEXT(Overig!B1029,"?00000000")&amp;TEXT(Overig!C1029,""", ""@")&amp;SUBSTITUTE(TEXT(IF(ISTEXT(Overig!D1029),Overig!D1029,10*Overig!D1029),""",""????0;"",""???-0;"",""????0;"", ////"""),"'","""")&amp;SUBSTITUTE(TEXT(Overig!E1029,""",""?00;"",""?-00;"",""?00;"", //"""),"'","""")&amp;SUBSTITUTE(TEXT(IF(ISTEXT(Overig!F1029),Overig!F1029,10*Overig!F1029),""",""????0;"",""???-0;"",""????0;"", ////"""),"'","""")&amp;SUBSTITUTE(TEXT(Overig!G1029,""",""?00;"",""?-00;"",""?00;"", //"""),"'","""")</f>
        <v>081, 19401208, 13.45, 7490, 00,  300, 00</v>
      </c>
    </row>
    <row r="1030" spans="1:1" x14ac:dyDescent="0.25">
      <c r="A1030" s="25" t="str">
        <f ca="1">TEXT(Overig!A1030,"000\,")&amp;TEXT(Overig!B1030,"?00000000")&amp;TEXT(Overig!C1030,""", ""@")&amp;SUBSTITUTE(TEXT(IF(ISTEXT(Overig!D1030),Overig!D1030,10*Overig!D1030),""",""????0;"",""???-0;"",""????0;"", ////"""),"'","""")&amp;SUBSTITUTE(TEXT(Overig!E1030,""",""?00;"",""?-00;"",""?00;"", //"""),"'","""")&amp;SUBSTITUTE(TEXT(IF(ISTEXT(Overig!F1030),Overig!F1030,10*Overig!F1030),""",""????0;"",""???-0;"",""????0;"", ////"""),"'","""")&amp;SUBSTITUTE(TEXT(Overig!G1030,""",""?00;"",""?-00;"",""?00;"", //"""),"'","""")</f>
        <v>081, 19401208, 19.45, 7490, 00,  290, 00</v>
      </c>
    </row>
    <row r="1031" spans="1:1" x14ac:dyDescent="0.25">
      <c r="A1031" s="25" t="str">
        <f ca="1">TEXT(Overig!A1031,"000\,")&amp;TEXT(Overig!B1031,"?00000000")&amp;TEXT(Overig!C1031,""", ""@")&amp;SUBSTITUTE(TEXT(IF(ISTEXT(Overig!D1031),Overig!D1031,10*Overig!D1031),""",""????0;"",""???-0;"",""????0;"", ////"""),"'","""")&amp;SUBSTITUTE(TEXT(Overig!E1031,""",""?00;"",""?-00;"",""?00;"", //"""),"'","""")&amp;SUBSTITUTE(TEXT(IF(ISTEXT(Overig!F1031),Overig!F1031,10*Overig!F1031),""",""????0;"",""???-0;"",""????0;"", ////"""),"'","""")&amp;SUBSTITUTE(TEXT(Overig!G1031,""",""?00;"",""?-00;"",""?00;"", //"""),"'","""")</f>
        <v>081, 19401209, 07.45, 7490, 00,  270, 00</v>
      </c>
    </row>
    <row r="1032" spans="1:1" x14ac:dyDescent="0.25">
      <c r="A1032" s="25" t="str">
        <f ca="1">TEXT(Overig!A1032,"000\,")&amp;TEXT(Overig!B1032,"?00000000")&amp;TEXT(Overig!C1032,""", ""@")&amp;SUBSTITUTE(TEXT(IF(ISTEXT(Overig!D1032),Overig!D1032,10*Overig!D1032),""",""????0;"",""???-0;"",""????0;"", ////"""),"'","""")&amp;SUBSTITUTE(TEXT(Overig!E1032,""",""?00;"",""?-00;"",""?00;"", //"""),"'","""")&amp;SUBSTITUTE(TEXT(IF(ISTEXT(Overig!F1032),Overig!F1032,10*Overig!F1032),""",""????0;"",""???-0;"",""????0;"", ////"""),"'","""")&amp;SUBSTITUTE(TEXT(Overig!G1032,""",""?00;"",""?-00;"",""?00;"", //"""),"'","""")</f>
        <v>081, 19401209, 13.45, 7490, 00,  290, 00</v>
      </c>
    </row>
    <row r="1033" spans="1:1" x14ac:dyDescent="0.25">
      <c r="A1033" s="25" t="str">
        <f ca="1">TEXT(Overig!A1033,"000\,")&amp;TEXT(Overig!B1033,"?00000000")&amp;TEXT(Overig!C1033,""", ""@")&amp;SUBSTITUTE(TEXT(IF(ISTEXT(Overig!D1033),Overig!D1033,10*Overig!D1033),""",""????0;"",""???-0;"",""????0;"", ////"""),"'","""")&amp;SUBSTITUTE(TEXT(Overig!E1033,""",""?00;"",""?-00;"",""?00;"", //"""),"'","""")&amp;SUBSTITUTE(TEXT(IF(ISTEXT(Overig!F1033),Overig!F1033,10*Overig!F1033),""",""????0;"",""???-0;"",""????0;"", ////"""),"'","""")&amp;SUBSTITUTE(TEXT(Overig!G1033,""",""?00;"",""?-00;"",""?00;"", //"""),"'","""")</f>
        <v>081, 19401209, 19.45, 7500, 00,  280, 00</v>
      </c>
    </row>
    <row r="1034" spans="1:1" x14ac:dyDescent="0.25">
      <c r="A1034" s="25" t="str">
        <f ca="1">TEXT(Overig!A1034,"000\,")&amp;TEXT(Overig!B1034,"?00000000")&amp;TEXT(Overig!C1034,""", ""@")&amp;SUBSTITUTE(TEXT(IF(ISTEXT(Overig!D1034),Overig!D1034,10*Overig!D1034),""",""????0;"",""???-0;"",""????0;"", ////"""),"'","""")&amp;SUBSTITUTE(TEXT(Overig!E1034,""",""?00;"",""?-00;"",""?00;"", //"""),"'","""")&amp;SUBSTITUTE(TEXT(IF(ISTEXT(Overig!F1034),Overig!F1034,10*Overig!F1034),""",""????0;"",""???-0;"",""????0;"", ////"""),"'","""")&amp;SUBSTITUTE(TEXT(Overig!G1034,""",""?00;"",""?-00;"",""?00;"", //"""),"'","""")</f>
        <v>081, 19401210, 07.45, 7500, 00,  270, 00</v>
      </c>
    </row>
    <row r="1035" spans="1:1" x14ac:dyDescent="0.25">
      <c r="A1035" s="25" t="str">
        <f ca="1">TEXT(Overig!A1035,"000\,")&amp;TEXT(Overig!B1035,"?00000000")&amp;TEXT(Overig!C1035,""", ""@")&amp;SUBSTITUTE(TEXT(IF(ISTEXT(Overig!D1035),Overig!D1035,10*Overig!D1035),""",""????0;"",""???-0;"",""????0;"", ////"""),"'","""")&amp;SUBSTITUTE(TEXT(Overig!E1035,""",""?00;"",""?-00;"",""?00;"", //"""),"'","""")&amp;SUBSTITUTE(TEXT(IF(ISTEXT(Overig!F1035),Overig!F1035,10*Overig!F1035),""",""????0;"",""???-0;"",""????0;"", ////"""),"'","""")&amp;SUBSTITUTE(TEXT(Overig!G1035,""",""?00;"",""?-00;"",""?00;"", //"""),"'","""")</f>
        <v>081, 19401210, 13.45, 7500, 00,  290, 00</v>
      </c>
    </row>
    <row r="1036" spans="1:1" x14ac:dyDescent="0.25">
      <c r="A1036" s="25" t="str">
        <f ca="1">TEXT(Overig!A1036,"000\,")&amp;TEXT(Overig!B1036,"?00000000")&amp;TEXT(Overig!C1036,""", ""@")&amp;SUBSTITUTE(TEXT(IF(ISTEXT(Overig!D1036),Overig!D1036,10*Overig!D1036),""",""????0;"",""???-0;"",""????0;"", ////"""),"'","""")&amp;SUBSTITUTE(TEXT(Overig!E1036,""",""?00;"",""?-00;"",""?00;"", //"""),"'","""")&amp;SUBSTITUTE(TEXT(IF(ISTEXT(Overig!F1036),Overig!F1036,10*Overig!F1036),""",""????0;"",""???-0;"",""????0;"", ////"""),"'","""")&amp;SUBSTITUTE(TEXT(Overig!G1036,""",""?00;"",""?-00;"",""?00;"", //"""),"'","""")</f>
        <v>081, 19401210, 19.45, 7500, 00,  280, 00</v>
      </c>
    </row>
    <row r="1037" spans="1:1" x14ac:dyDescent="0.25">
      <c r="A1037" s="25" t="str">
        <f ca="1">TEXT(Overig!A1037,"000\,")&amp;TEXT(Overig!B1037,"?00000000")&amp;TEXT(Overig!C1037,""", ""@")&amp;SUBSTITUTE(TEXT(IF(ISTEXT(Overig!D1037),Overig!D1037,10*Overig!D1037),""",""????0;"",""???-0;"",""????0;"", ////"""),"'","""")&amp;SUBSTITUTE(TEXT(Overig!E1037,""",""?00;"",""?-00;"",""?00;"", //"""),"'","""")&amp;SUBSTITUTE(TEXT(IF(ISTEXT(Overig!F1037),Overig!F1037,10*Overig!F1037),""",""????0;"",""???-0;"",""????0;"", ////"""),"'","""")&amp;SUBSTITUTE(TEXT(Overig!G1037,""",""?00;"",""?-00;"",""?00;"", //"""),"'","""")</f>
        <v>081, 19401211, 07.45, 7500, 00,  270, 00</v>
      </c>
    </row>
    <row r="1038" spans="1:1" x14ac:dyDescent="0.25">
      <c r="A1038" s="25" t="str">
        <f ca="1">TEXT(Overig!A1038,"000\,")&amp;TEXT(Overig!B1038,"?00000000")&amp;TEXT(Overig!C1038,""", ""@")&amp;SUBSTITUTE(TEXT(IF(ISTEXT(Overig!D1038),Overig!D1038,10*Overig!D1038),""",""????0;"",""???-0;"",""????0;"", ////"""),"'","""")&amp;SUBSTITUTE(TEXT(Overig!E1038,""",""?00;"",""?-00;"",""?00;"", //"""),"'","""")&amp;SUBSTITUTE(TEXT(IF(ISTEXT(Overig!F1038),Overig!F1038,10*Overig!F1038),""",""????0;"",""???-0;"",""????0;"", ////"""),"'","""")&amp;SUBSTITUTE(TEXT(Overig!G1038,""",""?00;"",""?-00;"",""?00;"", //"""),"'","""")</f>
        <v>081, 19401211, 13.45, 7500, 00,  290, 00</v>
      </c>
    </row>
    <row r="1039" spans="1:1" x14ac:dyDescent="0.25">
      <c r="A1039" s="25" t="str">
        <f ca="1">TEXT(Overig!A1039,"000\,")&amp;TEXT(Overig!B1039,"?00000000")&amp;TEXT(Overig!C1039,""", ""@")&amp;SUBSTITUTE(TEXT(IF(ISTEXT(Overig!D1039),Overig!D1039,10*Overig!D1039),""",""????0;"",""???-0;"",""????0;"", ////"""),"'","""")&amp;SUBSTITUTE(TEXT(Overig!E1039,""",""?00;"",""?-00;"",""?00;"", //"""),"'","""")&amp;SUBSTITUTE(TEXT(IF(ISTEXT(Overig!F1039),Overig!F1039,10*Overig!F1039),""",""????0;"",""???-0;"",""????0;"", ////"""),"'","""")&amp;SUBSTITUTE(TEXT(Overig!G1039,""",""?00;"",""?-00;"",""?00;"", //"""),"'","""")</f>
        <v>081, 19401211, 19.45, 7500, 00,  280, 00</v>
      </c>
    </row>
    <row r="1040" spans="1:1" x14ac:dyDescent="0.25">
      <c r="A1040" s="25" t="str">
        <f ca="1">TEXT(Overig!A1040,"000\,")&amp;TEXT(Overig!B1040,"?00000000")&amp;TEXT(Overig!C1040,""", ""@")&amp;SUBSTITUTE(TEXT(IF(ISTEXT(Overig!D1040),Overig!D1040,10*Overig!D1040),""",""????0;"",""???-0;"",""????0;"", ////"""),"'","""")&amp;SUBSTITUTE(TEXT(Overig!E1040,""",""?00;"",""?-00;"",""?00;"", //"""),"'","""")&amp;SUBSTITUTE(TEXT(IF(ISTEXT(Overig!F1040),Overig!F1040,10*Overig!F1040),""",""????0;"",""???-0;"",""????0;"", ////"""),"'","""")&amp;SUBSTITUTE(TEXT(Overig!G1040,""",""?00;"",""?-00;"",""?00;"", //"""),"'","""")</f>
        <v>081, 19401212, 07.45, 7490, 00,  270, 00</v>
      </c>
    </row>
    <row r="1041" spans="1:1" x14ac:dyDescent="0.25">
      <c r="A1041" s="25" t="str">
        <f ca="1">TEXT(Overig!A1041,"000\,")&amp;TEXT(Overig!B1041,"?00000000")&amp;TEXT(Overig!C1041,""", ""@")&amp;SUBSTITUTE(TEXT(IF(ISTEXT(Overig!D1041),Overig!D1041,10*Overig!D1041),""",""????0;"",""???-0;"",""????0;"", ////"""),"'","""")&amp;SUBSTITUTE(TEXT(Overig!E1041,""",""?00;"",""?-00;"",""?00;"", //"""),"'","""")&amp;SUBSTITUTE(TEXT(IF(ISTEXT(Overig!F1041),Overig!F1041,10*Overig!F1041),""",""????0;"",""???-0;"",""????0;"", ////"""),"'","""")&amp;SUBSTITUTE(TEXT(Overig!G1041,""",""?00;"",""?-00;"",""?00;"", //"""),"'","""")</f>
        <v>081, 19401212, 13.45, 7500, 00,  290, 00</v>
      </c>
    </row>
    <row r="1042" spans="1:1" x14ac:dyDescent="0.25">
      <c r="A1042" s="25" t="str">
        <f ca="1">TEXT(Overig!A1042,"000\,")&amp;TEXT(Overig!B1042,"?00000000")&amp;TEXT(Overig!C1042,""", ""@")&amp;SUBSTITUTE(TEXT(IF(ISTEXT(Overig!D1042),Overig!D1042,10*Overig!D1042),""",""????0;"",""???-0;"",""????0;"", ////"""),"'","""")&amp;SUBSTITUTE(TEXT(Overig!E1042,""",""?00;"",""?-00;"",""?00;"", //"""),"'","""")&amp;SUBSTITUTE(TEXT(IF(ISTEXT(Overig!F1042),Overig!F1042,10*Overig!F1042),""",""????0;"",""???-0;"",""????0;"", ////"""),"'","""")&amp;SUBSTITUTE(TEXT(Overig!G1042,""",""?00;"",""?-00;"",""?00;"", //"""),"'","""")</f>
        <v>081, 19401212, 19.45, 7500, 00,  280, 00</v>
      </c>
    </row>
    <row r="1043" spans="1:1" x14ac:dyDescent="0.25">
      <c r="A1043" s="25" t="str">
        <f ca="1">TEXT(Overig!A1043,"000\,")&amp;TEXT(Overig!B1043,"?00000000")&amp;TEXT(Overig!C1043,""", ""@")&amp;SUBSTITUTE(TEXT(IF(ISTEXT(Overig!D1043),Overig!D1043,10*Overig!D1043),""",""????0;"",""???-0;"",""????0;"", ////"""),"'","""")&amp;SUBSTITUTE(TEXT(Overig!E1043,""",""?00;"",""?-00;"",""?00;"", //"""),"'","""")&amp;SUBSTITUTE(TEXT(IF(ISTEXT(Overig!F1043),Overig!F1043,10*Overig!F1043),""",""????0;"",""???-0;"",""????0;"", ////"""),"'","""")&amp;SUBSTITUTE(TEXT(Overig!G1043,""",""?00;"",""?-00;"",""?00;"", //"""),"'","""")</f>
        <v>081, 19401213, 07.45, 7500, 00,  270, 00</v>
      </c>
    </row>
    <row r="1044" spans="1:1" x14ac:dyDescent="0.25">
      <c r="A1044" s="25" t="str">
        <f ca="1">TEXT(Overig!A1044,"000\,")&amp;TEXT(Overig!B1044,"?00000000")&amp;TEXT(Overig!C1044,""", ""@")&amp;SUBSTITUTE(TEXT(IF(ISTEXT(Overig!D1044),Overig!D1044,10*Overig!D1044),""",""????0;"",""???-0;"",""????0;"", ////"""),"'","""")&amp;SUBSTITUTE(TEXT(Overig!E1044,""",""?00;"",""?-00;"",""?00;"", //"""),"'","""")&amp;SUBSTITUTE(TEXT(IF(ISTEXT(Overig!F1044),Overig!F1044,10*Overig!F1044),""",""????0;"",""???-0;"",""????0;"", ////"""),"'","""")&amp;SUBSTITUTE(TEXT(Overig!G1044,""",""?00;"",""?-00;"",""?00;"", //"""),"'","""")</f>
        <v>081, 19401213, 13.45, 7490, 00,  290, 00</v>
      </c>
    </row>
    <row r="1045" spans="1:1" x14ac:dyDescent="0.25">
      <c r="A1045" s="25" t="str">
        <f ca="1">TEXT(Overig!A1045,"000\,")&amp;TEXT(Overig!B1045,"?00000000")&amp;TEXT(Overig!C1045,""", ""@")&amp;SUBSTITUTE(TEXT(IF(ISTEXT(Overig!D1045),Overig!D1045,10*Overig!D1045),""",""????0;"",""???-0;"",""????0;"", ////"""),"'","""")&amp;SUBSTITUTE(TEXT(Overig!E1045,""",""?00;"",""?-00;"",""?00;"", //"""),"'","""")&amp;SUBSTITUTE(TEXT(IF(ISTEXT(Overig!F1045),Overig!F1045,10*Overig!F1045),""",""????0;"",""???-0;"",""????0;"", ////"""),"'","""")&amp;SUBSTITUTE(TEXT(Overig!G1045,""",""?00;"",""?-00;"",""?00;"", //"""),"'","""")</f>
        <v>081, 19401213, 19.45, 7490, 00,  280, 00</v>
      </c>
    </row>
    <row r="1046" spans="1:1" x14ac:dyDescent="0.25">
      <c r="A1046" s="25" t="str">
        <f ca="1">TEXT(Overig!A1046,"000\,")&amp;TEXT(Overig!B1046,"?00000000")&amp;TEXT(Overig!C1046,""", ""@")&amp;SUBSTITUTE(TEXT(IF(ISTEXT(Overig!D1046),Overig!D1046,10*Overig!D1046),""",""????0;"",""???-0;"",""????0;"", ////"""),"'","""")&amp;SUBSTITUTE(TEXT(Overig!E1046,""",""?00;"",""?-00;"",""?00;"", //"""),"'","""")&amp;SUBSTITUTE(TEXT(IF(ISTEXT(Overig!F1046),Overig!F1046,10*Overig!F1046),""",""????0;"",""???-0;"",""????0;"", ////"""),"'","""")&amp;SUBSTITUTE(TEXT(Overig!G1046,""",""?00;"",""?-00;"",""?00;"", //"""),"'","""")</f>
        <v>081, 19401214, 07.45, 7490, 00,  270, 00</v>
      </c>
    </row>
    <row r="1047" spans="1:1" x14ac:dyDescent="0.25">
      <c r="A1047" s="25" t="str">
        <f ca="1">TEXT(Overig!A1047,"000\,")&amp;TEXT(Overig!B1047,"?00000000")&amp;TEXT(Overig!C1047,""", ""@")&amp;SUBSTITUTE(TEXT(IF(ISTEXT(Overig!D1047),Overig!D1047,10*Overig!D1047),""",""????0;"",""???-0;"",""????0;"", ////"""),"'","""")&amp;SUBSTITUTE(TEXT(Overig!E1047,""",""?00;"",""?-00;"",""?00;"", //"""),"'","""")&amp;SUBSTITUTE(TEXT(IF(ISTEXT(Overig!F1047),Overig!F1047,10*Overig!F1047),""",""????0;"",""???-0;"",""????0;"", ////"""),"'","""")&amp;SUBSTITUTE(TEXT(Overig!G1047,""",""?00;"",""?-00;"",""?00;"", //"""),"'","""")</f>
        <v>081, 19401214, 13.45, 7490, 00,  290, 00</v>
      </c>
    </row>
    <row r="1048" spans="1:1" x14ac:dyDescent="0.25">
      <c r="A1048" s="25" t="str">
        <f ca="1">TEXT(Overig!A1048,"000\,")&amp;TEXT(Overig!B1048,"?00000000")&amp;TEXT(Overig!C1048,""", ""@")&amp;SUBSTITUTE(TEXT(IF(ISTEXT(Overig!D1048),Overig!D1048,10*Overig!D1048),""",""????0;"",""???-0;"",""????0;"", ////"""),"'","""")&amp;SUBSTITUTE(TEXT(Overig!E1048,""",""?00;"",""?-00;"",""?00;"", //"""),"'","""")&amp;SUBSTITUTE(TEXT(IF(ISTEXT(Overig!F1048),Overig!F1048,10*Overig!F1048),""",""????0;"",""???-0;"",""????0;"", ////"""),"'","""")&amp;SUBSTITUTE(TEXT(Overig!G1048,""",""?00;"",""?-00;"",""?00;"", //"""),"'","""")</f>
        <v>081, 19401214, 19.45, 7490, 00,  280, 00</v>
      </c>
    </row>
    <row r="1049" spans="1:1" x14ac:dyDescent="0.25">
      <c r="A1049" s="25" t="str">
        <f ca="1">TEXT(Overig!A1049,"000\,")&amp;TEXT(Overig!B1049,"?00000000")&amp;TEXT(Overig!C1049,""", ""@")&amp;SUBSTITUTE(TEXT(IF(ISTEXT(Overig!D1049),Overig!D1049,10*Overig!D1049),""",""????0;"",""???-0;"",""????0;"", ////"""),"'","""")&amp;SUBSTITUTE(TEXT(Overig!E1049,""",""?00;"",""?-00;"",""?00;"", //"""),"'","""")&amp;SUBSTITUTE(TEXT(IF(ISTEXT(Overig!F1049),Overig!F1049,10*Overig!F1049),""",""????0;"",""???-0;"",""????0;"", ////"""),"'","""")&amp;SUBSTITUTE(TEXT(Overig!G1049,""",""?00;"",""?-00;"",""?00;"", //"""),"'","""")</f>
        <v>081, 19401215, 07.45, 7490, 00,  270, 00</v>
      </c>
    </row>
    <row r="1050" spans="1:1" x14ac:dyDescent="0.25">
      <c r="A1050" s="25" t="str">
        <f ca="1">TEXT(Overig!A1050,"000\,")&amp;TEXT(Overig!B1050,"?00000000")&amp;TEXT(Overig!C1050,""", ""@")&amp;SUBSTITUTE(TEXT(IF(ISTEXT(Overig!D1050),Overig!D1050,10*Overig!D1050),""",""????0;"",""???-0;"",""????0;"", ////"""),"'","""")&amp;SUBSTITUTE(TEXT(Overig!E1050,""",""?00;"",""?-00;"",""?00;"", //"""),"'","""")&amp;SUBSTITUTE(TEXT(IF(ISTEXT(Overig!F1050),Overig!F1050,10*Overig!F1050),""",""????0;"",""???-0;"",""????0;"", ////"""),"'","""")&amp;SUBSTITUTE(TEXT(Overig!G1050,""",""?00;"",""?-00;"",""?00;"", //"""),"'","""")</f>
        <v>081, 19401215, 13.45, 7490, 00,  290, 00</v>
      </c>
    </row>
    <row r="1051" spans="1:1" x14ac:dyDescent="0.25">
      <c r="A1051" s="25" t="str">
        <f ca="1">TEXT(Overig!A1051,"000\,")&amp;TEXT(Overig!B1051,"?00000000")&amp;TEXT(Overig!C1051,""", ""@")&amp;SUBSTITUTE(TEXT(IF(ISTEXT(Overig!D1051),Overig!D1051,10*Overig!D1051),""",""????0;"",""???-0;"",""????0;"", ////"""),"'","""")&amp;SUBSTITUTE(TEXT(Overig!E1051,""",""?00;"",""?-00;"",""?00;"", //"""),"'","""")&amp;SUBSTITUTE(TEXT(IF(ISTEXT(Overig!F1051),Overig!F1051,10*Overig!F1051),""",""????0;"",""???-0;"",""????0;"", ////"""),"'","""")&amp;SUBSTITUTE(TEXT(Overig!G1051,""",""?00;"",""?-00;"",""?00;"", //"""),"'","""")</f>
        <v>081, 19401215, 19.45, 7500, 00,  280, 00</v>
      </c>
    </row>
    <row r="1052" spans="1:1" x14ac:dyDescent="0.25">
      <c r="A1052" s="25" t="str">
        <f ca="1">TEXT(Overig!A1052,"000\,")&amp;TEXT(Overig!B1052,"?00000000")&amp;TEXT(Overig!C1052,""", ""@")&amp;SUBSTITUTE(TEXT(IF(ISTEXT(Overig!D1052),Overig!D1052,10*Overig!D1052),""",""????0;"",""???-0;"",""????0;"", ////"""),"'","""")&amp;SUBSTITUTE(TEXT(Overig!E1052,""",""?00;"",""?-00;"",""?00;"", //"""),"'","""")&amp;SUBSTITUTE(TEXT(IF(ISTEXT(Overig!F1052),Overig!F1052,10*Overig!F1052),""",""????0;"",""???-0;"",""????0;"", ////"""),"'","""")&amp;SUBSTITUTE(TEXT(Overig!G1052,""",""?00;"",""?-00;"",""?00;"", //"""),"'","""")</f>
        <v>081, 19401216, 07.45, 7500, 00,  270, 00</v>
      </c>
    </row>
    <row r="1053" spans="1:1" x14ac:dyDescent="0.25">
      <c r="A1053" s="25" t="str">
        <f ca="1">TEXT(Overig!A1053,"000\,")&amp;TEXT(Overig!B1053,"?00000000")&amp;TEXT(Overig!C1053,""", ""@")&amp;SUBSTITUTE(TEXT(IF(ISTEXT(Overig!D1053),Overig!D1053,10*Overig!D1053),""",""????0;"",""???-0;"",""????0;"", ////"""),"'","""")&amp;SUBSTITUTE(TEXT(Overig!E1053,""",""?00;"",""?-00;"",""?00;"", //"""),"'","""")&amp;SUBSTITUTE(TEXT(IF(ISTEXT(Overig!F1053),Overig!F1053,10*Overig!F1053),""",""????0;"",""???-0;"",""????0;"", ////"""),"'","""")&amp;SUBSTITUTE(TEXT(Overig!G1053,""",""?00;"",""?-00;"",""?00;"", //"""),"'","""")</f>
        <v>081, 19401216, 13.45, 7500, 00,  290, 00</v>
      </c>
    </row>
    <row r="1054" spans="1:1" x14ac:dyDescent="0.25">
      <c r="A1054" s="25" t="str">
        <f ca="1">TEXT(Overig!A1054,"000\,")&amp;TEXT(Overig!B1054,"?00000000")&amp;TEXT(Overig!C1054,""", ""@")&amp;SUBSTITUTE(TEXT(IF(ISTEXT(Overig!D1054),Overig!D1054,10*Overig!D1054),""",""????0;"",""???-0;"",""????0;"", ////"""),"'","""")&amp;SUBSTITUTE(TEXT(Overig!E1054,""",""?00;"",""?-00;"",""?00;"", //"""),"'","""")&amp;SUBSTITUTE(TEXT(IF(ISTEXT(Overig!F1054),Overig!F1054,10*Overig!F1054),""",""????0;"",""???-0;"",""????0;"", ////"""),"'","""")&amp;SUBSTITUTE(TEXT(Overig!G1054,""",""?00;"",""?-00;"",""?00;"", //"""),"'","""")</f>
        <v>081, 19401216, 19.45, 7500, 00,  280, 00</v>
      </c>
    </row>
    <row r="1055" spans="1:1" x14ac:dyDescent="0.25">
      <c r="A1055" s="25" t="str">
        <f ca="1">TEXT(Overig!A1055,"000\,")&amp;TEXT(Overig!B1055,"?00000000")&amp;TEXT(Overig!C1055,""", ""@")&amp;SUBSTITUTE(TEXT(IF(ISTEXT(Overig!D1055),Overig!D1055,10*Overig!D1055),""",""????0;"",""???-0;"",""????0;"", ////"""),"'","""")&amp;SUBSTITUTE(TEXT(Overig!E1055,""",""?00;"",""?-00;"",""?00;"", //"""),"'","""")&amp;SUBSTITUTE(TEXT(IF(ISTEXT(Overig!F1055),Overig!F1055,10*Overig!F1055),""",""????0;"",""???-0;"",""????0;"", ////"""),"'","""")&amp;SUBSTITUTE(TEXT(Overig!G1055,""",""?00;"",""?-00;"",""?00;"", //"""),"'","""")</f>
        <v>081, 19401217, 07.45, 7500, 00,  260, 00</v>
      </c>
    </row>
    <row r="1056" spans="1:1" x14ac:dyDescent="0.25">
      <c r="A1056" s="25" t="str">
        <f ca="1">TEXT(Overig!A1056,"000\,")&amp;TEXT(Overig!B1056,"?00000000")&amp;TEXT(Overig!C1056,""", ""@")&amp;SUBSTITUTE(TEXT(IF(ISTEXT(Overig!D1056),Overig!D1056,10*Overig!D1056),""",""????0;"",""???-0;"",""????0;"", ////"""),"'","""")&amp;SUBSTITUTE(TEXT(Overig!E1056,""",""?00;"",""?-00;"",""?00;"", //"""),"'","""")&amp;SUBSTITUTE(TEXT(IF(ISTEXT(Overig!F1056),Overig!F1056,10*Overig!F1056),""",""????0;"",""???-0;"",""????0;"", ////"""),"'","""")&amp;SUBSTITUTE(TEXT(Overig!G1056,""",""?00;"",""?-00;"",""?00;"", //"""),"'","""")</f>
        <v>081, 19401217, 13.45, 7500, 00,  280, 00</v>
      </c>
    </row>
    <row r="1057" spans="1:1" x14ac:dyDescent="0.25">
      <c r="A1057" s="25" t="str">
        <f ca="1">TEXT(Overig!A1057,"000\,")&amp;TEXT(Overig!B1057,"?00000000")&amp;TEXT(Overig!C1057,""", ""@")&amp;SUBSTITUTE(TEXT(IF(ISTEXT(Overig!D1057),Overig!D1057,10*Overig!D1057),""",""????0;"",""???-0;"",""????0;"", ////"""),"'","""")&amp;SUBSTITUTE(TEXT(Overig!E1057,""",""?00;"",""?-00;"",""?00;"", //"""),"'","""")&amp;SUBSTITUTE(TEXT(IF(ISTEXT(Overig!F1057),Overig!F1057,10*Overig!F1057),""",""????0;"",""???-0;"",""????0;"", ////"""),"'","""")&amp;SUBSTITUTE(TEXT(Overig!G1057,""",""?00;"",""?-00;"",""?00;"", //"""),"'","""")</f>
        <v>081, 19401217, 19.45, 7500, 00,  270, 00</v>
      </c>
    </row>
    <row r="1058" spans="1:1" x14ac:dyDescent="0.25">
      <c r="A1058" s="25" t="str">
        <f ca="1">TEXT(Overig!A1058,"000\,")&amp;TEXT(Overig!B1058,"?00000000")&amp;TEXT(Overig!C1058,""", ""@")&amp;SUBSTITUTE(TEXT(IF(ISTEXT(Overig!D1058),Overig!D1058,10*Overig!D1058),""",""????0;"",""???-0;"",""????0;"", ////"""),"'","""")&amp;SUBSTITUTE(TEXT(Overig!E1058,""",""?00;"",""?-00;"",""?00;"", //"""),"'","""")&amp;SUBSTITUTE(TEXT(IF(ISTEXT(Overig!F1058),Overig!F1058,10*Overig!F1058),""",""????0;"",""???-0;"",""????0;"", ////"""),"'","""")&amp;SUBSTITUTE(TEXT(Overig!G1058,""",""?00;"",""?-00;"",""?00;"", //"""),"'","""")</f>
        <v>081, 19401218, 07.45, 7500, 00,  260, 00</v>
      </c>
    </row>
    <row r="1059" spans="1:1" x14ac:dyDescent="0.25">
      <c r="A1059" s="25" t="str">
        <f ca="1">TEXT(Overig!A1059,"000\,")&amp;TEXT(Overig!B1059,"?00000000")&amp;TEXT(Overig!C1059,""", ""@")&amp;SUBSTITUTE(TEXT(IF(ISTEXT(Overig!D1059),Overig!D1059,10*Overig!D1059),""",""????0;"",""???-0;"",""????0;"", ////"""),"'","""")&amp;SUBSTITUTE(TEXT(Overig!E1059,""",""?00;"",""?-00;"",""?00;"", //"""),"'","""")&amp;SUBSTITUTE(TEXT(IF(ISTEXT(Overig!F1059),Overig!F1059,10*Overig!F1059),""",""????0;"",""???-0;"",""????0;"", ////"""),"'","""")&amp;SUBSTITUTE(TEXT(Overig!G1059,""",""?00;"",""?-00;"",""?00;"", //"""),"'","""")</f>
        <v>081, 19401218, 13.45, 7500, 00,  280, 00</v>
      </c>
    </row>
    <row r="1060" spans="1:1" x14ac:dyDescent="0.25">
      <c r="A1060" s="25" t="str">
        <f ca="1">TEXT(Overig!A1060,"000\,")&amp;TEXT(Overig!B1060,"?00000000")&amp;TEXT(Overig!C1060,""", ""@")&amp;SUBSTITUTE(TEXT(IF(ISTEXT(Overig!D1060),Overig!D1060,10*Overig!D1060),""",""????0;"",""???-0;"",""????0;"", ////"""),"'","""")&amp;SUBSTITUTE(TEXT(Overig!E1060,""",""?00;"",""?-00;"",""?00;"", //"""),"'","""")&amp;SUBSTITUTE(TEXT(IF(ISTEXT(Overig!F1060),Overig!F1060,10*Overig!F1060),""",""????0;"",""???-0;"",""????0;"", ////"""),"'","""")&amp;SUBSTITUTE(TEXT(Overig!G1060,""",""?00;"",""?-00;"",""?00;"", //"""),"'","""")</f>
        <v>081, 19401218, 19.45, 7500, 00,  270, 00</v>
      </c>
    </row>
    <row r="1061" spans="1:1" x14ac:dyDescent="0.25">
      <c r="A1061" s="25" t="str">
        <f ca="1">TEXT(Overig!A1061,"000\,")&amp;TEXT(Overig!B1061,"?00000000")&amp;TEXT(Overig!C1061,""", ""@")&amp;SUBSTITUTE(TEXT(IF(ISTEXT(Overig!D1061),Overig!D1061,10*Overig!D1061),""",""????0;"",""???-0;"",""????0;"", ////"""),"'","""")&amp;SUBSTITUTE(TEXT(Overig!E1061,""",""?00;"",""?-00;"",""?00;"", //"""),"'","""")&amp;SUBSTITUTE(TEXT(IF(ISTEXT(Overig!F1061),Overig!F1061,10*Overig!F1061),""",""????0;"",""???-0;"",""????0;"", ////"""),"'","""")&amp;SUBSTITUTE(TEXT(Overig!G1061,""",""?00;"",""?-00;"",""?00;"", //"""),"'","""")</f>
        <v>081, 19401219, 07.45, 7500, 00,  260, 00</v>
      </c>
    </row>
    <row r="1062" spans="1:1" x14ac:dyDescent="0.25">
      <c r="A1062" s="25" t="str">
        <f ca="1">TEXT(Overig!A1062,"000\,")&amp;TEXT(Overig!B1062,"?00000000")&amp;TEXT(Overig!C1062,""", ""@")&amp;SUBSTITUTE(TEXT(IF(ISTEXT(Overig!D1062),Overig!D1062,10*Overig!D1062),""",""????0;"",""???-0;"",""????0;"", ////"""),"'","""")&amp;SUBSTITUTE(TEXT(Overig!E1062,""",""?00;"",""?-00;"",""?00;"", //"""),"'","""")&amp;SUBSTITUTE(TEXT(IF(ISTEXT(Overig!F1062),Overig!F1062,10*Overig!F1062),""",""????0;"",""???-0;"",""????0;"", ////"""),"'","""")&amp;SUBSTITUTE(TEXT(Overig!G1062,""",""?00;"",""?-00;"",""?00;"", //"""),"'","""")</f>
        <v>081, 19401219, 13.45, 7500, 00,  280, 00</v>
      </c>
    </row>
    <row r="1063" spans="1:1" x14ac:dyDescent="0.25">
      <c r="A1063" s="25" t="str">
        <f ca="1">TEXT(Overig!A1063,"000\,")&amp;TEXT(Overig!B1063,"?00000000")&amp;TEXT(Overig!C1063,""", ""@")&amp;SUBSTITUTE(TEXT(IF(ISTEXT(Overig!D1063),Overig!D1063,10*Overig!D1063),""",""????0;"",""???-0;"",""????0;"", ////"""),"'","""")&amp;SUBSTITUTE(TEXT(Overig!E1063,""",""?00;"",""?-00;"",""?00;"", //"""),"'","""")&amp;SUBSTITUTE(TEXT(IF(ISTEXT(Overig!F1063),Overig!F1063,10*Overig!F1063),""",""????0;"",""???-0;"",""????0;"", ////"""),"'","""")&amp;SUBSTITUTE(TEXT(Overig!G1063,""",""?00;"",""?-00;"",""?00;"", //"""),"'","""")</f>
        <v>081, 19401219, 19.45, 7500, 00,  270, 00</v>
      </c>
    </row>
    <row r="1064" spans="1:1" x14ac:dyDescent="0.25">
      <c r="A1064" s="25" t="str">
        <f ca="1">TEXT(Overig!A1064,"000\,")&amp;TEXT(Overig!B1064,"?00000000")&amp;TEXT(Overig!C1064,""", ""@")&amp;SUBSTITUTE(TEXT(IF(ISTEXT(Overig!D1064),Overig!D1064,10*Overig!D1064),""",""????0;"",""???-0;"",""????0;"", ////"""),"'","""")&amp;SUBSTITUTE(TEXT(Overig!E1064,""",""?00;"",""?-00;"",""?00;"", //"""),"'","""")&amp;SUBSTITUTE(TEXT(IF(ISTEXT(Overig!F1064),Overig!F1064,10*Overig!F1064),""",""????0;"",""???-0;"",""????0;"", ////"""),"'","""")&amp;SUBSTITUTE(TEXT(Overig!G1064,""",""?00;"",""?-00;"",""?00;"", //"""),"'","""")</f>
        <v>081, 19401220, 07.45, 7500, 00,  260, 00</v>
      </c>
    </row>
    <row r="1065" spans="1:1" x14ac:dyDescent="0.25">
      <c r="A1065" s="25" t="str">
        <f ca="1">TEXT(Overig!A1065,"000\,")&amp;TEXT(Overig!B1065,"?00000000")&amp;TEXT(Overig!C1065,""", ""@")&amp;SUBSTITUTE(TEXT(IF(ISTEXT(Overig!D1065),Overig!D1065,10*Overig!D1065),""",""????0;"",""???-0;"",""????0;"", ////"""),"'","""")&amp;SUBSTITUTE(TEXT(Overig!E1065,""",""?00;"",""?-00;"",""?00;"", //"""),"'","""")&amp;SUBSTITUTE(TEXT(IF(ISTEXT(Overig!F1065),Overig!F1065,10*Overig!F1065),""",""????0;"",""???-0;"",""????0;"", ////"""),"'","""")&amp;SUBSTITUTE(TEXT(Overig!G1065,""",""?00;"",""?-00;"",""?00;"", //"""),"'","""")</f>
        <v>081, 19401220, 13.45, 7500, 00,  280, 00</v>
      </c>
    </row>
    <row r="1066" spans="1:1" x14ac:dyDescent="0.25">
      <c r="A1066" s="25" t="str">
        <f ca="1">TEXT(Overig!A1066,"000\,")&amp;TEXT(Overig!B1066,"?00000000")&amp;TEXT(Overig!C1066,""", ""@")&amp;SUBSTITUTE(TEXT(IF(ISTEXT(Overig!D1066),Overig!D1066,10*Overig!D1066),""",""????0;"",""???-0;"",""????0;"", ////"""),"'","""")&amp;SUBSTITUTE(TEXT(Overig!E1066,""",""?00;"",""?-00;"",""?00;"", //"""),"'","""")&amp;SUBSTITUTE(TEXT(IF(ISTEXT(Overig!F1066),Overig!F1066,10*Overig!F1066),""",""????0;"",""???-0;"",""????0;"", ////"""),"'","""")&amp;SUBSTITUTE(TEXT(Overig!G1066,""",""?00;"",""?-00;"",""?00;"", //"""),"'","""")</f>
        <v>081, 19401220, 19.45, 7500, 00,  270, 00</v>
      </c>
    </row>
    <row r="1067" spans="1:1" x14ac:dyDescent="0.25">
      <c r="A1067" s="25" t="str">
        <f ca="1">TEXT(Overig!A1067,"000\,")&amp;TEXT(Overig!B1067,"?00000000")&amp;TEXT(Overig!C1067,""", ""@")&amp;SUBSTITUTE(TEXT(IF(ISTEXT(Overig!D1067),Overig!D1067,10*Overig!D1067),""",""????0;"",""???-0;"",""????0;"", ////"""),"'","""")&amp;SUBSTITUTE(TEXT(Overig!E1067,""",""?00;"",""?-00;"",""?00;"", //"""),"'","""")&amp;SUBSTITUTE(TEXT(IF(ISTEXT(Overig!F1067),Overig!F1067,10*Overig!F1067),""",""????0;"",""???-0;"",""????0;"", ////"""),"'","""")&amp;SUBSTITUTE(TEXT(Overig!G1067,""",""?00;"",""?-00;"",""?00;"", //"""),"'","""")</f>
        <v>081, 19401221, 07.45, 7500, 00,  260, 00</v>
      </c>
    </row>
    <row r="1068" spans="1:1" x14ac:dyDescent="0.25">
      <c r="A1068" s="25" t="str">
        <f ca="1">TEXT(Overig!A1068,"000\,")&amp;TEXT(Overig!B1068,"?00000000")&amp;TEXT(Overig!C1068,""", ""@")&amp;SUBSTITUTE(TEXT(IF(ISTEXT(Overig!D1068),Overig!D1068,10*Overig!D1068),""",""????0;"",""???-0;"",""????0;"", ////"""),"'","""")&amp;SUBSTITUTE(TEXT(Overig!E1068,""",""?00;"",""?-00;"",""?00;"", //"""),"'","""")&amp;SUBSTITUTE(TEXT(IF(ISTEXT(Overig!F1068),Overig!F1068,10*Overig!F1068),""",""????0;"",""???-0;"",""????0;"", ////"""),"'","""")&amp;SUBSTITUTE(TEXT(Overig!G1068,""",""?00;"",""?-00;"",""?00;"", //"""),"'","""")</f>
        <v>081, 19401221, 13.45, 7500, 00,  280, 00</v>
      </c>
    </row>
    <row r="1069" spans="1:1" x14ac:dyDescent="0.25">
      <c r="A1069" s="25" t="str">
        <f ca="1">TEXT(Overig!A1069,"000\,")&amp;TEXT(Overig!B1069,"?00000000")&amp;TEXT(Overig!C1069,""", ""@")&amp;SUBSTITUTE(TEXT(IF(ISTEXT(Overig!D1069),Overig!D1069,10*Overig!D1069),""",""????0;"",""???-0;"",""????0;"", ////"""),"'","""")&amp;SUBSTITUTE(TEXT(Overig!E1069,""",""?00;"",""?-00;"",""?00;"", //"""),"'","""")&amp;SUBSTITUTE(TEXT(IF(ISTEXT(Overig!F1069),Overig!F1069,10*Overig!F1069),""",""????0;"",""???-0;"",""????0;"", ////"""),"'","""")&amp;SUBSTITUTE(TEXT(Overig!G1069,""",""?00;"",""?-00;"",""?00;"", //"""),"'","""")</f>
        <v>081, 19401221, 19.45, 7500, 00,  270, 00</v>
      </c>
    </row>
    <row r="1070" spans="1:1" x14ac:dyDescent="0.25">
      <c r="A1070" s="25" t="str">
        <f ca="1">TEXT(Overig!A1070,"000\,")&amp;TEXT(Overig!B1070,"?00000000")&amp;TEXT(Overig!C1070,""", ""@")&amp;SUBSTITUTE(TEXT(IF(ISTEXT(Overig!D1070),Overig!D1070,10*Overig!D1070),""",""????0;"",""???-0;"",""????0;"", ////"""),"'","""")&amp;SUBSTITUTE(TEXT(Overig!E1070,""",""?00;"",""?-00;"",""?00;"", //"""),"'","""")&amp;SUBSTITUTE(TEXT(IF(ISTEXT(Overig!F1070),Overig!F1070,10*Overig!F1070),""",""????0;"",""???-0;"",""????0;"", ////"""),"'","""")&amp;SUBSTITUTE(TEXT(Overig!G1070,""",""?00;"",""?-00;"",""?00;"", //"""),"'","""")</f>
        <v>081, 19401222, 07.45, 7490, 00,  260, 00</v>
      </c>
    </row>
    <row r="1071" spans="1:1" x14ac:dyDescent="0.25">
      <c r="A1071" s="25" t="str">
        <f ca="1">TEXT(Overig!A1071,"000\,")&amp;TEXT(Overig!B1071,"?00000000")&amp;TEXT(Overig!C1071,""", ""@")&amp;SUBSTITUTE(TEXT(IF(ISTEXT(Overig!D1071),Overig!D1071,10*Overig!D1071),""",""????0;"",""???-0;"",""????0;"", ////"""),"'","""")&amp;SUBSTITUTE(TEXT(Overig!E1071,""",""?00;"",""?-00;"",""?00;"", //"""),"'","""")&amp;SUBSTITUTE(TEXT(IF(ISTEXT(Overig!F1071),Overig!F1071,10*Overig!F1071),""",""????0;"",""???-0;"",""????0;"", ////"""),"'","""")&amp;SUBSTITUTE(TEXT(Overig!G1071,""",""?00;"",""?-00;"",""?00;"", //"""),"'","""")</f>
        <v>081, 19401222, 13.45, 7500, 00,  280, 00</v>
      </c>
    </row>
    <row r="1072" spans="1:1" x14ac:dyDescent="0.25">
      <c r="A1072" s="25" t="str">
        <f ca="1">TEXT(Overig!A1072,"000\,")&amp;TEXT(Overig!B1072,"?00000000")&amp;TEXT(Overig!C1072,""", ""@")&amp;SUBSTITUTE(TEXT(IF(ISTEXT(Overig!D1072),Overig!D1072,10*Overig!D1072),""",""????0;"",""???-0;"",""????0;"", ////"""),"'","""")&amp;SUBSTITUTE(TEXT(Overig!E1072,""",""?00;"",""?-00;"",""?00;"", //"""),"'","""")&amp;SUBSTITUTE(TEXT(IF(ISTEXT(Overig!F1072),Overig!F1072,10*Overig!F1072),""",""????0;"",""???-0;"",""????0;"", ////"""),"'","""")&amp;SUBSTITUTE(TEXT(Overig!G1072,""",""?00;"",""?-00;"",""?00;"", //"""),"'","""")</f>
        <v>081, 19401222, 19.45, 7500, 00,  270, 00</v>
      </c>
    </row>
    <row r="1073" spans="1:1" x14ac:dyDescent="0.25">
      <c r="A1073" s="25" t="str">
        <f ca="1">TEXT(Overig!A1073,"000\,")&amp;TEXT(Overig!B1073,"?00000000")&amp;TEXT(Overig!C1073,""", ""@")&amp;SUBSTITUTE(TEXT(IF(ISTEXT(Overig!D1073),Overig!D1073,10*Overig!D1073),""",""????0;"",""???-0;"",""????0;"", ////"""),"'","""")&amp;SUBSTITUTE(TEXT(Overig!E1073,""",""?00;"",""?-00;"",""?00;"", //"""),"'","""")&amp;SUBSTITUTE(TEXT(IF(ISTEXT(Overig!F1073),Overig!F1073,10*Overig!F1073),""",""????0;"",""???-0;"",""????0;"", ////"""),"'","""")&amp;SUBSTITUTE(TEXT(Overig!G1073,""",""?00;"",""?-00;"",""?00;"", //"""),"'","""")</f>
        <v>081, 19401223, 07.45, 7500, 00,  260, 00</v>
      </c>
    </row>
    <row r="1074" spans="1:1" x14ac:dyDescent="0.25">
      <c r="A1074" s="25" t="str">
        <f ca="1">TEXT(Overig!A1074,"000\,")&amp;TEXT(Overig!B1074,"?00000000")&amp;TEXT(Overig!C1074,""", ""@")&amp;SUBSTITUTE(TEXT(IF(ISTEXT(Overig!D1074),Overig!D1074,10*Overig!D1074),""",""????0;"",""???-0;"",""????0;"", ////"""),"'","""")&amp;SUBSTITUTE(TEXT(Overig!E1074,""",""?00;"",""?-00;"",""?00;"", //"""),"'","""")&amp;SUBSTITUTE(TEXT(IF(ISTEXT(Overig!F1074),Overig!F1074,10*Overig!F1074),""",""????0;"",""???-0;"",""????0;"", ////"""),"'","""")&amp;SUBSTITUTE(TEXT(Overig!G1074,""",""?00;"",""?-00;"",""?00;"", //"""),"'","""")</f>
        <v>081, 19401223, 13.45, 7500, 00,  280, 00</v>
      </c>
    </row>
    <row r="1075" spans="1:1" x14ac:dyDescent="0.25">
      <c r="A1075" s="25" t="str">
        <f ca="1">TEXT(Overig!A1075,"000\,")&amp;TEXT(Overig!B1075,"?00000000")&amp;TEXT(Overig!C1075,""", ""@")&amp;SUBSTITUTE(TEXT(IF(ISTEXT(Overig!D1075),Overig!D1075,10*Overig!D1075),""",""????0;"",""???-0;"",""????0;"", ////"""),"'","""")&amp;SUBSTITUTE(TEXT(Overig!E1075,""",""?00;"",""?-00;"",""?00;"", //"""),"'","""")&amp;SUBSTITUTE(TEXT(IF(ISTEXT(Overig!F1075),Overig!F1075,10*Overig!F1075),""",""????0;"",""???-0;"",""????0;"", ////"""),"'","""")&amp;SUBSTITUTE(TEXT(Overig!G1075,""",""?00;"",""?-00;"",""?00;"", //"""),"'","""")</f>
        <v>081, 19401223, 19.45, 7500, 00,  270, 00</v>
      </c>
    </row>
    <row r="1076" spans="1:1" x14ac:dyDescent="0.25">
      <c r="A1076" s="25" t="str">
        <f ca="1">TEXT(Overig!A1076,"000\,")&amp;TEXT(Overig!B1076,"?00000000")&amp;TEXT(Overig!C1076,""", ""@")&amp;SUBSTITUTE(TEXT(IF(ISTEXT(Overig!D1076),Overig!D1076,10*Overig!D1076),""",""????0;"",""???-0;"",""????0;"", ////"""),"'","""")&amp;SUBSTITUTE(TEXT(Overig!E1076,""",""?00;"",""?-00;"",""?00;"", //"""),"'","""")&amp;SUBSTITUTE(TEXT(IF(ISTEXT(Overig!F1076),Overig!F1076,10*Overig!F1076),""",""????0;"",""???-0;"",""????0;"", ////"""),"'","""")&amp;SUBSTITUTE(TEXT(Overig!G1076,""",""?00;"",""?-00;"",""?00;"", //"""),"'","""")</f>
        <v>081, 19401224, 07.45, 7500, 00,  250, 00</v>
      </c>
    </row>
    <row r="1077" spans="1:1" x14ac:dyDescent="0.25">
      <c r="A1077" s="25" t="str">
        <f ca="1">TEXT(Overig!A1077,"000\,")&amp;TEXT(Overig!B1077,"?00000000")&amp;TEXT(Overig!C1077,""", ""@")&amp;SUBSTITUTE(TEXT(IF(ISTEXT(Overig!D1077),Overig!D1077,10*Overig!D1077),""",""????0;"",""???-0;"",""????0;"", ////"""),"'","""")&amp;SUBSTITUTE(TEXT(Overig!E1077,""",""?00;"",""?-00;"",""?00;"", //"""),"'","""")&amp;SUBSTITUTE(TEXT(IF(ISTEXT(Overig!F1077),Overig!F1077,10*Overig!F1077),""",""????0;"",""???-0;"",""????0;"", ////"""),"'","""")&amp;SUBSTITUTE(TEXT(Overig!G1077,""",""?00;"",""?-00;"",""?00;"", //"""),"'","""")</f>
        <v>081, 19401224, 13.45, 7490, 00,  290, 00</v>
      </c>
    </row>
    <row r="1078" spans="1:1" x14ac:dyDescent="0.25">
      <c r="A1078" s="25" t="str">
        <f ca="1">TEXT(Overig!A1078,"000\,")&amp;TEXT(Overig!B1078,"?00000000")&amp;TEXT(Overig!C1078,""", ""@")&amp;SUBSTITUTE(TEXT(IF(ISTEXT(Overig!D1078),Overig!D1078,10*Overig!D1078),""",""????0;"",""???-0;"",""????0;"", ////"""),"'","""")&amp;SUBSTITUTE(TEXT(Overig!E1078,""",""?00;"",""?-00;"",""?00;"", //"""),"'","""")&amp;SUBSTITUTE(TEXT(IF(ISTEXT(Overig!F1078),Overig!F1078,10*Overig!F1078),""",""????0;"",""???-0;"",""????0;"", ////"""),"'","""")&amp;SUBSTITUTE(TEXT(Overig!G1078,""",""?00;"",""?-00;"",""?00;"", //"""),"'","""")</f>
        <v>081, 19401224, 19.45, 7490, 00,  270, 00</v>
      </c>
    </row>
    <row r="1079" spans="1:1" x14ac:dyDescent="0.25">
      <c r="A1079" s="25" t="str">
        <f ca="1">TEXT(Overig!A1079,"000\,")&amp;TEXT(Overig!B1079,"?00000000")&amp;TEXT(Overig!C1079,""", ""@")&amp;SUBSTITUTE(TEXT(IF(ISTEXT(Overig!D1079),Overig!D1079,10*Overig!D1079),""",""????0;"",""???-0;"",""????0;"", ////"""),"'","""")&amp;SUBSTITUTE(TEXT(Overig!E1079,""",""?00;"",""?-00;"",""?00;"", //"""),"'","""")&amp;SUBSTITUTE(TEXT(IF(ISTEXT(Overig!F1079),Overig!F1079,10*Overig!F1079),""",""????0;"",""???-0;"",""????0;"", ////"""),"'","""")&amp;SUBSTITUTE(TEXT(Overig!G1079,""",""?00;"",""?-00;"",""?00;"", //"""),"'","""")</f>
        <v>081, 19401225, 07.45, 7490, 00,  260, 00</v>
      </c>
    </row>
    <row r="1080" spans="1:1" x14ac:dyDescent="0.25">
      <c r="A1080" s="25" t="str">
        <f ca="1">TEXT(Overig!A1080,"000\,")&amp;TEXT(Overig!B1080,"?00000000")&amp;TEXT(Overig!C1080,""", ""@")&amp;SUBSTITUTE(TEXT(IF(ISTEXT(Overig!D1080),Overig!D1080,10*Overig!D1080),""",""????0;"",""???-0;"",""????0;"", ////"""),"'","""")&amp;SUBSTITUTE(TEXT(Overig!E1080,""",""?00;"",""?-00;"",""?00;"", //"""),"'","""")&amp;SUBSTITUTE(TEXT(IF(ISTEXT(Overig!F1080),Overig!F1080,10*Overig!F1080),""",""????0;"",""???-0;"",""????0;"", ////"""),"'","""")&amp;SUBSTITUTE(TEXT(Overig!G1080,""",""?00;"",""?-00;"",""?00;"", //"""),"'","""")</f>
        <v>081, 19401225, 13.45, 7480, 00,  290, 00</v>
      </c>
    </row>
    <row r="1081" spans="1:1" x14ac:dyDescent="0.25">
      <c r="A1081" s="25" t="str">
        <f ca="1">TEXT(Overig!A1081,"000\,")&amp;TEXT(Overig!B1081,"?00000000")&amp;TEXT(Overig!C1081,""", ""@")&amp;SUBSTITUTE(TEXT(IF(ISTEXT(Overig!D1081),Overig!D1081,10*Overig!D1081),""",""????0;"",""???-0;"",""????0;"", ////"""),"'","""")&amp;SUBSTITUTE(TEXT(Overig!E1081,""",""?00;"",""?-00;"",""?00;"", //"""),"'","""")&amp;SUBSTITUTE(TEXT(IF(ISTEXT(Overig!F1081),Overig!F1081,10*Overig!F1081),""",""????0;"",""???-0;"",""????0;"", ////"""),"'","""")&amp;SUBSTITUTE(TEXT(Overig!G1081,""",""?00;"",""?-00;"",""?00;"", //"""),"'","""")</f>
        <v>081, 19401225, 19.45, 7480, 00,  280, 00</v>
      </c>
    </row>
    <row r="1082" spans="1:1" x14ac:dyDescent="0.25">
      <c r="A1082" s="25" t="str">
        <f ca="1">TEXT(Overig!A1082,"000\,")&amp;TEXT(Overig!B1082,"?00000000")&amp;TEXT(Overig!C1082,""", ""@")&amp;SUBSTITUTE(TEXT(IF(ISTEXT(Overig!D1082),Overig!D1082,10*Overig!D1082),""",""????0;"",""???-0;"",""????0;"", ////"""),"'","""")&amp;SUBSTITUTE(TEXT(Overig!E1082,""",""?00;"",""?-00;"",""?00;"", //"""),"'","""")&amp;SUBSTITUTE(TEXT(IF(ISTEXT(Overig!F1082),Overig!F1082,10*Overig!F1082),""",""????0;"",""???-0;"",""????0;"", ////"""),"'","""")&amp;SUBSTITUTE(TEXT(Overig!G1082,""",""?00;"",""?-00;"",""?00;"", //"""),"'","""")</f>
        <v>081, 19401226, 07.45, 7470, 00,  270, 00</v>
      </c>
    </row>
    <row r="1083" spans="1:1" x14ac:dyDescent="0.25">
      <c r="A1083" s="25" t="str">
        <f ca="1">TEXT(Overig!A1083,"000\,")&amp;TEXT(Overig!B1083,"?00000000")&amp;TEXT(Overig!C1083,""", ""@")&amp;SUBSTITUTE(TEXT(IF(ISTEXT(Overig!D1083),Overig!D1083,10*Overig!D1083),""",""????0;"",""???-0;"",""????0;"", ////"""),"'","""")&amp;SUBSTITUTE(TEXT(Overig!E1083,""",""?00;"",""?-00;"",""?00;"", //"""),"'","""")&amp;SUBSTITUTE(TEXT(IF(ISTEXT(Overig!F1083),Overig!F1083,10*Overig!F1083),""",""????0;"",""???-0;"",""????0;"", ////"""),"'","""")&amp;SUBSTITUTE(TEXT(Overig!G1083,""",""?00;"",""?-00;"",""?00;"", //"""),"'","""")</f>
        <v>081, 19401226, 13.45, 7470, 00,  290, 00</v>
      </c>
    </row>
    <row r="1084" spans="1:1" x14ac:dyDescent="0.25">
      <c r="A1084" s="25" t="str">
        <f ca="1">TEXT(Overig!A1084,"000\,")&amp;TEXT(Overig!B1084,"?00000000")&amp;TEXT(Overig!C1084,""", ""@")&amp;SUBSTITUTE(TEXT(IF(ISTEXT(Overig!D1084),Overig!D1084,10*Overig!D1084),""",""????0;"",""???-0;"",""????0;"", ////"""),"'","""")&amp;SUBSTITUTE(TEXT(Overig!E1084,""",""?00;"",""?-00;"",""?00;"", //"""),"'","""")&amp;SUBSTITUTE(TEXT(IF(ISTEXT(Overig!F1084),Overig!F1084,10*Overig!F1084),""",""????0;"",""???-0;"",""????0;"", ////"""),"'","""")&amp;SUBSTITUTE(TEXT(Overig!G1084,""",""?00;"",""?-00;"",""?00;"", //"""),"'","""")</f>
        <v>081, 19401226, 19.45, 7470, 00,  280, 00</v>
      </c>
    </row>
    <row r="1085" spans="1:1" x14ac:dyDescent="0.25">
      <c r="A1085" s="25" t="str">
        <f ca="1">TEXT(Overig!A1085,"000\,")&amp;TEXT(Overig!B1085,"?00000000")&amp;TEXT(Overig!C1085,""", ""@")&amp;SUBSTITUTE(TEXT(IF(ISTEXT(Overig!D1085),Overig!D1085,10*Overig!D1085),""",""????0;"",""???-0;"",""????0;"", ////"""),"'","""")&amp;SUBSTITUTE(TEXT(Overig!E1085,""",""?00;"",""?-00;"",""?00;"", //"""),"'","""")&amp;SUBSTITUTE(TEXT(IF(ISTEXT(Overig!F1085),Overig!F1085,10*Overig!F1085),""",""????0;"",""???-0;"",""????0;"", ////"""),"'","""")&amp;SUBSTITUTE(TEXT(Overig!G1085,""",""?00;"",""?-00;"",""?00;"", //"""),"'","""")</f>
        <v>081, 19401227, 07.45, 7480, 00,  270, 00</v>
      </c>
    </row>
    <row r="1086" spans="1:1" x14ac:dyDescent="0.25">
      <c r="A1086" s="25" t="str">
        <f ca="1">TEXT(Overig!A1086,"000\,")&amp;TEXT(Overig!B1086,"?00000000")&amp;TEXT(Overig!C1086,""", ""@")&amp;SUBSTITUTE(TEXT(IF(ISTEXT(Overig!D1086),Overig!D1086,10*Overig!D1086),""",""????0;"",""???-0;"",""????0;"", ////"""),"'","""")&amp;SUBSTITUTE(TEXT(Overig!E1086,""",""?00;"",""?-00;"",""?00;"", //"""),"'","""")&amp;SUBSTITUTE(TEXT(IF(ISTEXT(Overig!F1086),Overig!F1086,10*Overig!F1086),""",""????0;"",""???-0;"",""????0;"", ////"""),"'","""")&amp;SUBSTITUTE(TEXT(Overig!G1086,""",""?00;"",""?-00;"",""?00;"", //"""),"'","""")</f>
        <v>081, 19401227, 13.45, 7480, 00,  290, 00</v>
      </c>
    </row>
    <row r="1087" spans="1:1" x14ac:dyDescent="0.25">
      <c r="A1087" s="25" t="str">
        <f ca="1">TEXT(Overig!A1087,"000\,")&amp;TEXT(Overig!B1087,"?00000000")&amp;TEXT(Overig!C1087,""", ""@")&amp;SUBSTITUTE(TEXT(IF(ISTEXT(Overig!D1087),Overig!D1087,10*Overig!D1087),""",""????0;"",""???-0;"",""????0;"", ////"""),"'","""")&amp;SUBSTITUTE(TEXT(Overig!E1087,""",""?00;"",""?-00;"",""?00;"", //"""),"'","""")&amp;SUBSTITUTE(TEXT(IF(ISTEXT(Overig!F1087),Overig!F1087,10*Overig!F1087),""",""????0;"",""???-0;"",""????0;"", ////"""),"'","""")&amp;SUBSTITUTE(TEXT(Overig!G1087,""",""?00;"",""?-00;"",""?00;"", //"""),"'","""")</f>
        <v>081, 19401227, 19.45, 7480, 00,  280, 00</v>
      </c>
    </row>
    <row r="1088" spans="1:1" x14ac:dyDescent="0.25">
      <c r="A1088" s="25" t="str">
        <f ca="1">TEXT(Overig!A1088,"000\,")&amp;TEXT(Overig!B1088,"?00000000")&amp;TEXT(Overig!C1088,""", ""@")&amp;SUBSTITUTE(TEXT(IF(ISTEXT(Overig!D1088),Overig!D1088,10*Overig!D1088),""",""????0;"",""???-0;"",""????0;"", ////"""),"'","""")&amp;SUBSTITUTE(TEXT(Overig!E1088,""",""?00;"",""?-00;"",""?00;"", //"""),"'","""")&amp;SUBSTITUTE(TEXT(IF(ISTEXT(Overig!F1088),Overig!F1088,10*Overig!F1088),""",""????0;"",""???-0;"",""????0;"", ////"""),"'","""")&amp;SUBSTITUTE(TEXT(Overig!G1088,""",""?00;"",""?-00;"",""?00;"", //"""),"'","""")</f>
        <v>081, 19401228, 07.45, 7480, 00,  270, 00</v>
      </c>
    </row>
    <row r="1089" spans="1:1" x14ac:dyDescent="0.25">
      <c r="A1089" s="25" t="str">
        <f ca="1">TEXT(Overig!A1089,"000\,")&amp;TEXT(Overig!B1089,"?00000000")&amp;TEXT(Overig!C1089,""", ""@")&amp;SUBSTITUTE(TEXT(IF(ISTEXT(Overig!D1089),Overig!D1089,10*Overig!D1089),""",""????0;"",""???-0;"",""????0;"", ////"""),"'","""")&amp;SUBSTITUTE(TEXT(Overig!E1089,""",""?00;"",""?-00;"",""?00;"", //"""),"'","""")&amp;SUBSTITUTE(TEXT(IF(ISTEXT(Overig!F1089),Overig!F1089,10*Overig!F1089),""",""????0;"",""???-0;"",""????0;"", ////"""),"'","""")&amp;SUBSTITUTE(TEXT(Overig!G1089,""",""?00;"",""?-00;"",""?00;"", //"""),"'","""")</f>
        <v>081, 19401228, 13.45, 7490, 00,  290, 00</v>
      </c>
    </row>
    <row r="1090" spans="1:1" x14ac:dyDescent="0.25">
      <c r="A1090" s="25" t="str">
        <f ca="1">TEXT(Overig!A1090,"000\,")&amp;TEXT(Overig!B1090,"?00000000")&amp;TEXT(Overig!C1090,""", ""@")&amp;SUBSTITUTE(TEXT(IF(ISTEXT(Overig!D1090),Overig!D1090,10*Overig!D1090),""",""????0;"",""???-0;"",""????0;"", ////"""),"'","""")&amp;SUBSTITUTE(TEXT(Overig!E1090,""",""?00;"",""?-00;"",""?00;"", //"""),"'","""")&amp;SUBSTITUTE(TEXT(IF(ISTEXT(Overig!F1090),Overig!F1090,10*Overig!F1090),""",""????0;"",""???-0;"",""????0;"", ////"""),"'","""")&amp;SUBSTITUTE(TEXT(Overig!G1090,""",""?00;"",""?-00;"",""?00;"", //"""),"'","""")</f>
        <v>081, 19401228, 19.45, 7500, 00,  280, 00</v>
      </c>
    </row>
    <row r="1091" spans="1:1" x14ac:dyDescent="0.25">
      <c r="A1091" s="25" t="str">
        <f ca="1">TEXT(Overig!A1091,"000\,")&amp;TEXT(Overig!B1091,"?00000000")&amp;TEXT(Overig!C1091,""", ""@")&amp;SUBSTITUTE(TEXT(IF(ISTEXT(Overig!D1091),Overig!D1091,10*Overig!D1091),""",""????0;"",""???-0;"",""????0;"", ////"""),"'","""")&amp;SUBSTITUTE(TEXT(Overig!E1091,""",""?00;"",""?-00;"",""?00;"", //"""),"'","""")&amp;SUBSTITUTE(TEXT(IF(ISTEXT(Overig!F1091),Overig!F1091,10*Overig!F1091),""",""????0;"",""???-0;"",""????0;"", ////"""),"'","""")&amp;SUBSTITUTE(TEXT(Overig!G1091,""",""?00;"",""?-00;"",""?00;"", //"""),"'","""")</f>
        <v>081, 19401229, 07.45, 7500, 00,  270, 00</v>
      </c>
    </row>
    <row r="1092" spans="1:1" x14ac:dyDescent="0.25">
      <c r="A1092" s="25" t="str">
        <f ca="1">TEXT(Overig!A1092,"000\,")&amp;TEXT(Overig!B1092,"?00000000")&amp;TEXT(Overig!C1092,""", ""@")&amp;SUBSTITUTE(TEXT(IF(ISTEXT(Overig!D1092),Overig!D1092,10*Overig!D1092),""",""????0;"",""???-0;"",""????0;"", ////"""),"'","""")&amp;SUBSTITUTE(TEXT(Overig!E1092,""",""?00;"",""?-00;"",""?00;"", //"""),"'","""")&amp;SUBSTITUTE(TEXT(IF(ISTEXT(Overig!F1092),Overig!F1092,10*Overig!F1092),""",""????0;"",""???-0;"",""????0;"", ////"""),"'","""")&amp;SUBSTITUTE(TEXT(Overig!G1092,""",""?00;"",""?-00;"",""?00;"", //"""),"'","""")</f>
        <v>081, 19401229, 13.45, 7500, 00,  290, 00</v>
      </c>
    </row>
    <row r="1093" spans="1:1" x14ac:dyDescent="0.25">
      <c r="A1093" s="25" t="str">
        <f ca="1">TEXT(Overig!A1093,"000\,")&amp;TEXT(Overig!B1093,"?00000000")&amp;TEXT(Overig!C1093,""", ""@")&amp;SUBSTITUTE(TEXT(IF(ISTEXT(Overig!D1093),Overig!D1093,10*Overig!D1093),""",""????0;"",""???-0;"",""????0;"", ////"""),"'","""")&amp;SUBSTITUTE(TEXT(Overig!E1093,""",""?00;"",""?-00;"",""?00;"", //"""),"'","""")&amp;SUBSTITUTE(TEXT(IF(ISTEXT(Overig!F1093),Overig!F1093,10*Overig!F1093),""",""????0;"",""???-0;"",""????0;"", ////"""),"'","""")&amp;SUBSTITUTE(TEXT(Overig!G1093,""",""?00;"",""?-00;"",""?00;"", //"""),"'","""")</f>
        <v>081, 19401229, 19.45, 7500, 00,  280, 00</v>
      </c>
    </row>
    <row r="1094" spans="1:1" x14ac:dyDescent="0.25">
      <c r="A1094" s="25" t="str">
        <f ca="1">TEXT(Overig!A1094,"000\,")&amp;TEXT(Overig!B1094,"?00000000")&amp;TEXT(Overig!C1094,""", ""@")&amp;SUBSTITUTE(TEXT(IF(ISTEXT(Overig!D1094),Overig!D1094,10*Overig!D1094),""",""????0;"",""???-0;"",""????0;"", ////"""),"'","""")&amp;SUBSTITUTE(TEXT(Overig!E1094,""",""?00;"",""?-00;"",""?00;"", //"""),"'","""")&amp;SUBSTITUTE(TEXT(IF(ISTEXT(Overig!F1094),Overig!F1094,10*Overig!F1094),""",""????0;"",""???-0;"",""????0;"", ////"""),"'","""")&amp;SUBSTITUTE(TEXT(Overig!G1094,""",""?00;"",""?-00;"",""?00;"", //"""),"'","""")</f>
        <v>081, 19401230, 07.45, 7500, 00,  270, 00</v>
      </c>
    </row>
    <row r="1095" spans="1:1" x14ac:dyDescent="0.25">
      <c r="A1095" s="25" t="str">
        <f ca="1">TEXT(Overig!A1095,"000\,")&amp;TEXT(Overig!B1095,"?00000000")&amp;TEXT(Overig!C1095,""", ""@")&amp;SUBSTITUTE(TEXT(IF(ISTEXT(Overig!D1095),Overig!D1095,10*Overig!D1095),""",""????0;"",""???-0;"",""????0;"", ////"""),"'","""")&amp;SUBSTITUTE(TEXT(Overig!E1095,""",""?00;"",""?-00;"",""?00;"", //"""),"'","""")&amp;SUBSTITUTE(TEXT(IF(ISTEXT(Overig!F1095),Overig!F1095,10*Overig!F1095),""",""????0;"",""???-0;"",""????0;"", ////"""),"'","""")&amp;SUBSTITUTE(TEXT(Overig!G1095,""",""?00;"",""?-00;"",""?00;"", //"""),"'","""")</f>
        <v>081, 19401230, 13.45, 7490, 00,  290, 00</v>
      </c>
    </row>
    <row r="1096" spans="1:1" x14ac:dyDescent="0.25">
      <c r="A1096" s="25" t="str">
        <f ca="1">TEXT(Overig!A1096,"000\,")&amp;TEXT(Overig!B1096,"?00000000")&amp;TEXT(Overig!C1096,""", ""@")&amp;SUBSTITUTE(TEXT(IF(ISTEXT(Overig!D1096),Overig!D1096,10*Overig!D1096),""",""????0;"",""???-0;"",""????0;"", ////"""),"'","""")&amp;SUBSTITUTE(TEXT(Overig!E1096,""",""?00;"",""?-00;"",""?00;"", //"""),"'","""")&amp;SUBSTITUTE(TEXT(IF(ISTEXT(Overig!F1096),Overig!F1096,10*Overig!F1096),""",""????0;"",""???-0;"",""????0;"", ////"""),"'","""")&amp;SUBSTITUTE(TEXT(Overig!G1096,""",""?00;"",""?-00;"",""?00;"", //"""),"'","""")</f>
        <v>081, 19401230, 19.45, 7490, 00,  280, 00</v>
      </c>
    </row>
    <row r="1097" spans="1:1" x14ac:dyDescent="0.25">
      <c r="A1097" s="25" t="str">
        <f ca="1">TEXT(Overig!A1097,"000\,")&amp;TEXT(Overig!B1097,"?00000000")&amp;TEXT(Overig!C1097,""", ""@")&amp;SUBSTITUTE(TEXT(IF(ISTEXT(Overig!D1097),Overig!D1097,10*Overig!D1097),""",""????0;"",""???-0;"",""????0;"", ////"""),"'","""")&amp;SUBSTITUTE(TEXT(Overig!E1097,""",""?00;"",""?-00;"",""?00;"", //"""),"'","""")&amp;SUBSTITUTE(TEXT(IF(ISTEXT(Overig!F1097),Overig!F1097,10*Overig!F1097),""",""????0;"",""???-0;"",""????0;"", ////"""),"'","""")&amp;SUBSTITUTE(TEXT(Overig!G1097,""",""?00;"",""?-00;"",""?00;"", //"""),"'","""")</f>
        <v>081, 19401231, 07.45, 7490, 00,  270, 00</v>
      </c>
    </row>
    <row r="1098" spans="1:1" x14ac:dyDescent="0.25">
      <c r="A1098" s="25" t="str">
        <f ca="1">TEXT(Overig!A1098,"000\,")&amp;TEXT(Overig!B1098,"?00000000")&amp;TEXT(Overig!C1098,""", ""@")&amp;SUBSTITUTE(TEXT(IF(ISTEXT(Overig!D1098),Overig!D1098,10*Overig!D1098),""",""????0;"",""???-0;"",""????0;"", ////"""),"'","""")&amp;SUBSTITUTE(TEXT(Overig!E1098,""",""?00;"",""?-00;"",""?00;"", //"""),"'","""")&amp;SUBSTITUTE(TEXT(IF(ISTEXT(Overig!F1098),Overig!F1098,10*Overig!F1098),""",""????0;"",""???-0;"",""????0;"", ////"""),"'","""")&amp;SUBSTITUTE(TEXT(Overig!G1098,""",""?00;"",""?-00;"",""?00;"", //"""),"'","""")</f>
        <v>081, 19401231, 13.45, 7500, 00,  290, 00</v>
      </c>
    </row>
    <row r="1099" spans="1:1" x14ac:dyDescent="0.25">
      <c r="A1099" s="25" t="str">
        <f ca="1">TEXT(Overig!A1099,"000\,")&amp;TEXT(Overig!B1099,"?00000000")&amp;TEXT(Overig!C1099,""", ""@")&amp;SUBSTITUTE(TEXT(IF(ISTEXT(Overig!D1099),Overig!D1099,10*Overig!D1099),""",""????0;"",""???-0;"",""????0;"", ////"""),"'","""")&amp;SUBSTITUTE(TEXT(Overig!E1099,""",""?00;"",""?-00;"",""?00;"", //"""),"'","""")&amp;SUBSTITUTE(TEXT(IF(ISTEXT(Overig!F1099),Overig!F1099,10*Overig!F1099),""",""????0;"",""???-0;"",""????0;"", ////"""),"'","""")&amp;SUBSTITUTE(TEXT(Overig!G1099,""",""?00;"",""?-00;"",""?00;"", //"""),"'","""")</f>
        <v>081, 19401231, 19.45, 7500, 00,  280, 00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9</vt:i4>
      </vt:variant>
    </vt:vector>
  </HeadingPairs>
  <TitlesOfParts>
    <vt:vector size="15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Lacking</vt:lpstr>
      <vt:lpstr>ME</vt:lpstr>
      <vt:lpstr>MS</vt:lpstr>
      <vt:lpstr>Ok</vt:lpstr>
      <vt:lpstr>Parameters</vt:lpstr>
      <vt:lpstr>Stations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Schiks, Connie (KNMI)</cp:lastModifiedBy>
  <dcterms:created xsi:type="dcterms:W3CDTF">2015-09-16T12:27:42Z</dcterms:created>
  <dcterms:modified xsi:type="dcterms:W3CDTF">2015-10-05T09:40:00Z</dcterms:modified>
</cp:coreProperties>
</file>