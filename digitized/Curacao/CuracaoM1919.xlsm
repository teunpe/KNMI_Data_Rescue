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<sst xmlns="http://schemas.openxmlformats.org/spreadsheetml/2006/main" count="927" uniqueCount="136">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</sst>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F349" activePane="bottomRight" state="frozen"/>
      <selection pane="topRight" activeCell="B1" sqref="B1"/>
      <selection pane="bottomLeft" activeCell="A5" sqref="A5"/>
      <selection pane="bottomRight" activeCell="U380" sqref="U380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6941</v>
      </c>
      <c r="B5" s="29">
        <v>780</v>
      </c>
      <c r="C5" s="29">
        <v>30090</v>
      </c>
      <c r="D5" s="29">
        <v>251</v>
      </c>
      <c r="E5" s="29">
        <v>29839</v>
      </c>
      <c r="F5" s="29">
        <v>2992</v>
      </c>
      <c r="G5" s="39"/>
      <c r="H5" s="40"/>
      <c r="I5" s="52"/>
      <c r="J5" s="53"/>
      <c r="K5" s="17"/>
      <c r="L5" s="39">
        <v>836</v>
      </c>
      <c r="M5" s="43">
        <v>712</v>
      </c>
      <c r="N5" s="45" t="s">
        <v>108</v>
      </c>
      <c r="O5" s="55">
        <v>3</v>
      </c>
      <c r="P5" s="56"/>
      <c r="Q5" s="74"/>
      <c r="R5" s="70">
        <v>65</v>
      </c>
      <c r="S5" s="19"/>
      <c r="T5" s="60"/>
      <c r="U5" s="59" t="s">
        <v>108</v>
      </c>
    </row>
    <row r="6" spans="1:21" ht="15" customHeight="1" x14ac:dyDescent="0.25">
      <c r="A6" s="1">
        <f t="shared" ref="A6:A70" ca="1" si="0">IF(ISTEXT(A5),A4+1,IF(MONTH(A5+1)=MONTH(A5),A5+1,"Totaal"))</f>
        <v>6942</v>
      </c>
      <c r="B6" s="29">
        <v>770</v>
      </c>
      <c r="C6" s="29">
        <v>30048</v>
      </c>
      <c r="D6" s="29">
        <v>248</v>
      </c>
      <c r="E6" s="29">
        <v>29800</v>
      </c>
      <c r="F6" s="29">
        <v>2988</v>
      </c>
      <c r="G6" s="39"/>
      <c r="H6" s="40"/>
      <c r="I6" s="52"/>
      <c r="J6" s="53"/>
      <c r="K6" s="17"/>
      <c r="L6" s="39">
        <v>827</v>
      </c>
      <c r="M6" s="43">
        <v>723</v>
      </c>
      <c r="N6" s="45" t="s">
        <v>104</v>
      </c>
      <c r="O6" s="55"/>
      <c r="P6" s="56"/>
      <c r="Q6" s="74"/>
      <c r="R6" s="70">
        <v>4</v>
      </c>
      <c r="S6" s="19"/>
      <c r="T6" s="60"/>
      <c r="U6" s="59"/>
    </row>
    <row r="7" spans="1:21" ht="15" customHeight="1" x14ac:dyDescent="0.25">
      <c r="A7" s="1">
        <f t="shared" ca="1" si="0"/>
        <v>6943</v>
      </c>
      <c r="B7" s="29">
        <v>770</v>
      </c>
      <c r="C7" s="29">
        <v>30053</v>
      </c>
      <c r="D7" s="29">
        <v>248</v>
      </c>
      <c r="E7" s="29">
        <v>29805</v>
      </c>
      <c r="F7" s="29">
        <v>2989</v>
      </c>
      <c r="G7" s="39"/>
      <c r="H7" s="40"/>
      <c r="I7" s="52"/>
      <c r="J7" s="53"/>
      <c r="K7" s="17"/>
      <c r="L7" s="39">
        <v>807</v>
      </c>
      <c r="M7" s="43">
        <v>720</v>
      </c>
      <c r="N7" s="45" t="s">
        <v>108</v>
      </c>
      <c r="O7" s="55">
        <v>3</v>
      </c>
      <c r="P7" s="56"/>
      <c r="Q7" s="74"/>
      <c r="R7" s="70">
        <v>48</v>
      </c>
      <c r="S7" s="19"/>
      <c r="T7" s="60"/>
      <c r="U7" s="59" t="s">
        <v>108</v>
      </c>
    </row>
    <row r="8" spans="1:21" ht="15" customHeight="1" x14ac:dyDescent="0.25">
      <c r="A8" s="1">
        <f t="shared" ca="1" si="0"/>
        <v>6944</v>
      </c>
      <c r="B8" s="29">
        <v>785</v>
      </c>
      <c r="C8" s="29">
        <v>30090</v>
      </c>
      <c r="D8" s="29">
        <v>252</v>
      </c>
      <c r="E8" s="29">
        <v>29838</v>
      </c>
      <c r="F8" s="29">
        <v>2992</v>
      </c>
      <c r="G8" s="39"/>
      <c r="H8" s="40"/>
      <c r="I8" s="52"/>
      <c r="J8" s="53"/>
      <c r="K8" s="17"/>
      <c r="L8" s="39">
        <v>831</v>
      </c>
      <c r="M8" s="43">
        <v>748</v>
      </c>
      <c r="N8" s="45" t="s">
        <v>104</v>
      </c>
      <c r="O8" s="55"/>
      <c r="P8" s="56"/>
      <c r="Q8" s="74"/>
      <c r="R8" s="70">
        <v>1</v>
      </c>
      <c r="S8" s="19"/>
      <c r="T8" s="60"/>
      <c r="U8" s="59"/>
    </row>
    <row r="9" spans="1:21" ht="15" customHeight="1" x14ac:dyDescent="0.25">
      <c r="A9" s="1">
        <f t="shared" ca="1" si="0"/>
        <v>6945</v>
      </c>
      <c r="B9" s="29">
        <v>790</v>
      </c>
      <c r="C9" s="29">
        <v>30130</v>
      </c>
      <c r="D9" s="29">
        <v>254</v>
      </c>
      <c r="E9" s="29">
        <v>29876</v>
      </c>
      <c r="F9" s="29">
        <v>2996</v>
      </c>
      <c r="G9" s="39"/>
      <c r="H9" s="40"/>
      <c r="I9" s="52"/>
      <c r="J9" s="53"/>
      <c r="K9" s="17"/>
      <c r="L9" s="39">
        <v>853</v>
      </c>
      <c r="M9" s="43">
        <v>749</v>
      </c>
      <c r="N9" s="45" t="s">
        <v>108</v>
      </c>
      <c r="O9" s="55">
        <v>3</v>
      </c>
      <c r="P9" s="56"/>
      <c r="Q9" s="74"/>
      <c r="R9" s="70">
        <v>0</v>
      </c>
      <c r="S9" s="19"/>
      <c r="T9" s="60"/>
      <c r="U9" s="59" t="s">
        <v>108</v>
      </c>
    </row>
    <row r="10" spans="1:21" ht="15" customHeight="1" x14ac:dyDescent="0.25">
      <c r="A10" s="1">
        <f t="shared" ca="1" si="0"/>
        <v>6946</v>
      </c>
      <c r="B10" s="29">
        <v>800</v>
      </c>
      <c r="C10" s="29">
        <v>30170</v>
      </c>
      <c r="D10" s="29">
        <v>256</v>
      </c>
      <c r="E10" s="29">
        <v>29914</v>
      </c>
      <c r="F10" s="29">
        <v>2999</v>
      </c>
      <c r="G10" s="39"/>
      <c r="H10" s="40"/>
      <c r="I10" s="52"/>
      <c r="J10" s="53"/>
      <c r="K10" s="17"/>
      <c r="L10" s="39">
        <v>850</v>
      </c>
      <c r="M10" s="43">
        <v>753</v>
      </c>
      <c r="N10" s="45" t="s">
        <v>110</v>
      </c>
      <c r="O10" s="55">
        <v>4</v>
      </c>
      <c r="P10" s="56"/>
      <c r="Q10" s="74"/>
      <c r="R10" s="70">
        <v>0</v>
      </c>
      <c r="S10" s="19"/>
      <c r="T10" s="60"/>
      <c r="U10" s="59" t="s">
        <v>110</v>
      </c>
    </row>
    <row r="11" spans="1:21" ht="15" customHeight="1" x14ac:dyDescent="0.25">
      <c r="A11" s="1">
        <f t="shared" ca="1" si="0"/>
        <v>6947</v>
      </c>
      <c r="B11" s="29">
        <v>800</v>
      </c>
      <c r="C11" s="29">
        <v>30189</v>
      </c>
      <c r="D11" s="29">
        <v>256</v>
      </c>
      <c r="E11" s="29">
        <v>29903</v>
      </c>
      <c r="F11" s="29">
        <v>2998</v>
      </c>
      <c r="G11" s="39"/>
      <c r="H11" s="40"/>
      <c r="I11" s="52"/>
      <c r="J11" s="53"/>
      <c r="K11" s="17"/>
      <c r="L11" s="39">
        <v>859</v>
      </c>
      <c r="M11" s="43">
        <v>746</v>
      </c>
      <c r="N11" s="45" t="s">
        <v>110</v>
      </c>
      <c r="O11" s="55">
        <v>3</v>
      </c>
      <c r="P11" s="56"/>
      <c r="Q11" s="74"/>
      <c r="R11" s="70">
        <v>0</v>
      </c>
      <c r="S11" s="19"/>
      <c r="T11" s="60"/>
      <c r="U11" s="59" t="s">
        <v>108</v>
      </c>
    </row>
    <row r="12" spans="1:21" ht="15" customHeight="1" x14ac:dyDescent="0.25">
      <c r="A12" s="1">
        <f t="shared" ca="1" si="0"/>
        <v>6948</v>
      </c>
      <c r="B12" s="29">
        <v>790</v>
      </c>
      <c r="C12" s="29">
        <v>30100</v>
      </c>
      <c r="D12" s="29">
        <v>254</v>
      </c>
      <c r="E12" s="29">
        <v>29856</v>
      </c>
      <c r="F12" s="29">
        <v>2994</v>
      </c>
      <c r="G12" s="39"/>
      <c r="H12" s="40"/>
      <c r="I12" s="52"/>
      <c r="J12" s="53"/>
      <c r="K12" s="17"/>
      <c r="L12" s="39">
        <v>840</v>
      </c>
      <c r="M12" s="43">
        <v>753</v>
      </c>
      <c r="N12" s="45" t="s">
        <v>108</v>
      </c>
      <c r="O12" s="55">
        <v>8</v>
      </c>
      <c r="P12" s="56"/>
      <c r="Q12" s="74"/>
      <c r="R12" s="70">
        <v>0</v>
      </c>
      <c r="S12" s="19"/>
      <c r="T12" s="60"/>
      <c r="U12" s="59" t="s">
        <v>108</v>
      </c>
    </row>
    <row r="13" spans="1:21" ht="15" customHeight="1" x14ac:dyDescent="0.25">
      <c r="A13" s="1">
        <f t="shared" ca="1" si="0"/>
        <v>6949</v>
      </c>
      <c r="B13" s="29">
        <v>795</v>
      </c>
      <c r="C13" s="29">
        <v>30092</v>
      </c>
      <c r="D13" s="29">
        <v>255</v>
      </c>
      <c r="E13" s="29">
        <v>29837</v>
      </c>
      <c r="F13" s="29">
        <v>2992</v>
      </c>
      <c r="G13" s="39"/>
      <c r="H13" s="40"/>
      <c r="I13" s="52"/>
      <c r="J13" s="53"/>
      <c r="K13" s="17"/>
      <c r="L13" s="39">
        <v>834</v>
      </c>
      <c r="M13" s="43">
        <v>770</v>
      </c>
      <c r="N13" s="45" t="s">
        <v>108</v>
      </c>
      <c r="O13" s="55">
        <v>10</v>
      </c>
      <c r="P13" s="56"/>
      <c r="Q13" s="74"/>
      <c r="R13" s="70">
        <v>0</v>
      </c>
      <c r="S13" s="19"/>
      <c r="T13" s="60"/>
      <c r="U13" s="59" t="s">
        <v>108</v>
      </c>
    </row>
    <row r="14" spans="1:21" ht="15" customHeight="1" x14ac:dyDescent="0.25">
      <c r="A14" s="1">
        <f t="shared" ca="1" si="0"/>
        <v>6950</v>
      </c>
      <c r="B14" s="29">
        <v>795</v>
      </c>
      <c r="C14" s="29">
        <v>30078</v>
      </c>
      <c r="D14" s="29">
        <v>255</v>
      </c>
      <c r="E14" s="29">
        <v>29823</v>
      </c>
      <c r="F14" s="29">
        <v>2990</v>
      </c>
      <c r="G14" s="39"/>
      <c r="H14" s="40"/>
      <c r="I14" s="52"/>
      <c r="J14" s="53"/>
      <c r="K14" s="17"/>
      <c r="L14" s="39">
        <v>846</v>
      </c>
      <c r="M14" s="43">
        <v>767</v>
      </c>
      <c r="N14" s="45" t="s">
        <v>110</v>
      </c>
      <c r="O14" s="55">
        <v>10</v>
      </c>
      <c r="P14" s="56"/>
      <c r="Q14" s="74"/>
      <c r="R14" s="70">
        <v>3</v>
      </c>
      <c r="S14" s="19"/>
      <c r="T14" s="60"/>
      <c r="U14" s="59" t="s">
        <v>108</v>
      </c>
    </row>
    <row r="15" spans="1:21" ht="15" customHeight="1" x14ac:dyDescent="0.25">
      <c r="A15" s="1">
        <f t="shared" ca="1" si="0"/>
        <v>6951</v>
      </c>
      <c r="B15" s="29">
        <v>800</v>
      </c>
      <c r="C15" s="29">
        <v>30091</v>
      </c>
      <c r="D15" s="29">
        <v>256</v>
      </c>
      <c r="E15" s="29">
        <v>29835</v>
      </c>
      <c r="F15" s="29">
        <v>2992</v>
      </c>
      <c r="G15" s="39"/>
      <c r="H15" s="40"/>
      <c r="I15" s="52"/>
      <c r="J15" s="53"/>
      <c r="K15" s="17"/>
      <c r="L15" s="39">
        <v>845</v>
      </c>
      <c r="M15" s="43">
        <v>772</v>
      </c>
      <c r="N15" s="45" t="s">
        <v>108</v>
      </c>
      <c r="O15" s="55">
        <v>8</v>
      </c>
      <c r="P15" s="56"/>
      <c r="Q15" s="74"/>
      <c r="R15" s="70">
        <v>0</v>
      </c>
      <c r="S15" s="19"/>
      <c r="T15" s="60"/>
      <c r="U15" s="59" t="s">
        <v>108</v>
      </c>
    </row>
    <row r="16" spans="1:21" ht="15" customHeight="1" x14ac:dyDescent="0.25">
      <c r="A16" s="1">
        <f t="shared" ca="1" si="0"/>
        <v>6952</v>
      </c>
      <c r="B16" s="29">
        <v>800</v>
      </c>
      <c r="C16" s="29">
        <v>30148</v>
      </c>
      <c r="D16" s="29">
        <v>256</v>
      </c>
      <c r="E16" s="29">
        <v>29892</v>
      </c>
      <c r="F16" s="29">
        <v>2997</v>
      </c>
      <c r="G16" s="39"/>
      <c r="H16" s="40"/>
      <c r="I16" s="52"/>
      <c r="J16" s="53"/>
      <c r="K16" s="17"/>
      <c r="L16" s="39">
        <v>840</v>
      </c>
      <c r="M16" s="43">
        <v>775</v>
      </c>
      <c r="N16" s="45" t="s">
        <v>110</v>
      </c>
      <c r="O16" s="55">
        <v>12</v>
      </c>
      <c r="P16" s="56"/>
      <c r="Q16" s="74"/>
      <c r="R16" s="70">
        <v>0</v>
      </c>
      <c r="S16" s="19"/>
      <c r="T16" s="60"/>
      <c r="U16" s="59" t="s">
        <v>110</v>
      </c>
    </row>
    <row r="17" spans="1:21" ht="15" customHeight="1" x14ac:dyDescent="0.25">
      <c r="A17" s="1">
        <f t="shared" ca="1" si="0"/>
        <v>6953</v>
      </c>
      <c r="B17" s="29">
        <v>790</v>
      </c>
      <c r="C17" s="29">
        <v>30118</v>
      </c>
      <c r="D17" s="29">
        <v>254</v>
      </c>
      <c r="E17" s="29">
        <v>29864</v>
      </c>
      <c r="F17" s="29">
        <v>2994</v>
      </c>
      <c r="G17" s="39"/>
      <c r="H17" s="40"/>
      <c r="I17" s="52"/>
      <c r="J17" s="53"/>
      <c r="K17" s="17"/>
      <c r="L17" s="39">
        <v>853</v>
      </c>
      <c r="M17" s="43">
        <v>749</v>
      </c>
      <c r="N17" s="45" t="s">
        <v>108</v>
      </c>
      <c r="O17" s="55">
        <v>6</v>
      </c>
      <c r="P17" s="56"/>
      <c r="Q17" s="74"/>
      <c r="R17" s="70">
        <v>0</v>
      </c>
      <c r="S17" s="19"/>
      <c r="T17" s="60"/>
      <c r="U17" s="59" t="s">
        <v>108</v>
      </c>
    </row>
    <row r="18" spans="1:21" ht="15" customHeight="1" x14ac:dyDescent="0.25">
      <c r="A18" s="1">
        <f t="shared" ca="1" si="0"/>
        <v>6954</v>
      </c>
      <c r="B18" s="29">
        <v>785</v>
      </c>
      <c r="C18" s="29">
        <v>30071</v>
      </c>
      <c r="D18" s="29">
        <v>252</v>
      </c>
      <c r="E18" s="29">
        <v>29819</v>
      </c>
      <c r="F18" s="29">
        <v>2990</v>
      </c>
      <c r="G18" s="39"/>
      <c r="H18" s="40"/>
      <c r="I18" s="52"/>
      <c r="J18" s="53"/>
      <c r="K18" s="17"/>
      <c r="L18" s="39">
        <v>837</v>
      </c>
      <c r="M18" s="43">
        <v>749</v>
      </c>
      <c r="N18" s="45" t="s">
        <v>110</v>
      </c>
      <c r="O18" s="55">
        <v>8</v>
      </c>
      <c r="P18" s="56"/>
      <c r="Q18" s="74"/>
      <c r="R18" s="70">
        <v>0</v>
      </c>
      <c r="S18" s="19"/>
      <c r="T18" s="60"/>
      <c r="U18" s="59" t="s">
        <v>110</v>
      </c>
    </row>
    <row r="19" spans="1:21" ht="15" customHeight="1" x14ac:dyDescent="0.25">
      <c r="A19" s="1">
        <f t="shared" ca="1" si="0"/>
        <v>6955</v>
      </c>
      <c r="B19" s="29">
        <v>800</v>
      </c>
      <c r="C19" s="29">
        <v>30079</v>
      </c>
      <c r="D19" s="29">
        <v>256</v>
      </c>
      <c r="E19" s="29">
        <v>29823</v>
      </c>
      <c r="F19" s="29">
        <v>2990</v>
      </c>
      <c r="G19" s="39"/>
      <c r="H19" s="40"/>
      <c r="I19" s="52"/>
      <c r="J19" s="53"/>
      <c r="K19" s="17"/>
      <c r="L19" s="39">
        <v>836</v>
      </c>
      <c r="M19" s="43">
        <v>750</v>
      </c>
      <c r="N19" s="45" t="s">
        <v>108</v>
      </c>
      <c r="O19" s="55">
        <v>6</v>
      </c>
      <c r="P19" s="56"/>
      <c r="Q19" s="74"/>
      <c r="R19" s="70">
        <v>0</v>
      </c>
      <c r="S19" s="19"/>
      <c r="T19" s="60"/>
      <c r="U19" s="59" t="s">
        <v>108</v>
      </c>
    </row>
    <row r="20" spans="1:21" ht="15" customHeight="1" x14ac:dyDescent="0.25">
      <c r="A20" s="1">
        <f t="shared" ca="1" si="0"/>
        <v>6956</v>
      </c>
      <c r="B20" s="29">
        <v>800</v>
      </c>
      <c r="C20" s="29">
        <v>30091</v>
      </c>
      <c r="D20" s="29">
        <v>256</v>
      </c>
      <c r="E20" s="29">
        <v>29835</v>
      </c>
      <c r="F20" s="29">
        <v>2992</v>
      </c>
      <c r="G20" s="39"/>
      <c r="H20" s="40"/>
      <c r="I20" s="52"/>
      <c r="J20" s="53"/>
      <c r="K20" s="17"/>
      <c r="L20" s="39">
        <v>843</v>
      </c>
      <c r="M20" s="43">
        <v>761</v>
      </c>
      <c r="N20" s="45" t="s">
        <v>108</v>
      </c>
      <c r="O20" s="55">
        <v>12</v>
      </c>
      <c r="P20" s="56"/>
      <c r="Q20" s="74"/>
      <c r="R20" s="70">
        <v>0</v>
      </c>
      <c r="S20" s="19"/>
      <c r="T20" s="60"/>
      <c r="U20" s="59" t="s">
        <v>108</v>
      </c>
    </row>
    <row r="21" spans="1:21" ht="15" customHeight="1" x14ac:dyDescent="0.25">
      <c r="A21" s="1">
        <f t="shared" ca="1" si="0"/>
        <v>6957</v>
      </c>
      <c r="B21" s="29">
        <v>795</v>
      </c>
      <c r="C21" s="29">
        <v>30117</v>
      </c>
      <c r="D21" s="29">
        <v>255</v>
      </c>
      <c r="E21" s="29">
        <v>29862</v>
      </c>
      <c r="F21" s="29">
        <v>2994</v>
      </c>
      <c r="G21" s="39"/>
      <c r="H21" s="40"/>
      <c r="I21" s="52"/>
      <c r="J21" s="53"/>
      <c r="K21" s="17"/>
      <c r="L21" s="39">
        <v>841</v>
      </c>
      <c r="M21" s="43">
        <v>760</v>
      </c>
      <c r="N21" s="45" t="s">
        <v>110</v>
      </c>
      <c r="O21" s="55">
        <v>9</v>
      </c>
      <c r="P21" s="56"/>
      <c r="Q21" s="74"/>
      <c r="R21" s="70">
        <v>0</v>
      </c>
      <c r="S21" s="19"/>
      <c r="T21" s="60"/>
      <c r="U21" s="59" t="s">
        <v>108</v>
      </c>
    </row>
    <row r="22" spans="1:21" ht="15" customHeight="1" x14ac:dyDescent="0.25">
      <c r="A22" s="1">
        <f t="shared" ca="1" si="0"/>
        <v>6958</v>
      </c>
      <c r="B22" s="29">
        <v>790</v>
      </c>
      <c r="C22" s="29">
        <v>30090</v>
      </c>
      <c r="D22" s="29">
        <v>254</v>
      </c>
      <c r="E22" s="29">
        <v>29836</v>
      </c>
      <c r="F22" s="29">
        <v>2992</v>
      </c>
      <c r="G22" s="39"/>
      <c r="H22" s="40"/>
      <c r="I22" s="52"/>
      <c r="J22" s="53"/>
      <c r="K22" s="17"/>
      <c r="L22" s="39">
        <v>831</v>
      </c>
      <c r="M22" s="43">
        <v>748</v>
      </c>
      <c r="N22" s="45" t="s">
        <v>106</v>
      </c>
      <c r="O22" s="55">
        <v>10</v>
      </c>
      <c r="P22" s="56"/>
      <c r="Q22" s="74"/>
      <c r="R22" s="70">
        <v>2</v>
      </c>
      <c r="S22" s="19"/>
      <c r="T22" s="60"/>
      <c r="U22" s="59" t="s">
        <v>108</v>
      </c>
    </row>
    <row r="23" spans="1:21" ht="15" customHeight="1" x14ac:dyDescent="0.25">
      <c r="A23" s="1">
        <f t="shared" ca="1" si="0"/>
        <v>6959</v>
      </c>
      <c r="B23" s="29">
        <v>780</v>
      </c>
      <c r="C23" s="29">
        <v>30093</v>
      </c>
      <c r="D23" s="29">
        <v>251</v>
      </c>
      <c r="E23" s="29">
        <v>29842</v>
      </c>
      <c r="F23" s="29">
        <v>2992</v>
      </c>
      <c r="G23" s="39"/>
      <c r="H23" s="40"/>
      <c r="I23" s="52"/>
      <c r="J23" s="53"/>
      <c r="K23" s="17"/>
      <c r="L23" s="39">
        <v>837</v>
      </c>
      <c r="M23" s="43">
        <v>731</v>
      </c>
      <c r="N23" s="45" t="s">
        <v>110</v>
      </c>
      <c r="O23" s="55">
        <v>5</v>
      </c>
      <c r="P23" s="56"/>
      <c r="Q23" s="74"/>
      <c r="R23" s="70">
        <v>0</v>
      </c>
      <c r="S23" s="19"/>
      <c r="T23" s="60"/>
      <c r="U23" s="59" t="s">
        <v>110</v>
      </c>
    </row>
    <row r="24" spans="1:21" ht="15" customHeight="1" x14ac:dyDescent="0.25">
      <c r="A24" s="1">
        <f t="shared" ca="1" si="0"/>
        <v>6960</v>
      </c>
      <c r="B24" s="29">
        <v>785</v>
      </c>
      <c r="C24" s="29">
        <v>30076</v>
      </c>
      <c r="D24" s="29">
        <v>252</v>
      </c>
      <c r="E24" s="29">
        <v>29824</v>
      </c>
      <c r="F24" s="29">
        <v>2990</v>
      </c>
      <c r="G24" s="39"/>
      <c r="H24" s="40"/>
      <c r="I24" s="52"/>
      <c r="J24" s="53"/>
      <c r="K24" s="17"/>
      <c r="L24" s="39">
        <v>830</v>
      </c>
      <c r="M24" s="43">
        <v>772</v>
      </c>
      <c r="N24" s="45" t="s">
        <v>106</v>
      </c>
      <c r="O24" s="55">
        <v>3</v>
      </c>
      <c r="P24" s="56"/>
      <c r="Q24" s="74"/>
      <c r="R24" s="70">
        <v>8</v>
      </c>
      <c r="S24" s="19"/>
      <c r="T24" s="60"/>
      <c r="U24" s="59" t="s">
        <v>108</v>
      </c>
    </row>
    <row r="25" spans="1:21" ht="15" customHeight="1" x14ac:dyDescent="0.25">
      <c r="A25" s="1">
        <f t="shared" ca="1" si="0"/>
        <v>6961</v>
      </c>
      <c r="B25" s="29">
        <v>795</v>
      </c>
      <c r="C25" s="29">
        <v>30080</v>
      </c>
      <c r="D25" s="29">
        <v>255</v>
      </c>
      <c r="E25" s="29">
        <v>29825</v>
      </c>
      <c r="F25" s="29">
        <v>2991</v>
      </c>
      <c r="G25" s="39"/>
      <c r="H25" s="40"/>
      <c r="I25" s="52"/>
      <c r="J25" s="53"/>
      <c r="K25" s="17"/>
      <c r="L25" s="39">
        <v>834</v>
      </c>
      <c r="M25" s="43">
        <v>740</v>
      </c>
      <c r="N25" s="45" t="s">
        <v>108</v>
      </c>
      <c r="O25" s="55">
        <v>6</v>
      </c>
      <c r="P25" s="56"/>
      <c r="Q25" s="74"/>
      <c r="R25" s="70">
        <v>0</v>
      </c>
      <c r="S25" s="19"/>
      <c r="T25" s="60"/>
      <c r="U25" s="59" t="s">
        <v>108</v>
      </c>
    </row>
    <row r="26" spans="1:21" ht="15" customHeight="1" x14ac:dyDescent="0.25">
      <c r="A26" s="1">
        <f t="shared" ca="1" si="0"/>
        <v>6962</v>
      </c>
      <c r="B26" s="29">
        <v>785</v>
      </c>
      <c r="C26" s="29">
        <v>30068</v>
      </c>
      <c r="D26" s="29">
        <v>252</v>
      </c>
      <c r="E26" s="29">
        <v>29816</v>
      </c>
      <c r="F26" s="29">
        <v>2990</v>
      </c>
      <c r="G26" s="39"/>
      <c r="H26" s="40"/>
      <c r="I26" s="52"/>
      <c r="J26" s="53"/>
      <c r="K26" s="17"/>
      <c r="L26" s="39">
        <v>840</v>
      </c>
      <c r="M26" s="43">
        <v>752</v>
      </c>
      <c r="N26" s="45" t="s">
        <v>108</v>
      </c>
      <c r="O26" s="55">
        <v>5</v>
      </c>
      <c r="P26" s="56"/>
      <c r="Q26" s="74"/>
      <c r="R26" s="70">
        <v>0</v>
      </c>
      <c r="S26" s="19"/>
      <c r="T26" s="60"/>
      <c r="U26" s="59" t="s">
        <v>108</v>
      </c>
    </row>
    <row r="27" spans="1:21" ht="15" customHeight="1" x14ac:dyDescent="0.25">
      <c r="A27" s="1">
        <f t="shared" ca="1" si="0"/>
        <v>6963</v>
      </c>
      <c r="B27" s="29">
        <v>790</v>
      </c>
      <c r="C27" s="29">
        <v>30070</v>
      </c>
      <c r="D27" s="29">
        <v>254</v>
      </c>
      <c r="E27" s="29">
        <v>29816</v>
      </c>
      <c r="F27" s="29">
        <v>2990</v>
      </c>
      <c r="G27" s="39"/>
      <c r="H27" s="40"/>
      <c r="I27" s="52"/>
      <c r="J27" s="53"/>
      <c r="K27" s="17"/>
      <c r="L27" s="39">
        <v>842</v>
      </c>
      <c r="M27" s="43">
        <v>746</v>
      </c>
      <c r="N27" s="45" t="s">
        <v>108</v>
      </c>
      <c r="O27" s="55">
        <v>5</v>
      </c>
      <c r="P27" s="56"/>
      <c r="Q27" s="74"/>
      <c r="R27" s="70">
        <v>0</v>
      </c>
      <c r="S27" s="19"/>
      <c r="T27" s="60"/>
      <c r="U27" s="59" t="s">
        <v>108</v>
      </c>
    </row>
    <row r="28" spans="1:21" ht="15" customHeight="1" x14ac:dyDescent="0.25">
      <c r="A28" s="1">
        <f t="shared" ca="1" si="0"/>
        <v>6964</v>
      </c>
      <c r="B28" s="29">
        <v>780</v>
      </c>
      <c r="C28" s="29">
        <v>30053</v>
      </c>
      <c r="D28" s="29">
        <v>251</v>
      </c>
      <c r="E28" s="29">
        <v>29802</v>
      </c>
      <c r="F28" s="29">
        <v>2988</v>
      </c>
      <c r="G28" s="39"/>
      <c r="H28" s="40"/>
      <c r="I28" s="52"/>
      <c r="J28" s="53"/>
      <c r="K28" s="17"/>
      <c r="L28" s="39">
        <v>837</v>
      </c>
      <c r="M28" s="43">
        <v>774</v>
      </c>
      <c r="N28" s="45" t="s">
        <v>110</v>
      </c>
      <c r="O28" s="55">
        <v>3</v>
      </c>
      <c r="P28" s="56"/>
      <c r="Q28" s="74"/>
      <c r="R28" s="70">
        <v>0</v>
      </c>
      <c r="S28" s="19"/>
      <c r="T28" s="60"/>
      <c r="U28" s="59" t="s">
        <v>108</v>
      </c>
    </row>
    <row r="29" spans="1:21" ht="15" customHeight="1" x14ac:dyDescent="0.25">
      <c r="A29" s="1">
        <f t="shared" ca="1" si="0"/>
        <v>6965</v>
      </c>
      <c r="B29" s="29">
        <v>780</v>
      </c>
      <c r="C29" s="29">
        <v>30037</v>
      </c>
      <c r="D29" s="29">
        <v>251</v>
      </c>
      <c r="E29" s="29">
        <v>29786</v>
      </c>
      <c r="F29" s="29">
        <v>2987</v>
      </c>
      <c r="G29" s="39"/>
      <c r="H29" s="40"/>
      <c r="I29" s="52"/>
      <c r="J29" s="53"/>
      <c r="K29" s="17"/>
      <c r="L29" s="39">
        <v>836</v>
      </c>
      <c r="M29" s="43">
        <v>742</v>
      </c>
      <c r="N29" s="45" t="s">
        <v>108</v>
      </c>
      <c r="O29" s="55">
        <v>6</v>
      </c>
      <c r="P29" s="56"/>
      <c r="Q29" s="74"/>
      <c r="R29" s="70">
        <v>0</v>
      </c>
      <c r="S29" s="19"/>
      <c r="T29" s="60"/>
      <c r="U29" s="59" t="s">
        <v>108</v>
      </c>
    </row>
    <row r="30" spans="1:21" ht="15" customHeight="1" x14ac:dyDescent="0.25">
      <c r="A30" s="1">
        <f t="shared" ca="1" si="0"/>
        <v>6966</v>
      </c>
      <c r="B30" s="29">
        <v>785</v>
      </c>
      <c r="C30" s="29">
        <v>30060</v>
      </c>
      <c r="D30" s="29">
        <v>252</v>
      </c>
      <c r="E30" s="29">
        <v>29808</v>
      </c>
      <c r="F30" s="29">
        <v>2989</v>
      </c>
      <c r="G30" s="39"/>
      <c r="H30" s="40"/>
      <c r="I30" s="52"/>
      <c r="J30" s="53"/>
      <c r="K30" s="17"/>
      <c r="L30" s="39">
        <v>840</v>
      </c>
      <c r="M30" s="43">
        <v>738</v>
      </c>
      <c r="N30" s="45" t="s">
        <v>106</v>
      </c>
      <c r="O30" s="55">
        <v>5</v>
      </c>
      <c r="P30" s="56"/>
      <c r="Q30" s="74"/>
      <c r="R30" s="70">
        <v>0</v>
      </c>
      <c r="S30" s="19"/>
      <c r="T30" s="60"/>
      <c r="U30" s="59" t="s">
        <v>106</v>
      </c>
    </row>
    <row r="31" spans="1:21" ht="15" customHeight="1" x14ac:dyDescent="0.25">
      <c r="A31" s="1">
        <f t="shared" ca="1" si="0"/>
        <v>6967</v>
      </c>
      <c r="B31" s="29">
        <v>790</v>
      </c>
      <c r="C31" s="29">
        <v>30073</v>
      </c>
      <c r="D31" s="29">
        <v>254</v>
      </c>
      <c r="E31" s="29">
        <v>29819</v>
      </c>
      <c r="F31" s="29">
        <v>2990</v>
      </c>
      <c r="G31" s="39"/>
      <c r="H31" s="40"/>
      <c r="I31" s="52"/>
      <c r="J31" s="53"/>
      <c r="K31" s="17"/>
      <c r="L31" s="39">
        <v>836</v>
      </c>
      <c r="M31" s="43">
        <v>741</v>
      </c>
      <c r="N31" s="45" t="s">
        <v>110</v>
      </c>
      <c r="O31" s="55">
        <v>6</v>
      </c>
      <c r="P31" s="56"/>
      <c r="Q31" s="74"/>
      <c r="R31" s="70">
        <v>4</v>
      </c>
      <c r="S31" s="19"/>
      <c r="T31" s="60"/>
      <c r="U31" s="59" t="s">
        <v>108</v>
      </c>
    </row>
    <row r="32" spans="1:21" ht="15" customHeight="1" x14ac:dyDescent="0.25">
      <c r="A32" s="1">
        <f t="shared" ca="1" si="0"/>
        <v>6968</v>
      </c>
      <c r="B32" s="29">
        <v>795</v>
      </c>
      <c r="C32" s="29">
        <v>30094</v>
      </c>
      <c r="D32" s="29">
        <v>255</v>
      </c>
      <c r="E32" s="29">
        <v>29839</v>
      </c>
      <c r="F32" s="29">
        <v>2992</v>
      </c>
      <c r="G32" s="39"/>
      <c r="H32" s="40"/>
      <c r="I32" s="52"/>
      <c r="J32" s="53"/>
      <c r="K32" s="17"/>
      <c r="L32" s="39">
        <v>833</v>
      </c>
      <c r="M32" s="43">
        <v>765</v>
      </c>
      <c r="N32" s="45" t="s">
        <v>108</v>
      </c>
      <c r="O32" s="55">
        <v>8</v>
      </c>
      <c r="P32" s="56"/>
      <c r="Q32" s="74"/>
      <c r="R32" s="70">
        <v>3</v>
      </c>
      <c r="S32" s="19"/>
      <c r="T32" s="60"/>
      <c r="U32" s="59" t="s">
        <v>108</v>
      </c>
    </row>
    <row r="33" spans="1:21" ht="15" customHeight="1" x14ac:dyDescent="0.25">
      <c r="A33" s="1">
        <f t="shared" ca="1" si="0"/>
        <v>6969</v>
      </c>
      <c r="B33" s="29">
        <v>795</v>
      </c>
      <c r="C33" s="29">
        <v>30052</v>
      </c>
      <c r="D33" s="29">
        <v>255</v>
      </c>
      <c r="E33" s="29">
        <v>29797</v>
      </c>
      <c r="F33" s="29">
        <v>2988</v>
      </c>
      <c r="G33" s="39"/>
      <c r="H33" s="40"/>
      <c r="I33" s="52"/>
      <c r="J33" s="53"/>
      <c r="K33" s="17"/>
      <c r="L33" s="39">
        <v>835</v>
      </c>
      <c r="M33" s="43">
        <v>759</v>
      </c>
      <c r="N33" s="45" t="s">
        <v>108</v>
      </c>
      <c r="O33" s="55">
        <v>9</v>
      </c>
      <c r="P33" s="56"/>
      <c r="Q33" s="74"/>
      <c r="R33" s="70">
        <v>0</v>
      </c>
      <c r="S33" s="19"/>
      <c r="T33" s="60"/>
      <c r="U33" s="59" t="s">
        <v>108</v>
      </c>
    </row>
    <row r="34" spans="1:21" ht="15" customHeight="1" x14ac:dyDescent="0.25">
      <c r="A34" s="1">
        <f t="shared" ca="1" si="0"/>
        <v>6970</v>
      </c>
      <c r="B34" s="29">
        <v>795</v>
      </c>
      <c r="C34" s="29">
        <v>30040</v>
      </c>
      <c r="D34" s="29">
        <v>255</v>
      </c>
      <c r="E34" s="29">
        <v>29785</v>
      </c>
      <c r="F34" s="29">
        <v>2987</v>
      </c>
      <c r="G34" s="39"/>
      <c r="H34" s="40"/>
      <c r="I34" s="52"/>
      <c r="J34" s="53"/>
      <c r="K34" s="17"/>
      <c r="L34" s="39">
        <v>840</v>
      </c>
      <c r="M34" s="43">
        <v>763</v>
      </c>
      <c r="N34" s="45" t="s">
        <v>106</v>
      </c>
      <c r="O34" s="55">
        <v>8</v>
      </c>
      <c r="P34" s="56"/>
      <c r="Q34" s="74"/>
      <c r="R34" s="70">
        <v>0</v>
      </c>
      <c r="S34" s="19"/>
      <c r="T34" s="60"/>
      <c r="U34" s="59" t="s">
        <v>108</v>
      </c>
    </row>
    <row r="35" spans="1:21" ht="15" customHeight="1" x14ac:dyDescent="0.25">
      <c r="A35" s="1">
        <f t="shared" ca="1" si="0"/>
        <v>6971</v>
      </c>
      <c r="B35" s="29">
        <v>800</v>
      </c>
      <c r="C35" s="29">
        <v>30054</v>
      </c>
      <c r="D35" s="29">
        <v>256</v>
      </c>
      <c r="E35" s="29">
        <v>29798</v>
      </c>
      <c r="F35" s="29">
        <v>2988</v>
      </c>
      <c r="G35" s="39"/>
      <c r="H35" s="40"/>
      <c r="I35" s="52"/>
      <c r="J35" s="53"/>
      <c r="K35" s="17"/>
      <c r="L35" s="39">
        <v>850</v>
      </c>
      <c r="M35" s="43">
        <v>771</v>
      </c>
      <c r="N35" s="45" t="s">
        <v>108</v>
      </c>
      <c r="O35" s="55">
        <v>12</v>
      </c>
      <c r="P35" s="56"/>
      <c r="Q35" s="74"/>
      <c r="R35" s="70">
        <v>0</v>
      </c>
      <c r="S35" s="19"/>
      <c r="T35" s="60"/>
      <c r="U35" s="59" t="s">
        <v>108</v>
      </c>
    </row>
    <row r="36" spans="1:21" x14ac:dyDescent="0.25">
      <c r="A36" s="1" t="str">
        <f t="shared" ca="1" si="0"/>
        <v>Totaal</v>
      </c>
      <c r="B36" s="61">
        <f>IF(COUNT(B5:B35)&gt;0,AVERAGE(B5:B35)/10,"")</f>
        <v>79</v>
      </c>
      <c r="C36" s="62">
        <f>IF(COUNT(C5:C35)&gt;0,AVERAGE(C5:C35)/1000,"")</f>
        <v>30.086935483870967</v>
      </c>
      <c r="D36" s="62">
        <f t="shared" ref="D36:E36" si="1">IF(COUNT(D5:D35)&gt;0,AVERAGE(D5:D35)/1000,"")</f>
        <v>0.25358064516129031</v>
      </c>
      <c r="E36" s="62">
        <f t="shared" si="1"/>
        <v>29.832709677419356</v>
      </c>
      <c r="F36" s="62">
        <f>IF(COUNT(F5:F35)&gt;0,AVERAGE(F5:F35)/100,"")</f>
        <v>29.913870967741936</v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>
        <f>IF(COUNT(L5:L35)&gt;0,AVERAGE(L5:L35)/10,"")</f>
        <v>83.867741935483863</v>
      </c>
      <c r="M36" s="44">
        <f>IF(COUNT(M5:M35)&gt;0,AVERAGE(M5:M35)/10,"")</f>
        <v>75.158064516129031</v>
      </c>
      <c r="N36" s="46"/>
      <c r="O36" s="57">
        <f>IF(COUNT(O5:O35)&gt;0,AVERAGE(O5:O35),"")</f>
        <v>6.7586206896551726</v>
      </c>
      <c r="P36" s="58" t="str">
        <f>IF(COUNT(P5:P35)&gt;0,AVERAGE(P5:P35),"")</f>
        <v/>
      </c>
      <c r="Q36" s="47"/>
      <c r="R36" s="68">
        <f>IF(COUNT(R5:R35)&gt;0,SUM(R5:R35)/100,"")</f>
        <v>1.38</v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6972</v>
      </c>
      <c r="B37" s="29">
        <v>800</v>
      </c>
      <c r="C37" s="29">
        <v>30040</v>
      </c>
      <c r="D37" s="29">
        <v>256</v>
      </c>
      <c r="E37" s="29">
        <v>29784</v>
      </c>
      <c r="F37" s="29">
        <v>2986</v>
      </c>
      <c r="G37" s="39"/>
      <c r="H37" s="40"/>
      <c r="I37" s="52"/>
      <c r="J37" s="53"/>
      <c r="K37" s="17"/>
      <c r="L37" s="39">
        <v>841</v>
      </c>
      <c r="M37" s="43">
        <v>770</v>
      </c>
      <c r="N37" s="45" t="s">
        <v>108</v>
      </c>
      <c r="O37" s="55">
        <v>12</v>
      </c>
      <c r="P37" s="56"/>
      <c r="Q37" s="74"/>
      <c r="R37" s="70">
        <v>0</v>
      </c>
      <c r="S37" s="19"/>
      <c r="T37" s="60"/>
      <c r="U37" s="59" t="s">
        <v>108</v>
      </c>
    </row>
    <row r="38" spans="1:21" ht="15" customHeight="1" x14ac:dyDescent="0.25">
      <c r="A38" s="1">
        <f t="shared" ca="1" si="0"/>
        <v>6973</v>
      </c>
      <c r="B38" s="29">
        <v>800</v>
      </c>
      <c r="C38" s="29">
        <v>30028</v>
      </c>
      <c r="D38" s="29">
        <v>256</v>
      </c>
      <c r="E38" s="29">
        <v>29772</v>
      </c>
      <c r="F38" s="29">
        <v>2985</v>
      </c>
      <c r="G38" s="39"/>
      <c r="H38" s="40"/>
      <c r="I38" s="52"/>
      <c r="J38" s="53"/>
      <c r="K38" s="17"/>
      <c r="L38" s="39">
        <v>837</v>
      </c>
      <c r="M38" s="43">
        <v>771</v>
      </c>
      <c r="N38" s="45" t="s">
        <v>108</v>
      </c>
      <c r="O38" s="55">
        <v>8</v>
      </c>
      <c r="P38" s="56"/>
      <c r="Q38" s="74"/>
      <c r="R38" s="70">
        <v>0</v>
      </c>
      <c r="S38" s="19"/>
      <c r="T38" s="60"/>
      <c r="U38" s="59" t="s">
        <v>108</v>
      </c>
    </row>
    <row r="39" spans="1:21" ht="15" customHeight="1" x14ac:dyDescent="0.25">
      <c r="A39" s="1">
        <f t="shared" ca="1" si="0"/>
        <v>6974</v>
      </c>
      <c r="B39" s="29">
        <v>810</v>
      </c>
      <c r="C39" s="29">
        <v>30052</v>
      </c>
      <c r="D39" s="29">
        <v>259</v>
      </c>
      <c r="E39" s="29">
        <v>29793</v>
      </c>
      <c r="F39" s="29">
        <v>2987</v>
      </c>
      <c r="G39" s="39"/>
      <c r="H39" s="40"/>
      <c r="I39" s="52"/>
      <c r="J39" s="53"/>
      <c r="K39" s="17"/>
      <c r="L39" s="39">
        <v>854</v>
      </c>
      <c r="M39" s="43">
        <v>772</v>
      </c>
      <c r="N39" s="45" t="s">
        <v>108</v>
      </c>
      <c r="O39" s="55">
        <v>8</v>
      </c>
      <c r="P39" s="56"/>
      <c r="Q39" s="74"/>
      <c r="R39" s="70">
        <v>0</v>
      </c>
      <c r="S39" s="19"/>
      <c r="T39" s="60"/>
      <c r="U39" s="59" t="s">
        <v>108</v>
      </c>
    </row>
    <row r="40" spans="1:21" ht="15" customHeight="1" x14ac:dyDescent="0.25">
      <c r="A40" s="1">
        <f t="shared" ca="1" si="0"/>
        <v>6975</v>
      </c>
      <c r="B40" s="29">
        <v>805</v>
      </c>
      <c r="C40" s="29">
        <v>30071</v>
      </c>
      <c r="D40" s="29">
        <v>258</v>
      </c>
      <c r="E40" s="29">
        <v>29813</v>
      </c>
      <c r="F40" s="29">
        <v>2989</v>
      </c>
      <c r="G40" s="39"/>
      <c r="H40" s="40"/>
      <c r="I40" s="52"/>
      <c r="J40" s="53"/>
      <c r="K40" s="17"/>
      <c r="L40" s="39">
        <v>843</v>
      </c>
      <c r="M40" s="43">
        <v>772</v>
      </c>
      <c r="N40" s="45" t="s">
        <v>110</v>
      </c>
      <c r="O40" s="55">
        <v>8</v>
      </c>
      <c r="P40" s="56"/>
      <c r="Q40" s="74"/>
      <c r="R40" s="70">
        <v>0</v>
      </c>
      <c r="S40" s="19"/>
      <c r="T40" s="60"/>
      <c r="U40" s="59" t="s">
        <v>108</v>
      </c>
    </row>
    <row r="41" spans="1:21" ht="15" customHeight="1" x14ac:dyDescent="0.25">
      <c r="A41" s="1">
        <f t="shared" ca="1" si="0"/>
        <v>6976</v>
      </c>
      <c r="B41" s="29">
        <v>805</v>
      </c>
      <c r="C41" s="29">
        <v>30081</v>
      </c>
      <c r="D41" s="29">
        <v>258</v>
      </c>
      <c r="E41" s="29">
        <v>29823</v>
      </c>
      <c r="F41" s="29">
        <v>2990</v>
      </c>
      <c r="G41" s="39"/>
      <c r="H41" s="40"/>
      <c r="I41" s="52"/>
      <c r="J41" s="53"/>
      <c r="K41" s="17"/>
      <c r="L41" s="39">
        <v>840</v>
      </c>
      <c r="M41" s="43">
        <v>760</v>
      </c>
      <c r="N41" s="45" t="s">
        <v>108</v>
      </c>
      <c r="O41" s="55">
        <v>8</v>
      </c>
      <c r="P41" s="56"/>
      <c r="Q41" s="74"/>
      <c r="R41" s="70">
        <v>0</v>
      </c>
      <c r="S41" s="19"/>
      <c r="T41" s="60"/>
      <c r="U41" s="59" t="s">
        <v>110</v>
      </c>
    </row>
    <row r="42" spans="1:21" ht="15" customHeight="1" x14ac:dyDescent="0.25">
      <c r="A42" s="1">
        <f t="shared" ca="1" si="0"/>
        <v>6977</v>
      </c>
      <c r="B42" s="29">
        <v>795</v>
      </c>
      <c r="C42" s="29">
        <v>30069</v>
      </c>
      <c r="D42" s="29">
        <v>255</v>
      </c>
      <c r="E42" s="29">
        <v>29814</v>
      </c>
      <c r="F42" s="29">
        <v>2989</v>
      </c>
      <c r="G42" s="39"/>
      <c r="H42" s="40"/>
      <c r="I42" s="52"/>
      <c r="J42" s="53"/>
      <c r="K42" s="17"/>
      <c r="L42" s="39">
        <v>849</v>
      </c>
      <c r="M42" s="43">
        <v>746</v>
      </c>
      <c r="N42" s="45" t="s">
        <v>108</v>
      </c>
      <c r="O42" s="55">
        <v>4</v>
      </c>
      <c r="P42" s="56"/>
      <c r="Q42" s="74"/>
      <c r="R42" s="70">
        <v>0</v>
      </c>
      <c r="S42" s="19"/>
      <c r="T42" s="60"/>
      <c r="U42" s="59" t="s">
        <v>108</v>
      </c>
    </row>
    <row r="43" spans="1:21" ht="15" customHeight="1" x14ac:dyDescent="0.25">
      <c r="A43" s="1">
        <f t="shared" ca="1" si="0"/>
        <v>6978</v>
      </c>
      <c r="B43" s="29">
        <v>800</v>
      </c>
      <c r="C43" s="29">
        <v>30108</v>
      </c>
      <c r="D43" s="29">
        <v>256</v>
      </c>
      <c r="E43" s="29">
        <v>29852</v>
      </c>
      <c r="F43" s="29">
        <v>2993</v>
      </c>
      <c r="G43" s="39"/>
      <c r="H43" s="40"/>
      <c r="I43" s="52"/>
      <c r="J43" s="53"/>
      <c r="K43" s="17"/>
      <c r="L43" s="39">
        <v>847</v>
      </c>
      <c r="M43" s="43">
        <v>751</v>
      </c>
      <c r="N43" s="45" t="s">
        <v>108</v>
      </c>
      <c r="O43" s="55">
        <v>5</v>
      </c>
      <c r="P43" s="56"/>
      <c r="Q43" s="74"/>
      <c r="R43" s="70">
        <v>0</v>
      </c>
      <c r="S43" s="19"/>
      <c r="T43" s="60"/>
      <c r="U43" s="59" t="s">
        <v>108</v>
      </c>
    </row>
    <row r="44" spans="1:21" ht="15" customHeight="1" x14ac:dyDescent="0.25">
      <c r="A44" s="1">
        <f t="shared" ca="1" si="0"/>
        <v>6979</v>
      </c>
      <c r="B44" s="29">
        <v>805</v>
      </c>
      <c r="C44" s="29">
        <v>30158</v>
      </c>
      <c r="D44" s="29">
        <v>258</v>
      </c>
      <c r="E44" s="29">
        <v>29900</v>
      </c>
      <c r="F44" s="29">
        <v>2998</v>
      </c>
      <c r="G44" s="39"/>
      <c r="H44" s="40"/>
      <c r="I44" s="52"/>
      <c r="J44" s="53"/>
      <c r="K44" s="17"/>
      <c r="L44" s="39">
        <v>844</v>
      </c>
      <c r="M44" s="43">
        <v>756</v>
      </c>
      <c r="N44" s="45" t="s">
        <v>108</v>
      </c>
      <c r="O44" s="55">
        <v>5</v>
      </c>
      <c r="P44" s="56"/>
      <c r="Q44" s="74"/>
      <c r="R44" s="70">
        <v>0</v>
      </c>
      <c r="S44" s="19"/>
      <c r="T44" s="60"/>
      <c r="U44" s="59" t="s">
        <v>108</v>
      </c>
    </row>
    <row r="45" spans="1:21" ht="15" customHeight="1" x14ac:dyDescent="0.25">
      <c r="A45" s="1">
        <f t="shared" ca="1" si="0"/>
        <v>6980</v>
      </c>
      <c r="B45" s="29">
        <v>805</v>
      </c>
      <c r="C45" s="29">
        <v>30120</v>
      </c>
      <c r="D45" s="29">
        <v>258</v>
      </c>
      <c r="E45" s="29">
        <v>29802</v>
      </c>
      <c r="F45" s="29">
        <v>2994</v>
      </c>
      <c r="G45" s="39"/>
      <c r="H45" s="40"/>
      <c r="I45" s="52"/>
      <c r="J45" s="53"/>
      <c r="K45" s="17"/>
      <c r="L45" s="39">
        <v>864</v>
      </c>
      <c r="M45" s="43">
        <v>739</v>
      </c>
      <c r="N45" s="45" t="s">
        <v>106</v>
      </c>
      <c r="O45" s="55">
        <v>7</v>
      </c>
      <c r="P45" s="56"/>
      <c r="Q45" s="74"/>
      <c r="R45" s="70">
        <v>1</v>
      </c>
      <c r="S45" s="19"/>
      <c r="T45" s="60"/>
      <c r="U45" s="59" t="s">
        <v>108</v>
      </c>
    </row>
    <row r="46" spans="1:21" ht="15" customHeight="1" x14ac:dyDescent="0.25">
      <c r="A46" s="1">
        <f t="shared" ca="1" si="0"/>
        <v>6981</v>
      </c>
      <c r="B46" s="29">
        <v>795</v>
      </c>
      <c r="C46" s="29">
        <v>30108</v>
      </c>
      <c r="D46" s="29">
        <v>255</v>
      </c>
      <c r="E46" s="29">
        <v>29853</v>
      </c>
      <c r="F46" s="29">
        <v>2993</v>
      </c>
      <c r="G46" s="39"/>
      <c r="H46" s="40"/>
      <c r="I46" s="52"/>
      <c r="J46" s="53"/>
      <c r="K46" s="17"/>
      <c r="L46" s="39">
        <v>823</v>
      </c>
      <c r="M46" s="43">
        <v>749</v>
      </c>
      <c r="N46" s="45" t="s">
        <v>108</v>
      </c>
      <c r="O46" s="55">
        <v>10</v>
      </c>
      <c r="P46" s="56"/>
      <c r="Q46" s="74"/>
      <c r="R46" s="70">
        <v>5</v>
      </c>
      <c r="S46" s="19"/>
      <c r="T46" s="60"/>
      <c r="U46" s="59" t="s">
        <v>108</v>
      </c>
    </row>
    <row r="47" spans="1:21" ht="15" customHeight="1" x14ac:dyDescent="0.25">
      <c r="A47" s="1">
        <f t="shared" ca="1" si="0"/>
        <v>6982</v>
      </c>
      <c r="B47" s="29">
        <v>785</v>
      </c>
      <c r="C47" s="29">
        <v>30128</v>
      </c>
      <c r="D47" s="29">
        <v>252</v>
      </c>
      <c r="E47" s="29">
        <v>29877</v>
      </c>
      <c r="F47" s="29">
        <v>2996</v>
      </c>
      <c r="G47" s="39"/>
      <c r="H47" s="40"/>
      <c r="I47" s="52"/>
      <c r="J47" s="53"/>
      <c r="K47" s="17"/>
      <c r="L47" s="39">
        <v>843</v>
      </c>
      <c r="M47" s="43">
        <v>735</v>
      </c>
      <c r="N47" s="45" t="s">
        <v>108</v>
      </c>
      <c r="O47" s="55">
        <v>6</v>
      </c>
      <c r="P47" s="56"/>
      <c r="Q47" s="74"/>
      <c r="R47" s="70">
        <v>0</v>
      </c>
      <c r="S47" s="19"/>
      <c r="T47" s="60"/>
      <c r="U47" s="59" t="s">
        <v>108</v>
      </c>
    </row>
    <row r="48" spans="1:21" ht="15" customHeight="1" x14ac:dyDescent="0.25">
      <c r="A48" s="1">
        <f t="shared" ca="1" si="0"/>
        <v>6983</v>
      </c>
      <c r="B48" s="29">
        <v>800</v>
      </c>
      <c r="C48" s="29">
        <v>30141</v>
      </c>
      <c r="D48" s="29">
        <v>256</v>
      </c>
      <c r="E48" s="29">
        <v>29885</v>
      </c>
      <c r="F48" s="29">
        <v>2996</v>
      </c>
      <c r="G48" s="39"/>
      <c r="H48" s="40"/>
      <c r="I48" s="52"/>
      <c r="J48" s="53"/>
      <c r="K48" s="17"/>
      <c r="L48" s="39">
        <v>860</v>
      </c>
      <c r="M48" s="43">
        <v>749</v>
      </c>
      <c r="N48" s="45" t="s">
        <v>108</v>
      </c>
      <c r="O48" s="55">
        <v>2</v>
      </c>
      <c r="P48" s="56"/>
      <c r="Q48" s="74"/>
      <c r="R48" s="70">
        <v>0</v>
      </c>
      <c r="S48" s="19"/>
      <c r="T48" s="60"/>
      <c r="U48" s="59" t="s">
        <v>108</v>
      </c>
    </row>
    <row r="49" spans="1:21" ht="15" customHeight="1" x14ac:dyDescent="0.25">
      <c r="A49" s="1">
        <f t="shared" ca="1" si="0"/>
        <v>6984</v>
      </c>
      <c r="B49" s="29">
        <v>795</v>
      </c>
      <c r="C49" s="29">
        <v>30167</v>
      </c>
      <c r="D49" s="29">
        <v>255</v>
      </c>
      <c r="E49" s="29">
        <v>29912</v>
      </c>
      <c r="F49" s="29">
        <v>2999</v>
      </c>
      <c r="G49" s="39"/>
      <c r="H49" s="40"/>
      <c r="I49" s="52"/>
      <c r="J49" s="53"/>
      <c r="K49" s="17"/>
      <c r="L49" s="39">
        <v>830</v>
      </c>
      <c r="M49" s="43">
        <v>724</v>
      </c>
      <c r="N49" s="45" t="s">
        <v>108</v>
      </c>
      <c r="O49" s="55">
        <v>4</v>
      </c>
      <c r="P49" s="56"/>
      <c r="Q49" s="74"/>
      <c r="R49" s="70">
        <v>56</v>
      </c>
      <c r="S49" s="19"/>
      <c r="T49" s="60"/>
      <c r="U49" s="59" t="s">
        <v>108</v>
      </c>
    </row>
    <row r="50" spans="1:21" ht="15" customHeight="1" x14ac:dyDescent="0.25">
      <c r="A50" s="1">
        <f t="shared" ca="1" si="0"/>
        <v>6985</v>
      </c>
      <c r="B50" s="29">
        <v>790</v>
      </c>
      <c r="C50" s="29">
        <v>30160</v>
      </c>
      <c r="D50" s="29">
        <v>254</v>
      </c>
      <c r="E50" s="29">
        <v>29906</v>
      </c>
      <c r="F50" s="29">
        <v>2999</v>
      </c>
      <c r="G50" s="39"/>
      <c r="H50" s="40"/>
      <c r="I50" s="52"/>
      <c r="J50" s="53"/>
      <c r="K50" s="17"/>
      <c r="L50" s="39">
        <v>841</v>
      </c>
      <c r="M50" s="43">
        <v>733</v>
      </c>
      <c r="N50" s="45" t="s">
        <v>108</v>
      </c>
      <c r="O50" s="55">
        <v>8</v>
      </c>
      <c r="P50" s="56"/>
      <c r="Q50" s="74"/>
      <c r="R50" s="70">
        <v>1</v>
      </c>
      <c r="S50" s="19"/>
      <c r="T50" s="60"/>
      <c r="U50" s="59" t="s">
        <v>108</v>
      </c>
    </row>
    <row r="51" spans="1:21" ht="15" customHeight="1" x14ac:dyDescent="0.25">
      <c r="A51" s="1">
        <f t="shared" ca="1" si="0"/>
        <v>6986</v>
      </c>
      <c r="B51" s="29">
        <v>800</v>
      </c>
      <c r="C51" s="29">
        <v>30162</v>
      </c>
      <c r="D51" s="29">
        <v>256</v>
      </c>
      <c r="E51" s="29">
        <v>29906</v>
      </c>
      <c r="F51" s="29">
        <v>2999</v>
      </c>
      <c r="G51" s="39"/>
      <c r="H51" s="40"/>
      <c r="I51" s="52"/>
      <c r="J51" s="53"/>
      <c r="K51" s="17"/>
      <c r="L51" s="39">
        <v>846</v>
      </c>
      <c r="M51" s="43">
        <v>757</v>
      </c>
      <c r="N51" s="45" t="s">
        <v>110</v>
      </c>
      <c r="O51" s="55">
        <v>7</v>
      </c>
      <c r="P51" s="56"/>
      <c r="Q51" s="74"/>
      <c r="R51" s="70">
        <v>0</v>
      </c>
      <c r="S51" s="19"/>
      <c r="T51" s="60"/>
      <c r="U51" s="59" t="s">
        <v>108</v>
      </c>
    </row>
    <row r="52" spans="1:21" ht="15" customHeight="1" x14ac:dyDescent="0.25">
      <c r="A52" s="1">
        <f t="shared" ca="1" si="0"/>
        <v>6987</v>
      </c>
      <c r="B52" s="29">
        <v>790</v>
      </c>
      <c r="C52" s="29">
        <v>30151</v>
      </c>
      <c r="D52" s="29">
        <v>254</v>
      </c>
      <c r="E52" s="29">
        <v>29897</v>
      </c>
      <c r="F52" s="29">
        <v>2998</v>
      </c>
      <c r="G52" s="39"/>
      <c r="H52" s="40"/>
      <c r="I52" s="52"/>
      <c r="J52" s="53"/>
      <c r="K52" s="17"/>
      <c r="L52" s="39">
        <v>840</v>
      </c>
      <c r="M52" s="43">
        <v>752</v>
      </c>
      <c r="N52" s="45" t="s">
        <v>108</v>
      </c>
      <c r="O52" s="55">
        <v>6</v>
      </c>
      <c r="P52" s="56"/>
      <c r="Q52" s="74"/>
      <c r="R52" s="70">
        <v>16</v>
      </c>
      <c r="S52" s="19"/>
      <c r="T52" s="60"/>
      <c r="U52" s="59" t="s">
        <v>108</v>
      </c>
    </row>
    <row r="53" spans="1:21" ht="15" customHeight="1" x14ac:dyDescent="0.25">
      <c r="A53" s="1">
        <f t="shared" ca="1" si="0"/>
        <v>6988</v>
      </c>
      <c r="B53" s="29">
        <v>795</v>
      </c>
      <c r="C53" s="29">
        <v>30161</v>
      </c>
      <c r="D53" s="29">
        <v>255</v>
      </c>
      <c r="E53" s="29">
        <v>29906</v>
      </c>
      <c r="F53" s="29">
        <v>2999</v>
      </c>
      <c r="G53" s="39"/>
      <c r="H53" s="40"/>
      <c r="I53" s="52"/>
      <c r="J53" s="53"/>
      <c r="K53" s="17"/>
      <c r="L53" s="39">
        <v>861</v>
      </c>
      <c r="M53" s="43">
        <v>752</v>
      </c>
      <c r="N53" s="45" t="s">
        <v>108</v>
      </c>
      <c r="O53" s="55">
        <v>4</v>
      </c>
      <c r="P53" s="56"/>
      <c r="Q53" s="74"/>
      <c r="R53" s="70">
        <v>2</v>
      </c>
      <c r="S53" s="19"/>
      <c r="T53" s="60"/>
      <c r="U53" s="59" t="s">
        <v>108</v>
      </c>
    </row>
    <row r="54" spans="1:21" ht="15" customHeight="1" x14ac:dyDescent="0.25">
      <c r="A54" s="1">
        <f t="shared" ca="1" si="0"/>
        <v>6989</v>
      </c>
      <c r="B54" s="29">
        <v>790</v>
      </c>
      <c r="C54" s="29">
        <v>30152</v>
      </c>
      <c r="D54" s="29">
        <v>254</v>
      </c>
      <c r="E54" s="29">
        <v>29898</v>
      </c>
      <c r="F54" s="29">
        <v>2998</v>
      </c>
      <c r="G54" s="39"/>
      <c r="H54" s="40"/>
      <c r="I54" s="52"/>
      <c r="J54" s="53"/>
      <c r="K54" s="17"/>
      <c r="L54" s="39">
        <v>840</v>
      </c>
      <c r="M54" s="43">
        <v>762</v>
      </c>
      <c r="N54" s="45" t="s">
        <v>108</v>
      </c>
      <c r="O54" s="55">
        <v>9</v>
      </c>
      <c r="P54" s="56"/>
      <c r="Q54" s="74"/>
      <c r="R54" s="70">
        <v>0</v>
      </c>
      <c r="S54" s="19"/>
      <c r="T54" s="60"/>
      <c r="U54" s="59" t="s">
        <v>108</v>
      </c>
    </row>
    <row r="55" spans="1:21" ht="15" customHeight="1" x14ac:dyDescent="0.25">
      <c r="A55" s="1">
        <f t="shared" ca="1" si="0"/>
        <v>6990</v>
      </c>
      <c r="B55" s="29">
        <v>795</v>
      </c>
      <c r="C55" s="29">
        <v>30162</v>
      </c>
      <c r="D55" s="29">
        <v>255</v>
      </c>
      <c r="E55" s="29">
        <v>29807</v>
      </c>
      <c r="F55" s="29">
        <v>2999</v>
      </c>
      <c r="G55" s="39"/>
      <c r="H55" s="40"/>
      <c r="I55" s="52"/>
      <c r="J55" s="53"/>
      <c r="K55" s="17"/>
      <c r="L55" s="39">
        <v>850</v>
      </c>
      <c r="M55" s="43">
        <v>767</v>
      </c>
      <c r="N55" s="45" t="s">
        <v>110</v>
      </c>
      <c r="O55" s="55">
        <v>10</v>
      </c>
      <c r="P55" s="56"/>
      <c r="Q55" s="74"/>
      <c r="R55" s="70">
        <v>0</v>
      </c>
      <c r="S55" s="19"/>
      <c r="T55" s="60"/>
      <c r="U55" s="59" t="s">
        <v>108</v>
      </c>
    </row>
    <row r="56" spans="1:21" ht="15" customHeight="1" x14ac:dyDescent="0.25">
      <c r="A56" s="1">
        <f t="shared" ca="1" si="0"/>
        <v>6991</v>
      </c>
      <c r="B56" s="29">
        <v>800</v>
      </c>
      <c r="C56" s="29">
        <v>30161</v>
      </c>
      <c r="D56" s="29">
        <v>256</v>
      </c>
      <c r="E56" s="29">
        <v>29905</v>
      </c>
      <c r="F56" s="29">
        <v>2998</v>
      </c>
      <c r="G56" s="39"/>
      <c r="H56" s="40"/>
      <c r="I56" s="52"/>
      <c r="J56" s="53"/>
      <c r="K56" s="17"/>
      <c r="L56" s="39">
        <v>850</v>
      </c>
      <c r="M56" s="43">
        <v>763</v>
      </c>
      <c r="N56" s="45" t="s">
        <v>108</v>
      </c>
      <c r="O56" s="55">
        <v>8</v>
      </c>
      <c r="P56" s="56"/>
      <c r="Q56" s="74"/>
      <c r="R56" s="70">
        <v>0</v>
      </c>
      <c r="S56" s="19"/>
      <c r="T56" s="60"/>
      <c r="U56" s="59" t="s">
        <v>108</v>
      </c>
    </row>
    <row r="57" spans="1:21" ht="15" customHeight="1" x14ac:dyDescent="0.25">
      <c r="A57" s="1">
        <f t="shared" ca="1" si="0"/>
        <v>6992</v>
      </c>
      <c r="B57" s="29">
        <v>790</v>
      </c>
      <c r="C57" s="29">
        <v>30142</v>
      </c>
      <c r="D57" s="29">
        <v>254</v>
      </c>
      <c r="E57" s="29">
        <v>29888</v>
      </c>
      <c r="F57" s="29">
        <v>2997</v>
      </c>
      <c r="G57" s="39"/>
      <c r="H57" s="40"/>
      <c r="I57" s="52"/>
      <c r="J57" s="53"/>
      <c r="K57" s="17"/>
      <c r="L57" s="39">
        <v>848</v>
      </c>
      <c r="M57" s="43">
        <v>737</v>
      </c>
      <c r="N57" s="45" t="s">
        <v>108</v>
      </c>
      <c r="O57" s="55">
        <v>8</v>
      </c>
      <c r="P57" s="56"/>
      <c r="Q57" s="74"/>
      <c r="R57" s="70">
        <v>4</v>
      </c>
      <c r="S57" s="19"/>
      <c r="T57" s="60"/>
      <c r="U57" s="59" t="s">
        <v>108</v>
      </c>
    </row>
    <row r="58" spans="1:21" ht="15" customHeight="1" x14ac:dyDescent="0.25">
      <c r="A58" s="1">
        <f t="shared" ca="1" si="0"/>
        <v>6993</v>
      </c>
      <c r="B58" s="29">
        <v>790</v>
      </c>
      <c r="C58" s="29">
        <v>30148</v>
      </c>
      <c r="D58" s="29">
        <v>254</v>
      </c>
      <c r="E58" s="29">
        <v>29894</v>
      </c>
      <c r="F58" s="29">
        <v>2997</v>
      </c>
      <c r="G58" s="39"/>
      <c r="H58" s="40"/>
      <c r="I58" s="52"/>
      <c r="J58" s="53"/>
      <c r="K58" s="17"/>
      <c r="L58" s="39">
        <v>843</v>
      </c>
      <c r="M58" s="43">
        <v>759</v>
      </c>
      <c r="N58" s="45" t="s">
        <v>108</v>
      </c>
      <c r="O58" s="55">
        <v>8</v>
      </c>
      <c r="P58" s="56"/>
      <c r="Q58" s="74"/>
      <c r="R58" s="70">
        <v>0</v>
      </c>
      <c r="S58" s="19"/>
      <c r="T58" s="60"/>
      <c r="U58" s="59" t="s">
        <v>108</v>
      </c>
    </row>
    <row r="59" spans="1:21" ht="15" customHeight="1" x14ac:dyDescent="0.25">
      <c r="A59" s="1">
        <f t="shared" ca="1" si="0"/>
        <v>6994</v>
      </c>
      <c r="B59" s="29">
        <v>795</v>
      </c>
      <c r="C59" s="29">
        <v>30158</v>
      </c>
      <c r="D59" s="29">
        <v>255</v>
      </c>
      <c r="E59" s="29">
        <v>29903</v>
      </c>
      <c r="F59" s="29">
        <v>2998</v>
      </c>
      <c r="G59" s="39"/>
      <c r="H59" s="40"/>
      <c r="I59" s="52"/>
      <c r="J59" s="53"/>
      <c r="K59" s="17"/>
      <c r="L59" s="39">
        <v>847</v>
      </c>
      <c r="M59" s="43">
        <v>762</v>
      </c>
      <c r="N59" s="45" t="s">
        <v>108</v>
      </c>
      <c r="O59" s="55">
        <v>12</v>
      </c>
      <c r="P59" s="56"/>
      <c r="Q59" s="74"/>
      <c r="R59" s="70">
        <v>0</v>
      </c>
      <c r="S59" s="19"/>
      <c r="T59" s="60"/>
      <c r="U59" s="59" t="s">
        <v>108</v>
      </c>
    </row>
    <row r="60" spans="1:21" ht="15" customHeight="1" x14ac:dyDescent="0.25">
      <c r="A60" s="1">
        <f t="shared" ca="1" si="0"/>
        <v>6995</v>
      </c>
      <c r="B60" s="29">
        <v>800</v>
      </c>
      <c r="C60" s="29">
        <v>30140</v>
      </c>
      <c r="D60" s="29">
        <v>256</v>
      </c>
      <c r="E60" s="29">
        <v>29884</v>
      </c>
      <c r="F60" s="29">
        <v>2996</v>
      </c>
      <c r="G60" s="39"/>
      <c r="H60" s="40"/>
      <c r="I60" s="52"/>
      <c r="J60" s="53"/>
      <c r="K60" s="17"/>
      <c r="L60" s="39">
        <v>858</v>
      </c>
      <c r="M60" s="43">
        <v>762</v>
      </c>
      <c r="N60" s="45" t="s">
        <v>110</v>
      </c>
      <c r="O60" s="55">
        <v>8</v>
      </c>
      <c r="P60" s="56"/>
      <c r="Q60" s="74"/>
      <c r="R60" s="70">
        <v>0</v>
      </c>
      <c r="S60" s="19"/>
      <c r="T60" s="60"/>
      <c r="U60" s="59" t="s">
        <v>110</v>
      </c>
    </row>
    <row r="61" spans="1:21" ht="15" customHeight="1" x14ac:dyDescent="0.25">
      <c r="A61" s="1">
        <f t="shared" ca="1" si="0"/>
        <v>6996</v>
      </c>
      <c r="B61" s="29">
        <v>795</v>
      </c>
      <c r="C61" s="29">
        <v>30112</v>
      </c>
      <c r="D61" s="29">
        <v>255</v>
      </c>
      <c r="E61" s="29">
        <v>29857</v>
      </c>
      <c r="F61" s="29">
        <v>2994</v>
      </c>
      <c r="G61" s="39"/>
      <c r="H61" s="40"/>
      <c r="I61" s="52"/>
      <c r="J61" s="53"/>
      <c r="K61" s="17"/>
      <c r="L61" s="39">
        <v>846</v>
      </c>
      <c r="M61" s="43">
        <v>753</v>
      </c>
      <c r="N61" s="45" t="s">
        <v>108</v>
      </c>
      <c r="O61" s="55">
        <v>12</v>
      </c>
      <c r="P61" s="56"/>
      <c r="Q61" s="74"/>
      <c r="R61" s="70">
        <v>0</v>
      </c>
      <c r="S61" s="19"/>
      <c r="T61" s="60"/>
      <c r="U61" s="59" t="s">
        <v>108</v>
      </c>
    </row>
    <row r="62" spans="1:21" ht="15" customHeight="1" x14ac:dyDescent="0.25">
      <c r="A62" s="1">
        <f t="shared" ca="1" si="0"/>
        <v>6997</v>
      </c>
      <c r="B62" s="29">
        <v>805</v>
      </c>
      <c r="C62" s="29">
        <v>30090</v>
      </c>
      <c r="D62" s="29">
        <v>258</v>
      </c>
      <c r="E62" s="29">
        <v>29832</v>
      </c>
      <c r="F62" s="29">
        <v>2991</v>
      </c>
      <c r="G62" s="39"/>
      <c r="H62" s="40"/>
      <c r="I62" s="52"/>
      <c r="J62" s="53"/>
      <c r="K62" s="17"/>
      <c r="L62" s="39">
        <v>850</v>
      </c>
      <c r="M62" s="43">
        <v>770</v>
      </c>
      <c r="N62" s="45" t="s">
        <v>106</v>
      </c>
      <c r="O62" s="55">
        <v>8</v>
      </c>
      <c r="P62" s="56"/>
      <c r="Q62" s="74"/>
      <c r="R62" s="70">
        <v>0</v>
      </c>
      <c r="S62" s="19"/>
      <c r="T62" s="60"/>
      <c r="U62" s="59" t="s">
        <v>108</v>
      </c>
    </row>
    <row r="63" spans="1:21" ht="15" customHeight="1" x14ac:dyDescent="0.25">
      <c r="A63" s="1">
        <f t="shared" ca="1" si="0"/>
        <v>6998</v>
      </c>
      <c r="B63" s="29">
        <v>800</v>
      </c>
      <c r="C63" s="29">
        <v>30100</v>
      </c>
      <c r="D63" s="29">
        <v>256</v>
      </c>
      <c r="E63" s="29">
        <v>29844</v>
      </c>
      <c r="F63" s="29">
        <v>2992</v>
      </c>
      <c r="G63" s="39"/>
      <c r="H63" s="40"/>
      <c r="I63" s="52"/>
      <c r="J63" s="53"/>
      <c r="K63" s="17"/>
      <c r="L63" s="39">
        <v>862</v>
      </c>
      <c r="M63" s="43">
        <v>770</v>
      </c>
      <c r="N63" s="45" t="s">
        <v>110</v>
      </c>
      <c r="O63" s="55">
        <v>9</v>
      </c>
      <c r="P63" s="56"/>
      <c r="Q63" s="74"/>
      <c r="R63" s="70">
        <v>0</v>
      </c>
      <c r="S63" s="19"/>
      <c r="T63" s="60"/>
      <c r="U63" s="59" t="s">
        <v>108</v>
      </c>
    </row>
    <row r="64" spans="1:21" ht="15" customHeight="1" x14ac:dyDescent="0.25">
      <c r="A64" s="1">
        <f t="shared" ca="1" si="0"/>
        <v>6999</v>
      </c>
      <c r="B64" s="29">
        <v>800</v>
      </c>
      <c r="C64" s="29">
        <v>30142</v>
      </c>
      <c r="D64" s="29">
        <v>256</v>
      </c>
      <c r="E64" s="29">
        <v>29886</v>
      </c>
      <c r="F64" s="29">
        <v>2997</v>
      </c>
      <c r="G64" s="39"/>
      <c r="H64" s="40"/>
      <c r="I64" s="52"/>
      <c r="J64" s="53"/>
      <c r="K64" s="17"/>
      <c r="L64" s="39">
        <v>848</v>
      </c>
      <c r="M64" s="43">
        <v>768</v>
      </c>
      <c r="N64" s="45" t="s">
        <v>108</v>
      </c>
      <c r="O64" s="55">
        <v>10</v>
      </c>
      <c r="P64" s="56"/>
      <c r="Q64" s="74"/>
      <c r="R64" s="70">
        <v>0</v>
      </c>
      <c r="S64" s="19"/>
      <c r="T64" s="60"/>
      <c r="U64" s="59" t="s">
        <v>108</v>
      </c>
    </row>
    <row r="65" spans="1:21" x14ac:dyDescent="0.25">
      <c r="A65" s="1" t="str">
        <f t="shared" ca="1" si="0"/>
        <v>Totaal</v>
      </c>
      <c r="B65" s="61">
        <f>IF(COUNT(B37:B64)&gt;0,AVERAGE(B37:B64)/10,"")</f>
        <v>79.767857142857139</v>
      </c>
      <c r="C65" s="62">
        <f>IF(COUNT(C37:C64)&gt;0,AVERAGE(C37:C64)/1000,"")</f>
        <v>30.121857142857142</v>
      </c>
      <c r="D65" s="62">
        <f>IF(COUNT(D37:D64)&gt;0,AVERAGE(D37:D64)/1000,"")</f>
        <v>0.25571428571428573</v>
      </c>
      <c r="E65" s="62">
        <f>IF(COUNT(E37:E64)&gt;0,AVERAGE(E37:E64)/1000,"")</f>
        <v>29.860464285714286</v>
      </c>
      <c r="F65" s="62">
        <f>IF(COUNT(F37:F64)&gt;0,AVERAGE(F37:F64)/100,"")</f>
        <v>29.945357142857141</v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>
        <f>IF(COUNT(L37:L64)&gt;0,AVERAGE(L37:L64)/10,"")</f>
        <v>84.660714285714292</v>
      </c>
      <c r="M65" s="44">
        <f>IF(COUNT(M37:M64)&gt;0,AVERAGE(M37:M64)/10,"")</f>
        <v>75.575000000000003</v>
      </c>
      <c r="N65" s="46"/>
      <c r="O65" s="57">
        <f>IF(COUNT(O37:O64)&gt;0,AVERAGE(O37:O64),"")</f>
        <v>7.6428571428571432</v>
      </c>
      <c r="P65" s="58" t="str">
        <f>IF(COUNT(P37:P64)&gt;0,AVERAGE(P37:P64),"")</f>
        <v/>
      </c>
      <c r="Q65" s="47"/>
      <c r="R65" s="68">
        <f>IF(COUNT(R37:R64)&gt;0,SUM(R37:R64)/100,"")</f>
        <v>0.85</v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7000</v>
      </c>
      <c r="B66" s="29">
        <v>800</v>
      </c>
      <c r="C66" s="29">
        <v>30140</v>
      </c>
      <c r="D66" s="29">
        <v>256</v>
      </c>
      <c r="E66" s="29">
        <v>29884</v>
      </c>
      <c r="F66" s="29">
        <v>2996</v>
      </c>
      <c r="G66" s="39"/>
      <c r="H66" s="40"/>
      <c r="I66" s="52"/>
      <c r="J66" s="53"/>
      <c r="K66" s="17"/>
      <c r="L66" s="39">
        <v>860</v>
      </c>
      <c r="M66" s="43">
        <v>767</v>
      </c>
      <c r="N66" s="45" t="s">
        <v>108</v>
      </c>
      <c r="O66" s="55">
        <v>10</v>
      </c>
      <c r="P66" s="56"/>
      <c r="Q66" s="74"/>
      <c r="R66" s="70">
        <v>0</v>
      </c>
      <c r="S66" s="19"/>
      <c r="T66" s="60"/>
      <c r="U66" s="59" t="s">
        <v>108</v>
      </c>
    </row>
    <row r="67" spans="1:21" ht="15" customHeight="1" x14ac:dyDescent="0.25">
      <c r="A67" s="1">
        <f t="shared" ca="1" si="0"/>
        <v>7001</v>
      </c>
      <c r="B67" s="29">
        <v>800</v>
      </c>
      <c r="C67" s="29">
        <v>30131</v>
      </c>
      <c r="D67" s="29">
        <v>256</v>
      </c>
      <c r="E67" s="29">
        <v>29875</v>
      </c>
      <c r="F67" s="29">
        <v>2996</v>
      </c>
      <c r="G67" s="39"/>
      <c r="H67" s="40"/>
      <c r="I67" s="52"/>
      <c r="J67" s="53"/>
      <c r="K67" s="17"/>
      <c r="L67" s="39">
        <v>848</v>
      </c>
      <c r="M67" s="43">
        <v>760</v>
      </c>
      <c r="N67" s="45" t="s">
        <v>108</v>
      </c>
      <c r="O67" s="55">
        <v>7</v>
      </c>
      <c r="P67" s="56"/>
      <c r="Q67" s="74"/>
      <c r="R67" s="70">
        <v>0</v>
      </c>
      <c r="S67" s="19"/>
      <c r="T67" s="60"/>
      <c r="U67" s="59" t="s">
        <v>108</v>
      </c>
    </row>
    <row r="68" spans="1:21" ht="15" customHeight="1" x14ac:dyDescent="0.25">
      <c r="A68" s="1">
        <f t="shared" ca="1" si="0"/>
        <v>7002</v>
      </c>
      <c r="B68" s="29">
        <v>790</v>
      </c>
      <c r="C68" s="29">
        <v>30131</v>
      </c>
      <c r="D68" s="29">
        <v>254</v>
      </c>
      <c r="E68" s="29">
        <v>29877</v>
      </c>
      <c r="F68" s="29">
        <v>2996</v>
      </c>
      <c r="G68" s="39"/>
      <c r="H68" s="40"/>
      <c r="I68" s="52"/>
      <c r="J68" s="53"/>
      <c r="K68" s="17"/>
      <c r="L68" s="39">
        <v>836</v>
      </c>
      <c r="M68" s="43">
        <v>759</v>
      </c>
      <c r="N68" s="45" t="s">
        <v>108</v>
      </c>
      <c r="O68" s="55">
        <v>6</v>
      </c>
      <c r="P68" s="56"/>
      <c r="Q68" s="74"/>
      <c r="R68" s="70">
        <v>0</v>
      </c>
      <c r="S68" s="19"/>
      <c r="T68" s="60"/>
      <c r="U68" s="59" t="s">
        <v>108</v>
      </c>
    </row>
    <row r="69" spans="1:21" ht="15" customHeight="1" x14ac:dyDescent="0.25">
      <c r="A69" s="1">
        <f t="shared" ca="1" si="0"/>
        <v>7003</v>
      </c>
      <c r="B69" s="29">
        <v>790</v>
      </c>
      <c r="C69" s="29">
        <v>30118</v>
      </c>
      <c r="D69" s="29">
        <v>254</v>
      </c>
      <c r="E69" s="29">
        <v>29864</v>
      </c>
      <c r="F69" s="29">
        <v>2994</v>
      </c>
      <c r="G69" s="39"/>
      <c r="H69" s="40"/>
      <c r="I69" s="52"/>
      <c r="J69" s="53"/>
      <c r="K69" s="17"/>
      <c r="L69" s="39">
        <v>844</v>
      </c>
      <c r="M69" s="43">
        <v>758</v>
      </c>
      <c r="N69" s="45" t="s">
        <v>108</v>
      </c>
      <c r="O69" s="55">
        <v>9</v>
      </c>
      <c r="P69" s="56"/>
      <c r="Q69" s="74"/>
      <c r="R69" s="70">
        <v>0</v>
      </c>
      <c r="S69" s="19"/>
      <c r="T69" s="60"/>
      <c r="U69" s="59" t="s">
        <v>108</v>
      </c>
    </row>
    <row r="70" spans="1:21" ht="15" customHeight="1" x14ac:dyDescent="0.25">
      <c r="A70" s="1">
        <f t="shared" ca="1" si="0"/>
        <v>7004</v>
      </c>
      <c r="B70" s="29">
        <v>785</v>
      </c>
      <c r="C70" s="29">
        <v>30120</v>
      </c>
      <c r="D70" s="29">
        <v>252</v>
      </c>
      <c r="E70" s="29">
        <v>29868</v>
      </c>
      <c r="F70" s="29">
        <v>2995</v>
      </c>
      <c r="G70" s="39"/>
      <c r="H70" s="40"/>
      <c r="I70" s="52"/>
      <c r="J70" s="53"/>
      <c r="K70" s="17"/>
      <c r="L70" s="39">
        <v>841</v>
      </c>
      <c r="M70" s="43">
        <v>753</v>
      </c>
      <c r="N70" s="45" t="s">
        <v>108</v>
      </c>
      <c r="O70" s="55">
        <v>8</v>
      </c>
      <c r="P70" s="56"/>
      <c r="Q70" s="74"/>
      <c r="R70" s="70">
        <v>0</v>
      </c>
      <c r="S70" s="19"/>
      <c r="T70" s="60"/>
      <c r="U70" s="59" t="s">
        <v>108</v>
      </c>
    </row>
    <row r="71" spans="1:21" ht="15" customHeight="1" x14ac:dyDescent="0.25">
      <c r="A71" s="1">
        <f t="shared" ref="A71:A134" ca="1" si="3">IF(ISTEXT(A70),A69+1,IF(MONTH(A70+1)=MONTH(A70),A70+1,"Totaal"))</f>
        <v>7005</v>
      </c>
      <c r="B71" s="29">
        <v>790</v>
      </c>
      <c r="C71" s="29">
        <v>30151</v>
      </c>
      <c r="D71" s="29">
        <v>254</v>
      </c>
      <c r="E71" s="29">
        <v>29897</v>
      </c>
      <c r="F71" s="29">
        <v>2998</v>
      </c>
      <c r="G71" s="39"/>
      <c r="H71" s="40"/>
      <c r="I71" s="52"/>
      <c r="J71" s="53"/>
      <c r="K71" s="17"/>
      <c r="L71" s="39">
        <v>850</v>
      </c>
      <c r="M71" s="43">
        <v>761</v>
      </c>
      <c r="N71" s="45" t="s">
        <v>106</v>
      </c>
      <c r="O71" s="55">
        <v>10</v>
      </c>
      <c r="P71" s="56"/>
      <c r="Q71" s="74"/>
      <c r="R71" s="70">
        <v>0</v>
      </c>
      <c r="S71" s="19"/>
      <c r="T71" s="60"/>
      <c r="U71" s="59" t="s">
        <v>108</v>
      </c>
    </row>
    <row r="72" spans="1:21" ht="15" customHeight="1" x14ac:dyDescent="0.25">
      <c r="A72" s="1">
        <f t="shared" ca="1" si="3"/>
        <v>7006</v>
      </c>
      <c r="B72" s="29">
        <v>790</v>
      </c>
      <c r="C72" s="29">
        <v>30143</v>
      </c>
      <c r="D72" s="29">
        <v>254</v>
      </c>
      <c r="E72" s="29">
        <v>29889</v>
      </c>
      <c r="F72" s="29">
        <v>2997</v>
      </c>
      <c r="G72" s="39"/>
      <c r="H72" s="40"/>
      <c r="I72" s="52"/>
      <c r="J72" s="53"/>
      <c r="K72" s="17"/>
      <c r="L72" s="39">
        <v>844</v>
      </c>
      <c r="M72" s="43">
        <v>766</v>
      </c>
      <c r="N72" s="45" t="s">
        <v>106</v>
      </c>
      <c r="O72" s="55">
        <v>10</v>
      </c>
      <c r="P72" s="56"/>
      <c r="Q72" s="74"/>
      <c r="R72" s="70">
        <v>0</v>
      </c>
      <c r="S72" s="19"/>
      <c r="T72" s="60"/>
      <c r="U72" s="59" t="s">
        <v>108</v>
      </c>
    </row>
    <row r="73" spans="1:21" ht="15" customHeight="1" x14ac:dyDescent="0.25">
      <c r="A73" s="1">
        <f t="shared" ca="1" si="3"/>
        <v>7007</v>
      </c>
      <c r="B73" s="29">
        <v>790</v>
      </c>
      <c r="C73" s="29">
        <v>30133</v>
      </c>
      <c r="D73" s="29">
        <v>254</v>
      </c>
      <c r="E73" s="29">
        <v>29879</v>
      </c>
      <c r="F73" s="29">
        <v>2996</v>
      </c>
      <c r="G73" s="39"/>
      <c r="H73" s="40"/>
      <c r="I73" s="52"/>
      <c r="J73" s="53"/>
      <c r="K73" s="17"/>
      <c r="L73" s="39">
        <v>830</v>
      </c>
      <c r="M73" s="43">
        <v>753</v>
      </c>
      <c r="N73" s="45" t="s">
        <v>108</v>
      </c>
      <c r="O73" s="55">
        <v>8</v>
      </c>
      <c r="P73" s="56"/>
      <c r="Q73" s="74"/>
      <c r="R73" s="70">
        <v>0</v>
      </c>
      <c r="S73" s="19"/>
      <c r="T73" s="60"/>
      <c r="U73" s="59" t="s">
        <v>108</v>
      </c>
    </row>
    <row r="74" spans="1:21" ht="15" customHeight="1" x14ac:dyDescent="0.25">
      <c r="A74" s="1">
        <f t="shared" ca="1" si="3"/>
        <v>7008</v>
      </c>
      <c r="B74" s="29">
        <v>795</v>
      </c>
      <c r="C74" s="29">
        <v>30138</v>
      </c>
      <c r="D74" s="29">
        <v>255</v>
      </c>
      <c r="E74" s="29">
        <v>29883</v>
      </c>
      <c r="F74" s="29">
        <v>2996</v>
      </c>
      <c r="G74" s="39"/>
      <c r="H74" s="40"/>
      <c r="I74" s="52"/>
      <c r="J74" s="53"/>
      <c r="K74" s="17"/>
      <c r="L74" s="39">
        <v>844</v>
      </c>
      <c r="M74" s="43">
        <v>760</v>
      </c>
      <c r="N74" s="45" t="s">
        <v>108</v>
      </c>
      <c r="O74" s="55">
        <v>9</v>
      </c>
      <c r="P74" s="56"/>
      <c r="Q74" s="74"/>
      <c r="R74" s="70">
        <v>0</v>
      </c>
      <c r="S74" s="19"/>
      <c r="T74" s="60"/>
      <c r="U74" s="59" t="s">
        <v>108</v>
      </c>
    </row>
    <row r="75" spans="1:21" ht="15" customHeight="1" x14ac:dyDescent="0.25">
      <c r="A75" s="1">
        <f t="shared" ca="1" si="3"/>
        <v>7009</v>
      </c>
      <c r="B75" s="29">
        <v>790</v>
      </c>
      <c r="C75" s="29">
        <v>30110</v>
      </c>
      <c r="D75" s="29">
        <v>254</v>
      </c>
      <c r="E75" s="29">
        <v>29856</v>
      </c>
      <c r="F75" s="29">
        <v>2994</v>
      </c>
      <c r="G75" s="39"/>
      <c r="H75" s="40"/>
      <c r="I75" s="52"/>
      <c r="J75" s="53"/>
      <c r="K75" s="17"/>
      <c r="L75" s="39">
        <v>846</v>
      </c>
      <c r="M75" s="43">
        <v>761</v>
      </c>
      <c r="N75" s="45" t="s">
        <v>106</v>
      </c>
      <c r="O75" s="55">
        <v>6</v>
      </c>
      <c r="P75" s="56"/>
      <c r="Q75" s="74"/>
      <c r="R75" s="70">
        <v>2</v>
      </c>
      <c r="S75" s="19"/>
      <c r="T75" s="60"/>
      <c r="U75" s="59" t="s">
        <v>108</v>
      </c>
    </row>
    <row r="76" spans="1:21" ht="15" customHeight="1" x14ac:dyDescent="0.25">
      <c r="A76" s="1">
        <f t="shared" ca="1" si="3"/>
        <v>7010</v>
      </c>
      <c r="B76" s="29">
        <v>790</v>
      </c>
      <c r="C76" s="29">
        <v>30091</v>
      </c>
      <c r="D76" s="29">
        <v>254</v>
      </c>
      <c r="E76" s="29">
        <v>29837</v>
      </c>
      <c r="F76" s="29">
        <v>2992</v>
      </c>
      <c r="G76" s="39"/>
      <c r="H76" s="40"/>
      <c r="I76" s="52"/>
      <c r="J76" s="53"/>
      <c r="K76" s="17"/>
      <c r="L76" s="39">
        <v>851</v>
      </c>
      <c r="M76" s="43">
        <v>760</v>
      </c>
      <c r="N76" s="45" t="s">
        <v>108</v>
      </c>
      <c r="O76" s="55">
        <v>10</v>
      </c>
      <c r="P76" s="56"/>
      <c r="Q76" s="74"/>
      <c r="R76" s="70">
        <v>2</v>
      </c>
      <c r="S76" s="19"/>
      <c r="T76" s="60"/>
      <c r="U76" s="59" t="s">
        <v>108</v>
      </c>
    </row>
    <row r="77" spans="1:21" ht="15" customHeight="1" x14ac:dyDescent="0.25">
      <c r="A77" s="1">
        <f t="shared" ca="1" si="3"/>
        <v>7011</v>
      </c>
      <c r="B77" s="29">
        <v>790</v>
      </c>
      <c r="C77" s="29">
        <v>30093</v>
      </c>
      <c r="D77" s="29">
        <v>254</v>
      </c>
      <c r="E77" s="29">
        <v>29839</v>
      </c>
      <c r="F77" s="29">
        <v>2992</v>
      </c>
      <c r="G77" s="39"/>
      <c r="H77" s="40"/>
      <c r="I77" s="52"/>
      <c r="J77" s="53"/>
      <c r="K77" s="17"/>
      <c r="L77" s="39">
        <v>844</v>
      </c>
      <c r="M77" s="43">
        <v>752</v>
      </c>
      <c r="N77" s="45" t="s">
        <v>108</v>
      </c>
      <c r="O77" s="55">
        <v>12</v>
      </c>
      <c r="P77" s="56"/>
      <c r="Q77" s="74"/>
      <c r="R77" s="70">
        <v>0</v>
      </c>
      <c r="S77" s="19"/>
      <c r="T77" s="60"/>
      <c r="U77" s="59" t="s">
        <v>108</v>
      </c>
    </row>
    <row r="78" spans="1:21" ht="15" customHeight="1" x14ac:dyDescent="0.25">
      <c r="A78" s="1">
        <f t="shared" ca="1" si="3"/>
        <v>7012</v>
      </c>
      <c r="B78" s="29">
        <v>790</v>
      </c>
      <c r="C78" s="29">
        <v>30138</v>
      </c>
      <c r="D78" s="29">
        <v>254</v>
      </c>
      <c r="E78" s="29">
        <v>29884</v>
      </c>
      <c r="F78" s="29">
        <v>2996</v>
      </c>
      <c r="G78" s="39"/>
      <c r="H78" s="40"/>
      <c r="I78" s="52"/>
      <c r="J78" s="53"/>
      <c r="K78" s="17"/>
      <c r="L78" s="39">
        <v>851</v>
      </c>
      <c r="M78" s="43">
        <v>743</v>
      </c>
      <c r="N78" s="45" t="s">
        <v>108</v>
      </c>
      <c r="O78" s="55">
        <v>4</v>
      </c>
      <c r="P78" s="56"/>
      <c r="Q78" s="74"/>
      <c r="R78" s="70">
        <v>0</v>
      </c>
      <c r="S78" s="19"/>
      <c r="T78" s="60"/>
      <c r="U78" s="59" t="s">
        <v>108</v>
      </c>
    </row>
    <row r="79" spans="1:21" ht="15" customHeight="1" x14ac:dyDescent="0.25">
      <c r="A79" s="1">
        <f t="shared" ca="1" si="3"/>
        <v>7013</v>
      </c>
      <c r="B79" s="29">
        <v>790</v>
      </c>
      <c r="C79" s="29">
        <v>30120</v>
      </c>
      <c r="D79" s="29">
        <v>254</v>
      </c>
      <c r="E79" s="29">
        <v>29866</v>
      </c>
      <c r="F79" s="29">
        <v>2995</v>
      </c>
      <c r="G79" s="39"/>
      <c r="H79" s="40"/>
      <c r="I79" s="52"/>
      <c r="J79" s="53"/>
      <c r="K79" s="17"/>
      <c r="L79" s="39">
        <v>848</v>
      </c>
      <c r="M79" s="43">
        <v>743</v>
      </c>
      <c r="N79" s="45" t="s">
        <v>108</v>
      </c>
      <c r="O79" s="55">
        <v>5</v>
      </c>
      <c r="P79" s="56"/>
      <c r="Q79" s="74"/>
      <c r="R79" s="70">
        <v>0</v>
      </c>
      <c r="S79" s="19"/>
      <c r="T79" s="60"/>
      <c r="U79" s="59" t="s">
        <v>108</v>
      </c>
    </row>
    <row r="80" spans="1:21" ht="15" customHeight="1" x14ac:dyDescent="0.25">
      <c r="A80" s="1">
        <f t="shared" ca="1" si="3"/>
        <v>7014</v>
      </c>
      <c r="B80" s="29">
        <v>790</v>
      </c>
      <c r="C80" s="29">
        <v>30151</v>
      </c>
      <c r="D80" s="29">
        <v>254</v>
      </c>
      <c r="E80" s="29">
        <v>29897</v>
      </c>
      <c r="F80" s="29">
        <v>2998</v>
      </c>
      <c r="G80" s="39"/>
      <c r="H80" s="40"/>
      <c r="I80" s="52"/>
      <c r="J80" s="53"/>
      <c r="K80" s="17"/>
      <c r="L80" s="39">
        <v>844</v>
      </c>
      <c r="M80" s="43">
        <v>756</v>
      </c>
      <c r="N80" s="45" t="s">
        <v>108</v>
      </c>
      <c r="O80" s="55">
        <v>8</v>
      </c>
      <c r="P80" s="56"/>
      <c r="Q80" s="74"/>
      <c r="R80" s="70">
        <v>6</v>
      </c>
      <c r="S80" s="19"/>
      <c r="T80" s="60"/>
      <c r="U80" s="59" t="s">
        <v>108</v>
      </c>
    </row>
    <row r="81" spans="1:21" ht="15" customHeight="1" x14ac:dyDescent="0.25">
      <c r="A81" s="1">
        <f t="shared" ca="1" si="3"/>
        <v>7015</v>
      </c>
      <c r="B81" s="29">
        <v>795</v>
      </c>
      <c r="C81" s="29">
        <v>30169</v>
      </c>
      <c r="D81" s="29">
        <v>255</v>
      </c>
      <c r="E81" s="29">
        <v>29914</v>
      </c>
      <c r="F81" s="29">
        <v>2999</v>
      </c>
      <c r="G81" s="39"/>
      <c r="H81" s="40"/>
      <c r="I81" s="52"/>
      <c r="J81" s="53"/>
      <c r="K81" s="17"/>
      <c r="L81" s="39">
        <v>847</v>
      </c>
      <c r="M81" s="43">
        <v>739</v>
      </c>
      <c r="N81" s="45" t="s">
        <v>108</v>
      </c>
      <c r="O81" s="55">
        <v>9</v>
      </c>
      <c r="P81" s="56"/>
      <c r="Q81" s="74"/>
      <c r="R81" s="70">
        <v>21</v>
      </c>
      <c r="S81" s="19"/>
      <c r="T81" s="60"/>
      <c r="U81" s="59" t="s">
        <v>108</v>
      </c>
    </row>
    <row r="82" spans="1:21" ht="15" customHeight="1" x14ac:dyDescent="0.25">
      <c r="A82" s="1">
        <f t="shared" ca="1" si="3"/>
        <v>7016</v>
      </c>
      <c r="B82" s="29">
        <v>795</v>
      </c>
      <c r="C82" s="29">
        <v>30162</v>
      </c>
      <c r="D82" s="29">
        <v>255</v>
      </c>
      <c r="E82" s="29">
        <v>29907</v>
      </c>
      <c r="F82" s="29">
        <v>2999</v>
      </c>
      <c r="G82" s="39"/>
      <c r="H82" s="40"/>
      <c r="I82" s="52"/>
      <c r="J82" s="53"/>
      <c r="K82" s="17"/>
      <c r="L82" s="39">
        <v>853</v>
      </c>
      <c r="M82" s="43">
        <v>750</v>
      </c>
      <c r="N82" s="45" t="s">
        <v>106</v>
      </c>
      <c r="O82" s="55">
        <v>6</v>
      </c>
      <c r="P82" s="56"/>
      <c r="Q82" s="74"/>
      <c r="R82" s="70">
        <v>2</v>
      </c>
      <c r="S82" s="19"/>
      <c r="T82" s="60"/>
      <c r="U82" s="59" t="s">
        <v>108</v>
      </c>
    </row>
    <row r="83" spans="1:21" ht="15" customHeight="1" x14ac:dyDescent="0.25">
      <c r="A83" s="1">
        <f t="shared" ca="1" si="3"/>
        <v>7017</v>
      </c>
      <c r="B83" s="29">
        <v>790</v>
      </c>
      <c r="C83" s="29">
        <v>30158</v>
      </c>
      <c r="D83" s="29">
        <v>254</v>
      </c>
      <c r="E83" s="29">
        <v>29904</v>
      </c>
      <c r="F83" s="29">
        <v>2998</v>
      </c>
      <c r="G83" s="39"/>
      <c r="H83" s="40"/>
      <c r="I83" s="52"/>
      <c r="J83" s="53"/>
      <c r="K83" s="17"/>
      <c r="L83" s="39">
        <v>835</v>
      </c>
      <c r="M83" s="43">
        <v>741</v>
      </c>
      <c r="N83" s="45" t="s">
        <v>106</v>
      </c>
      <c r="O83" s="55">
        <v>10</v>
      </c>
      <c r="P83" s="56"/>
      <c r="Q83" s="74"/>
      <c r="R83" s="70">
        <v>0</v>
      </c>
      <c r="S83" s="19"/>
      <c r="T83" s="60"/>
      <c r="U83" s="59" t="s">
        <v>108</v>
      </c>
    </row>
    <row r="84" spans="1:21" ht="15" customHeight="1" x14ac:dyDescent="0.25">
      <c r="A84" s="1">
        <f t="shared" ca="1" si="3"/>
        <v>7018</v>
      </c>
      <c r="B84" s="29">
        <v>780</v>
      </c>
      <c r="C84" s="29">
        <v>30122</v>
      </c>
      <c r="D84" s="29">
        <v>251</v>
      </c>
      <c r="E84" s="29">
        <v>29871</v>
      </c>
      <c r="F84" s="29">
        <v>2995</v>
      </c>
      <c r="G84" s="39"/>
      <c r="H84" s="40"/>
      <c r="I84" s="52"/>
      <c r="J84" s="53"/>
      <c r="K84" s="17"/>
      <c r="L84" s="39">
        <v>829</v>
      </c>
      <c r="M84" s="43">
        <v>720</v>
      </c>
      <c r="N84" s="45" t="s">
        <v>108</v>
      </c>
      <c r="O84" s="55">
        <v>7</v>
      </c>
      <c r="P84" s="56"/>
      <c r="Q84" s="74"/>
      <c r="R84" s="70">
        <v>2</v>
      </c>
      <c r="S84" s="19"/>
      <c r="T84" s="60"/>
      <c r="U84" s="59" t="s">
        <v>108</v>
      </c>
    </row>
    <row r="85" spans="1:21" ht="15" customHeight="1" x14ac:dyDescent="0.25">
      <c r="A85" s="1">
        <f t="shared" ca="1" si="3"/>
        <v>7019</v>
      </c>
      <c r="B85" s="29">
        <v>775</v>
      </c>
      <c r="C85" s="29">
        <v>30140</v>
      </c>
      <c r="D85" s="29">
        <v>250</v>
      </c>
      <c r="E85" s="29">
        <v>29890</v>
      </c>
      <c r="F85" s="29">
        <v>2997</v>
      </c>
      <c r="G85" s="39"/>
      <c r="H85" s="40"/>
      <c r="I85" s="52"/>
      <c r="J85" s="53"/>
      <c r="K85" s="17"/>
      <c r="L85" s="39">
        <v>831</v>
      </c>
      <c r="M85" s="43">
        <v>717</v>
      </c>
      <c r="N85" s="45" t="s">
        <v>108</v>
      </c>
      <c r="O85" s="55">
        <v>5</v>
      </c>
      <c r="P85" s="56"/>
      <c r="Q85" s="74"/>
      <c r="R85" s="70">
        <v>0</v>
      </c>
      <c r="S85" s="19"/>
      <c r="T85" s="60"/>
      <c r="U85" s="59" t="s">
        <v>108</v>
      </c>
    </row>
    <row r="86" spans="1:21" ht="15" customHeight="1" x14ac:dyDescent="0.25">
      <c r="A86" s="1">
        <f t="shared" ca="1" si="3"/>
        <v>7020</v>
      </c>
      <c r="B86" s="29">
        <v>790</v>
      </c>
      <c r="C86" s="29">
        <v>30140</v>
      </c>
      <c r="D86" s="29">
        <v>254</v>
      </c>
      <c r="E86" s="29">
        <v>29886</v>
      </c>
      <c r="F86" s="29">
        <v>2997</v>
      </c>
      <c r="G86" s="39"/>
      <c r="H86" s="40"/>
      <c r="I86" s="52"/>
      <c r="J86" s="53"/>
      <c r="K86" s="17"/>
      <c r="L86" s="39">
        <v>830</v>
      </c>
      <c r="M86" s="43">
        <v>742</v>
      </c>
      <c r="N86" s="45" t="s">
        <v>110</v>
      </c>
      <c r="O86" s="55">
        <v>4</v>
      </c>
      <c r="P86" s="56"/>
      <c r="Q86" s="74"/>
      <c r="R86" s="70">
        <v>0</v>
      </c>
      <c r="S86" s="19"/>
      <c r="T86" s="60"/>
      <c r="U86" s="59" t="s">
        <v>108</v>
      </c>
    </row>
    <row r="87" spans="1:21" ht="15" customHeight="1" x14ac:dyDescent="0.25">
      <c r="A87" s="1">
        <f t="shared" ca="1" si="3"/>
        <v>7021</v>
      </c>
      <c r="B87" s="29">
        <v>795</v>
      </c>
      <c r="C87" s="29">
        <v>30130</v>
      </c>
      <c r="D87" s="29">
        <v>255</v>
      </c>
      <c r="E87" s="29">
        <v>29875</v>
      </c>
      <c r="F87" s="29">
        <v>2996</v>
      </c>
      <c r="G87" s="39"/>
      <c r="H87" s="40"/>
      <c r="I87" s="52"/>
      <c r="J87" s="53"/>
      <c r="K87" s="17"/>
      <c r="L87" s="39">
        <v>833</v>
      </c>
      <c r="M87" s="43">
        <v>740</v>
      </c>
      <c r="N87" s="45" t="s">
        <v>104</v>
      </c>
      <c r="O87" s="55"/>
      <c r="P87" s="56"/>
      <c r="Q87" s="74"/>
      <c r="R87" s="70">
        <v>0</v>
      </c>
      <c r="S87" s="19"/>
      <c r="T87" s="60"/>
      <c r="U87" s="59"/>
    </row>
    <row r="88" spans="1:21" ht="15" customHeight="1" x14ac:dyDescent="0.25">
      <c r="A88" s="1">
        <f t="shared" ca="1" si="3"/>
        <v>7022</v>
      </c>
      <c r="B88" s="29">
        <v>800</v>
      </c>
      <c r="C88" s="29">
        <v>30118</v>
      </c>
      <c r="D88" s="29">
        <v>256</v>
      </c>
      <c r="E88" s="29">
        <v>29852</v>
      </c>
      <c r="F88" s="29">
        <v>2994</v>
      </c>
      <c r="G88" s="39"/>
      <c r="H88" s="40"/>
      <c r="I88" s="52"/>
      <c r="J88" s="53"/>
      <c r="K88" s="17"/>
      <c r="L88" s="39">
        <v>831</v>
      </c>
      <c r="M88" s="43">
        <v>743</v>
      </c>
      <c r="N88" s="45" t="s">
        <v>106</v>
      </c>
      <c r="O88" s="55">
        <v>4</v>
      </c>
      <c r="P88" s="56"/>
      <c r="Q88" s="74"/>
      <c r="R88" s="70">
        <v>0</v>
      </c>
      <c r="S88" s="19"/>
      <c r="T88" s="60"/>
      <c r="U88" s="59" t="s">
        <v>106</v>
      </c>
    </row>
    <row r="89" spans="1:21" ht="15" customHeight="1" x14ac:dyDescent="0.25">
      <c r="A89" s="1">
        <f t="shared" ca="1" si="3"/>
        <v>7023</v>
      </c>
      <c r="B89" s="29">
        <v>810</v>
      </c>
      <c r="C89" s="29">
        <v>30122</v>
      </c>
      <c r="D89" s="29">
        <v>259</v>
      </c>
      <c r="E89" s="29">
        <v>29863</v>
      </c>
      <c r="F89" s="29">
        <v>2994</v>
      </c>
      <c r="G89" s="39"/>
      <c r="H89" s="40"/>
      <c r="I89" s="52"/>
      <c r="J89" s="53"/>
      <c r="K89" s="17"/>
      <c r="L89" s="39">
        <v>851</v>
      </c>
      <c r="M89" s="43">
        <v>760</v>
      </c>
      <c r="N89" s="45" t="s">
        <v>108</v>
      </c>
      <c r="O89" s="55">
        <v>5</v>
      </c>
      <c r="P89" s="56"/>
      <c r="Q89" s="74"/>
      <c r="R89" s="70">
        <v>0</v>
      </c>
      <c r="S89" s="19"/>
      <c r="T89" s="60"/>
      <c r="U89" s="59" t="s">
        <v>108</v>
      </c>
    </row>
    <row r="90" spans="1:21" ht="15" customHeight="1" x14ac:dyDescent="0.25">
      <c r="A90" s="1">
        <f t="shared" ca="1" si="3"/>
        <v>7024</v>
      </c>
      <c r="B90" s="29">
        <v>815</v>
      </c>
      <c r="C90" s="29">
        <v>30108</v>
      </c>
      <c r="D90" s="29">
        <v>260</v>
      </c>
      <c r="E90" s="29">
        <v>29848</v>
      </c>
      <c r="F90" s="29">
        <v>2993</v>
      </c>
      <c r="G90" s="39"/>
      <c r="H90" s="40"/>
      <c r="I90" s="52"/>
      <c r="J90" s="53"/>
      <c r="K90" s="17"/>
      <c r="L90" s="39">
        <v>869</v>
      </c>
      <c r="M90" s="43">
        <v>773</v>
      </c>
      <c r="N90" s="45" t="s">
        <v>106</v>
      </c>
      <c r="O90" s="55">
        <v>9</v>
      </c>
      <c r="P90" s="56"/>
      <c r="Q90" s="74"/>
      <c r="R90" s="70">
        <v>1</v>
      </c>
      <c r="S90" s="19"/>
      <c r="T90" s="60"/>
      <c r="U90" s="59" t="s">
        <v>108</v>
      </c>
    </row>
    <row r="91" spans="1:21" ht="15" customHeight="1" x14ac:dyDescent="0.25">
      <c r="A91" s="1">
        <f t="shared" ca="1" si="3"/>
        <v>7025</v>
      </c>
      <c r="B91" s="29">
        <v>815</v>
      </c>
      <c r="C91" s="29">
        <v>30128</v>
      </c>
      <c r="D91" s="29">
        <v>260</v>
      </c>
      <c r="E91" s="29">
        <v>29868</v>
      </c>
      <c r="F91" s="29">
        <v>2995</v>
      </c>
      <c r="G91" s="39"/>
      <c r="H91" s="40"/>
      <c r="I91" s="52"/>
      <c r="J91" s="53"/>
      <c r="K91" s="17"/>
      <c r="L91" s="39">
        <v>842</v>
      </c>
      <c r="M91" s="43">
        <v>780</v>
      </c>
      <c r="N91" s="45" t="s">
        <v>106</v>
      </c>
      <c r="O91" s="55">
        <v>12</v>
      </c>
      <c r="P91" s="56"/>
      <c r="Q91" s="74"/>
      <c r="R91" s="70">
        <v>0</v>
      </c>
      <c r="S91" s="19"/>
      <c r="T91" s="60"/>
      <c r="U91" s="59" t="s">
        <v>108</v>
      </c>
    </row>
    <row r="92" spans="1:21" ht="15" customHeight="1" x14ac:dyDescent="0.25">
      <c r="A92" s="1">
        <f t="shared" ca="1" si="3"/>
        <v>7026</v>
      </c>
      <c r="B92" s="29">
        <v>800</v>
      </c>
      <c r="C92" s="29">
        <v>30100</v>
      </c>
      <c r="D92" s="29">
        <v>256</v>
      </c>
      <c r="E92" s="29">
        <v>29844</v>
      </c>
      <c r="F92" s="29">
        <v>2992</v>
      </c>
      <c r="G92" s="39"/>
      <c r="H92" s="40"/>
      <c r="I92" s="52"/>
      <c r="J92" s="53"/>
      <c r="K92" s="17"/>
      <c r="L92" s="39">
        <v>849</v>
      </c>
      <c r="M92" s="43">
        <v>756</v>
      </c>
      <c r="N92" s="45" t="s">
        <v>108</v>
      </c>
      <c r="O92" s="55">
        <v>5</v>
      </c>
      <c r="P92" s="56"/>
      <c r="Q92" s="74"/>
      <c r="R92" s="70">
        <v>2</v>
      </c>
      <c r="S92" s="19"/>
      <c r="T92" s="60"/>
      <c r="U92" s="59" t="s">
        <v>108</v>
      </c>
    </row>
    <row r="93" spans="1:21" ht="15" customHeight="1" x14ac:dyDescent="0.25">
      <c r="A93" s="1">
        <f t="shared" ca="1" si="3"/>
        <v>7027</v>
      </c>
      <c r="B93" s="29">
        <v>800</v>
      </c>
      <c r="C93" s="29">
        <v>30118</v>
      </c>
      <c r="D93" s="29">
        <v>256</v>
      </c>
      <c r="E93" s="29">
        <v>29862</v>
      </c>
      <c r="F93" s="29">
        <v>2994</v>
      </c>
      <c r="G93" s="39"/>
      <c r="H93" s="40"/>
      <c r="I93" s="52"/>
      <c r="J93" s="53"/>
      <c r="K93" s="17"/>
      <c r="L93" s="39">
        <v>839</v>
      </c>
      <c r="M93" s="43">
        <v>768</v>
      </c>
      <c r="N93" s="45" t="s">
        <v>108</v>
      </c>
      <c r="O93" s="55">
        <v>10</v>
      </c>
      <c r="P93" s="56"/>
      <c r="Q93" s="74"/>
      <c r="R93" s="70">
        <v>6</v>
      </c>
      <c r="S93" s="19"/>
      <c r="T93" s="60"/>
      <c r="U93" s="59" t="s">
        <v>108</v>
      </c>
    </row>
    <row r="94" spans="1:21" ht="15" customHeight="1" x14ac:dyDescent="0.25">
      <c r="A94" s="1">
        <f t="shared" ca="1" si="3"/>
        <v>7028</v>
      </c>
      <c r="B94" s="29">
        <v>800</v>
      </c>
      <c r="C94" s="29">
        <v>30090</v>
      </c>
      <c r="D94" s="29">
        <v>256</v>
      </c>
      <c r="E94" s="29">
        <v>29834</v>
      </c>
      <c r="F94" s="29">
        <v>2991</v>
      </c>
      <c r="G94" s="39"/>
      <c r="H94" s="40"/>
      <c r="I94" s="52"/>
      <c r="J94" s="53"/>
      <c r="K94" s="17"/>
      <c r="L94" s="39">
        <v>861</v>
      </c>
      <c r="M94" s="43">
        <v>779</v>
      </c>
      <c r="N94" s="45" t="s">
        <v>108</v>
      </c>
      <c r="O94" s="55">
        <v>2</v>
      </c>
      <c r="P94" s="56"/>
      <c r="Q94" s="74"/>
      <c r="R94" s="70">
        <v>4</v>
      </c>
      <c r="S94" s="19"/>
      <c r="T94" s="60"/>
      <c r="U94" s="59" t="s">
        <v>108</v>
      </c>
    </row>
    <row r="95" spans="1:21" ht="15" customHeight="1" x14ac:dyDescent="0.25">
      <c r="A95" s="1">
        <f t="shared" ca="1" si="3"/>
        <v>7029</v>
      </c>
      <c r="B95" s="29">
        <v>800</v>
      </c>
      <c r="C95" s="29">
        <v>30110</v>
      </c>
      <c r="D95" s="29">
        <v>256</v>
      </c>
      <c r="E95" s="29">
        <v>29854</v>
      </c>
      <c r="F95" s="29">
        <v>2993</v>
      </c>
      <c r="G95" s="39"/>
      <c r="H95" s="40"/>
      <c r="I95" s="52"/>
      <c r="J95" s="53"/>
      <c r="K95" s="17"/>
      <c r="L95" s="39">
        <v>848</v>
      </c>
      <c r="M95" s="43">
        <v>762</v>
      </c>
      <c r="N95" s="45" t="s">
        <v>110</v>
      </c>
      <c r="O95" s="55">
        <v>8</v>
      </c>
      <c r="P95" s="56"/>
      <c r="Q95" s="74"/>
      <c r="R95" s="70">
        <v>0</v>
      </c>
      <c r="S95" s="19"/>
      <c r="T95" s="60"/>
      <c r="U95" s="59" t="s">
        <v>108</v>
      </c>
    </row>
    <row r="96" spans="1:21" ht="15" customHeight="1" x14ac:dyDescent="0.25">
      <c r="A96" s="1">
        <f t="shared" ca="1" si="3"/>
        <v>7030</v>
      </c>
      <c r="B96" s="29">
        <v>805</v>
      </c>
      <c r="C96" s="29">
        <v>30118</v>
      </c>
      <c r="D96" s="29">
        <v>258</v>
      </c>
      <c r="E96" s="29">
        <v>29860</v>
      </c>
      <c r="F96" s="29">
        <v>2994</v>
      </c>
      <c r="G96" s="39"/>
      <c r="H96" s="40"/>
      <c r="I96" s="52"/>
      <c r="J96" s="53"/>
      <c r="K96" s="17"/>
      <c r="L96" s="39">
        <v>860</v>
      </c>
      <c r="M96" s="43">
        <v>776</v>
      </c>
      <c r="N96" s="45" t="s">
        <v>108</v>
      </c>
      <c r="O96" s="55">
        <v>6</v>
      </c>
      <c r="P96" s="56"/>
      <c r="Q96" s="74"/>
      <c r="R96" s="70">
        <v>2</v>
      </c>
      <c r="S96" s="19"/>
      <c r="T96" s="60"/>
      <c r="U96" s="59" t="s">
        <v>108</v>
      </c>
    </row>
    <row r="97" spans="1:21" x14ac:dyDescent="0.25">
      <c r="A97" s="1" t="str">
        <f t="shared" ca="1" si="3"/>
        <v>Totaal</v>
      </c>
      <c r="B97" s="61">
        <f>IF(COUNT(B66:B96)&gt;0,AVERAGE(B66:B96)/10,"")</f>
        <v>79.467741935483872</v>
      </c>
      <c r="C97" s="62">
        <f>IF(COUNT(C66:C96)&gt;0,AVERAGE(C66:C96)/1000,"")</f>
        <v>30.127129032258065</v>
      </c>
      <c r="D97" s="62">
        <f t="shared" ref="D97" si="4">IF(COUNT(D66:D96)&gt;0,AVERAGE(D66:D96)/1000,"")</f>
        <v>0.25496774193548388</v>
      </c>
      <c r="E97" s="62">
        <f t="shared" ref="E97" si="5">IF(COUNT(E66:E96)&gt;0,AVERAGE(E66:E96)/1000,"")</f>
        <v>29.871838709677419</v>
      </c>
      <c r="F97" s="62">
        <f>IF(COUNT(F66:F96)&gt;0,AVERAGE(F66:F96)/100,"")</f>
        <v>29.952258064516126</v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>
        <f>IF(COUNT(L66:L96)&gt;0,AVERAGE(L66:L96)/10,"")</f>
        <v>84.480645161290312</v>
      </c>
      <c r="M97" s="44">
        <f>IF(COUNT(M66:M96)&gt;0,AVERAGE(M66:M96)/10,"")</f>
        <v>75.477419354838702</v>
      </c>
      <c r="N97" s="46"/>
      <c r="O97" s="57">
        <f>IF(COUNT(O66:O96)&gt;0,AVERAGE(O66:O96),"")</f>
        <v>7.4666666666666668</v>
      </c>
      <c r="P97" s="58" t="str">
        <f>IF(COUNT(P66:P96)&gt;0,AVERAGE(P66:P96),"")</f>
        <v/>
      </c>
      <c r="Q97" s="47"/>
      <c r="R97" s="68">
        <f>IF(COUNT(R66:R96)&gt;0,SUM(R66:R96)/100,"")</f>
        <v>0.5</v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7031</v>
      </c>
      <c r="B98" s="29">
        <v>810</v>
      </c>
      <c r="C98" s="29">
        <v>30090</v>
      </c>
      <c r="D98" s="29">
        <v>259</v>
      </c>
      <c r="E98" s="29">
        <v>29831</v>
      </c>
      <c r="F98" s="29">
        <v>2991</v>
      </c>
      <c r="G98" s="39"/>
      <c r="H98" s="40"/>
      <c r="I98" s="52"/>
      <c r="J98" s="53"/>
      <c r="K98" s="17"/>
      <c r="L98" s="39">
        <v>878</v>
      </c>
      <c r="M98" s="43">
        <v>776</v>
      </c>
      <c r="N98" s="45" t="s">
        <v>108</v>
      </c>
      <c r="O98" s="55">
        <v>10</v>
      </c>
      <c r="P98" s="56"/>
      <c r="Q98" s="74"/>
      <c r="R98" s="70">
        <v>0</v>
      </c>
      <c r="S98" s="19"/>
      <c r="T98" s="60"/>
      <c r="U98" s="59" t="s">
        <v>108</v>
      </c>
    </row>
    <row r="99" spans="1:21" ht="15" customHeight="1" x14ac:dyDescent="0.25">
      <c r="A99" s="1">
        <f t="shared" ca="1" si="3"/>
        <v>7032</v>
      </c>
      <c r="B99" s="29">
        <v>805</v>
      </c>
      <c r="C99" s="29">
        <v>30100</v>
      </c>
      <c r="D99" s="29">
        <v>258</v>
      </c>
      <c r="E99" s="29">
        <v>29842</v>
      </c>
      <c r="F99" s="29">
        <v>2992</v>
      </c>
      <c r="G99" s="39"/>
      <c r="H99" s="40"/>
      <c r="I99" s="52"/>
      <c r="J99" s="53"/>
      <c r="K99" s="17"/>
      <c r="L99" s="39">
        <v>829</v>
      </c>
      <c r="M99" s="43">
        <v>781</v>
      </c>
      <c r="N99" s="45" t="s">
        <v>110</v>
      </c>
      <c r="O99" s="55">
        <v>9</v>
      </c>
      <c r="P99" s="56"/>
      <c r="Q99" s="74"/>
      <c r="R99" s="70">
        <v>0</v>
      </c>
      <c r="S99" s="19"/>
      <c r="T99" s="60"/>
      <c r="U99" s="59" t="s">
        <v>108</v>
      </c>
    </row>
    <row r="100" spans="1:21" ht="15" customHeight="1" x14ac:dyDescent="0.25">
      <c r="A100" s="1">
        <f t="shared" ca="1" si="3"/>
        <v>7033</v>
      </c>
      <c r="B100" s="29">
        <v>810</v>
      </c>
      <c r="C100" s="29">
        <v>30140</v>
      </c>
      <c r="D100" s="29">
        <v>259</v>
      </c>
      <c r="E100" s="29">
        <v>29881</v>
      </c>
      <c r="F100" s="29">
        <v>2996</v>
      </c>
      <c r="G100" s="39"/>
      <c r="H100" s="40"/>
      <c r="I100" s="52"/>
      <c r="J100" s="53"/>
      <c r="K100" s="17"/>
      <c r="L100" s="39">
        <v>873</v>
      </c>
      <c r="M100" s="43">
        <v>780</v>
      </c>
      <c r="N100" s="45" t="s">
        <v>108</v>
      </c>
      <c r="O100" s="55">
        <v>10</v>
      </c>
      <c r="P100" s="56"/>
      <c r="Q100" s="74"/>
      <c r="R100" s="70">
        <v>0</v>
      </c>
      <c r="S100" s="19"/>
      <c r="T100" s="60"/>
      <c r="U100" s="59" t="s">
        <v>108</v>
      </c>
    </row>
    <row r="101" spans="1:21" ht="15" customHeight="1" x14ac:dyDescent="0.25">
      <c r="A101" s="1">
        <f t="shared" ca="1" si="3"/>
        <v>7034</v>
      </c>
      <c r="B101" s="29">
        <v>805</v>
      </c>
      <c r="C101" s="29">
        <v>30110</v>
      </c>
      <c r="D101" s="29">
        <v>258</v>
      </c>
      <c r="E101" s="29">
        <v>29852</v>
      </c>
      <c r="F101" s="29">
        <v>2993</v>
      </c>
      <c r="G101" s="39"/>
      <c r="H101" s="40"/>
      <c r="I101" s="52"/>
      <c r="J101" s="53"/>
      <c r="K101" s="17"/>
      <c r="L101" s="39">
        <v>864</v>
      </c>
      <c r="M101" s="43">
        <v>755</v>
      </c>
      <c r="N101" s="45" t="s">
        <v>108</v>
      </c>
      <c r="O101" s="55">
        <v>8</v>
      </c>
      <c r="P101" s="56"/>
      <c r="Q101" s="74"/>
      <c r="R101" s="70">
        <v>0</v>
      </c>
      <c r="S101" s="19"/>
      <c r="T101" s="60"/>
      <c r="U101" s="59" t="s">
        <v>108</v>
      </c>
    </row>
    <row r="102" spans="1:21" ht="15" customHeight="1" x14ac:dyDescent="0.25">
      <c r="A102" s="1">
        <f t="shared" ca="1" si="3"/>
        <v>7035</v>
      </c>
      <c r="B102" s="29">
        <v>815</v>
      </c>
      <c r="C102" s="29">
        <v>30110</v>
      </c>
      <c r="D102" s="29">
        <v>260</v>
      </c>
      <c r="E102" s="29">
        <v>29850</v>
      </c>
      <c r="F102" s="29">
        <v>2993</v>
      </c>
      <c r="G102" s="39"/>
      <c r="H102" s="40"/>
      <c r="I102" s="52"/>
      <c r="J102" s="53"/>
      <c r="K102" s="17"/>
      <c r="L102" s="39">
        <v>860</v>
      </c>
      <c r="M102" s="43">
        <v>773</v>
      </c>
      <c r="N102" s="45" t="s">
        <v>106</v>
      </c>
      <c r="O102" s="55">
        <v>12</v>
      </c>
      <c r="P102" s="56"/>
      <c r="Q102" s="74"/>
      <c r="R102" s="70">
        <v>0</v>
      </c>
      <c r="S102" s="19"/>
      <c r="T102" s="60"/>
      <c r="U102" s="59" t="s">
        <v>108</v>
      </c>
    </row>
    <row r="103" spans="1:21" ht="15" customHeight="1" x14ac:dyDescent="0.25">
      <c r="A103" s="1">
        <f t="shared" ca="1" si="3"/>
        <v>7036</v>
      </c>
      <c r="B103" s="29">
        <v>815</v>
      </c>
      <c r="C103" s="29">
        <v>30068</v>
      </c>
      <c r="D103" s="29">
        <v>260</v>
      </c>
      <c r="E103" s="29">
        <v>29808</v>
      </c>
      <c r="F103" s="29">
        <v>2989</v>
      </c>
      <c r="G103" s="39"/>
      <c r="H103" s="40"/>
      <c r="I103" s="52"/>
      <c r="J103" s="53"/>
      <c r="K103" s="17"/>
      <c r="L103" s="39">
        <v>873</v>
      </c>
      <c r="M103" s="43">
        <v>776</v>
      </c>
      <c r="N103" s="45" t="s">
        <v>108</v>
      </c>
      <c r="O103" s="55">
        <v>8</v>
      </c>
      <c r="P103" s="56"/>
      <c r="Q103" s="74"/>
      <c r="R103" s="70">
        <v>0</v>
      </c>
      <c r="S103" s="19"/>
      <c r="T103" s="60"/>
      <c r="U103" s="59" t="s">
        <v>108</v>
      </c>
    </row>
    <row r="104" spans="1:21" ht="15" customHeight="1" x14ac:dyDescent="0.25">
      <c r="A104" s="1">
        <f t="shared" ca="1" si="3"/>
        <v>7037</v>
      </c>
      <c r="B104" s="29">
        <v>820</v>
      </c>
      <c r="C104" s="29">
        <v>30138</v>
      </c>
      <c r="D104" s="29">
        <v>262</v>
      </c>
      <c r="E104" s="29">
        <v>29876</v>
      </c>
      <c r="F104" s="29">
        <v>2996</v>
      </c>
      <c r="G104" s="39"/>
      <c r="H104" s="40"/>
      <c r="I104" s="52"/>
      <c r="J104" s="53"/>
      <c r="K104" s="17"/>
      <c r="L104" s="39">
        <v>864</v>
      </c>
      <c r="M104" s="43">
        <v>776</v>
      </c>
      <c r="N104" s="45" t="s">
        <v>108</v>
      </c>
      <c r="O104" s="55">
        <v>8</v>
      </c>
      <c r="P104" s="56"/>
      <c r="Q104" s="74"/>
      <c r="R104" s="70">
        <v>0</v>
      </c>
      <c r="S104" s="19"/>
      <c r="T104" s="60"/>
      <c r="U104" s="59" t="s">
        <v>108</v>
      </c>
    </row>
    <row r="105" spans="1:21" ht="15" customHeight="1" x14ac:dyDescent="0.25">
      <c r="A105" s="1">
        <f t="shared" ca="1" si="3"/>
        <v>7038</v>
      </c>
      <c r="B105" s="29">
        <v>820</v>
      </c>
      <c r="C105" s="29">
        <v>30091</v>
      </c>
      <c r="D105" s="29">
        <v>262</v>
      </c>
      <c r="E105" s="29">
        <v>29829</v>
      </c>
      <c r="F105" s="29">
        <v>2991</v>
      </c>
      <c r="G105" s="39"/>
      <c r="H105" s="40"/>
      <c r="I105" s="52"/>
      <c r="J105" s="53"/>
      <c r="K105" s="17"/>
      <c r="L105" s="39">
        <v>878</v>
      </c>
      <c r="M105" s="43">
        <v>782</v>
      </c>
      <c r="N105" s="45" t="s">
        <v>106</v>
      </c>
      <c r="O105" s="55">
        <v>10</v>
      </c>
      <c r="P105" s="56"/>
      <c r="Q105" s="74"/>
      <c r="R105" s="70">
        <v>0</v>
      </c>
      <c r="S105" s="19"/>
      <c r="T105" s="60"/>
      <c r="U105" s="59" t="s">
        <v>108</v>
      </c>
    </row>
    <row r="106" spans="1:21" ht="15" customHeight="1" x14ac:dyDescent="0.25">
      <c r="A106" s="1">
        <f t="shared" ca="1" si="3"/>
        <v>7039</v>
      </c>
      <c r="B106" s="29">
        <v>820</v>
      </c>
      <c r="C106" s="29">
        <v>30073</v>
      </c>
      <c r="D106" s="29">
        <v>262</v>
      </c>
      <c r="E106" s="29">
        <v>29811</v>
      </c>
      <c r="F106" s="29">
        <v>2989</v>
      </c>
      <c r="G106" s="39"/>
      <c r="H106" s="40"/>
      <c r="I106" s="52"/>
      <c r="J106" s="53"/>
      <c r="K106" s="17"/>
      <c r="L106" s="39">
        <v>879</v>
      </c>
      <c r="M106" s="43">
        <v>782</v>
      </c>
      <c r="N106" s="45" t="s">
        <v>108</v>
      </c>
      <c r="O106" s="55">
        <v>10</v>
      </c>
      <c r="P106" s="56"/>
      <c r="Q106" s="74"/>
      <c r="R106" s="70">
        <v>0</v>
      </c>
      <c r="S106" s="19"/>
      <c r="T106" s="60"/>
      <c r="U106" s="59" t="s">
        <v>108</v>
      </c>
    </row>
    <row r="107" spans="1:21" ht="15" customHeight="1" x14ac:dyDescent="0.25">
      <c r="A107" s="1">
        <f t="shared" ca="1" si="3"/>
        <v>7040</v>
      </c>
      <c r="B107" s="29">
        <v>820</v>
      </c>
      <c r="C107" s="29">
        <v>30049</v>
      </c>
      <c r="D107" s="29">
        <v>262</v>
      </c>
      <c r="E107" s="29">
        <v>29787</v>
      </c>
      <c r="F107" s="29">
        <v>2987</v>
      </c>
      <c r="G107" s="39"/>
      <c r="H107" s="40"/>
      <c r="I107" s="52"/>
      <c r="J107" s="53"/>
      <c r="K107" s="17"/>
      <c r="L107" s="39">
        <v>862</v>
      </c>
      <c r="M107" s="43">
        <v>767</v>
      </c>
      <c r="N107" s="45" t="s">
        <v>106</v>
      </c>
      <c r="O107" s="55">
        <v>8</v>
      </c>
      <c r="P107" s="56"/>
      <c r="Q107" s="74"/>
      <c r="R107" s="70">
        <v>4</v>
      </c>
      <c r="S107" s="19"/>
      <c r="T107" s="60"/>
      <c r="U107" s="59" t="s">
        <v>108</v>
      </c>
    </row>
    <row r="108" spans="1:21" ht="15" customHeight="1" x14ac:dyDescent="0.25">
      <c r="A108" s="1">
        <f t="shared" ca="1" si="3"/>
        <v>7041</v>
      </c>
      <c r="B108" s="29">
        <v>815</v>
      </c>
      <c r="C108" s="29">
        <v>30102</v>
      </c>
      <c r="D108" s="29">
        <v>260</v>
      </c>
      <c r="E108" s="29">
        <v>29842</v>
      </c>
      <c r="F108" s="29">
        <v>2992</v>
      </c>
      <c r="G108" s="39"/>
      <c r="H108" s="40"/>
      <c r="I108" s="52"/>
      <c r="J108" s="53"/>
      <c r="K108" s="17"/>
      <c r="L108" s="39">
        <v>830</v>
      </c>
      <c r="M108" s="43">
        <v>762</v>
      </c>
      <c r="N108" s="45" t="s">
        <v>106</v>
      </c>
      <c r="O108" s="55">
        <v>9</v>
      </c>
      <c r="P108" s="56"/>
      <c r="Q108" s="74"/>
      <c r="R108" s="70">
        <v>29</v>
      </c>
      <c r="S108" s="19"/>
      <c r="T108" s="60"/>
      <c r="U108" s="59" t="s">
        <v>106</v>
      </c>
    </row>
    <row r="109" spans="1:21" ht="15" customHeight="1" x14ac:dyDescent="0.25">
      <c r="A109" s="1">
        <f t="shared" ca="1" si="3"/>
        <v>7042</v>
      </c>
      <c r="B109" s="29">
        <v>820</v>
      </c>
      <c r="C109" s="29">
        <v>30134</v>
      </c>
      <c r="D109" s="29">
        <v>262</v>
      </c>
      <c r="E109" s="29">
        <v>29872</v>
      </c>
      <c r="F109" s="29">
        <v>2995</v>
      </c>
      <c r="G109" s="39"/>
      <c r="H109" s="40"/>
      <c r="I109" s="52"/>
      <c r="J109" s="53"/>
      <c r="K109" s="17"/>
      <c r="L109" s="39">
        <v>870</v>
      </c>
      <c r="M109" s="43">
        <v>764</v>
      </c>
      <c r="N109" s="45" t="s">
        <v>108</v>
      </c>
      <c r="O109" s="55">
        <v>12</v>
      </c>
      <c r="P109" s="56"/>
      <c r="Q109" s="74"/>
      <c r="R109" s="70">
        <v>0</v>
      </c>
      <c r="S109" s="19"/>
      <c r="T109" s="60"/>
      <c r="U109" s="59" t="s">
        <v>108</v>
      </c>
    </row>
    <row r="110" spans="1:21" ht="15" customHeight="1" x14ac:dyDescent="0.25">
      <c r="A110" s="1">
        <f t="shared" ca="1" si="3"/>
        <v>7043</v>
      </c>
      <c r="B110" s="29">
        <v>815</v>
      </c>
      <c r="C110" s="29">
        <v>30137</v>
      </c>
      <c r="D110" s="29">
        <v>260</v>
      </c>
      <c r="E110" s="29">
        <v>29877</v>
      </c>
      <c r="F110" s="29">
        <v>2996</v>
      </c>
      <c r="G110" s="39"/>
      <c r="H110" s="40"/>
      <c r="I110" s="52"/>
      <c r="J110" s="53"/>
      <c r="K110" s="17"/>
      <c r="L110" s="39">
        <v>869</v>
      </c>
      <c r="M110" s="43">
        <v>788</v>
      </c>
      <c r="N110" s="45" t="s">
        <v>106</v>
      </c>
      <c r="O110" s="55">
        <v>12</v>
      </c>
      <c r="P110" s="56"/>
      <c r="Q110" s="74"/>
      <c r="R110" s="70">
        <v>0</v>
      </c>
      <c r="S110" s="19"/>
      <c r="T110" s="60"/>
      <c r="U110" s="59" t="s">
        <v>108</v>
      </c>
    </row>
    <row r="111" spans="1:21" ht="15" customHeight="1" x14ac:dyDescent="0.25">
      <c r="A111" s="1">
        <f t="shared" ca="1" si="3"/>
        <v>7044</v>
      </c>
      <c r="B111" s="29">
        <v>815</v>
      </c>
      <c r="C111" s="29">
        <v>30059</v>
      </c>
      <c r="D111" s="29">
        <v>260</v>
      </c>
      <c r="E111" s="29">
        <v>29799</v>
      </c>
      <c r="F111" s="29">
        <v>2988</v>
      </c>
      <c r="G111" s="39"/>
      <c r="H111" s="40"/>
      <c r="I111" s="52"/>
      <c r="J111" s="53"/>
      <c r="K111" s="17"/>
      <c r="L111" s="39">
        <v>868</v>
      </c>
      <c r="M111" s="43">
        <v>781</v>
      </c>
      <c r="N111" s="45" t="s">
        <v>108</v>
      </c>
      <c r="O111" s="55">
        <v>12</v>
      </c>
      <c r="P111" s="56"/>
      <c r="Q111" s="74"/>
      <c r="R111" s="70">
        <v>0</v>
      </c>
      <c r="S111" s="19"/>
      <c r="T111" s="60"/>
      <c r="U111" s="59" t="s">
        <v>108</v>
      </c>
    </row>
    <row r="112" spans="1:21" ht="15" customHeight="1" x14ac:dyDescent="0.25">
      <c r="A112" s="1">
        <f t="shared" ca="1" si="3"/>
        <v>7045</v>
      </c>
      <c r="B112" s="29">
        <v>815</v>
      </c>
      <c r="C112" s="29">
        <v>30050</v>
      </c>
      <c r="D112" s="29">
        <v>260</v>
      </c>
      <c r="E112" s="29">
        <v>29790</v>
      </c>
      <c r="F112" s="29">
        <v>2987</v>
      </c>
      <c r="G112" s="39"/>
      <c r="H112" s="40"/>
      <c r="I112" s="52"/>
      <c r="J112" s="53"/>
      <c r="K112" s="17"/>
      <c r="L112" s="39">
        <v>858</v>
      </c>
      <c r="M112" s="43">
        <v>780</v>
      </c>
      <c r="N112" s="45" t="s">
        <v>108</v>
      </c>
      <c r="O112" s="55">
        <v>10</v>
      </c>
      <c r="P112" s="56"/>
      <c r="Q112" s="74"/>
      <c r="R112" s="70">
        <v>0</v>
      </c>
      <c r="S112" s="19"/>
      <c r="T112" s="60"/>
      <c r="U112" s="59" t="s">
        <v>108</v>
      </c>
    </row>
    <row r="113" spans="1:21" ht="15" customHeight="1" x14ac:dyDescent="0.25">
      <c r="A113" s="1">
        <f t="shared" ca="1" si="3"/>
        <v>7046</v>
      </c>
      <c r="B113" s="29">
        <v>815</v>
      </c>
      <c r="C113" s="29">
        <v>30071</v>
      </c>
      <c r="D113" s="29">
        <v>260</v>
      </c>
      <c r="E113" s="29">
        <v>29811</v>
      </c>
      <c r="F113" s="29">
        <v>2989</v>
      </c>
      <c r="G113" s="39"/>
      <c r="H113" s="40"/>
      <c r="I113" s="52"/>
      <c r="J113" s="53"/>
      <c r="K113" s="17"/>
      <c r="L113" s="39">
        <v>852</v>
      </c>
      <c r="M113" s="43">
        <v>787</v>
      </c>
      <c r="N113" s="45" t="s">
        <v>110</v>
      </c>
      <c r="O113" s="55">
        <v>10</v>
      </c>
      <c r="P113" s="56"/>
      <c r="Q113" s="74"/>
      <c r="R113" s="70">
        <v>0</v>
      </c>
      <c r="S113" s="19"/>
      <c r="T113" s="60"/>
      <c r="U113" s="59" t="s">
        <v>108</v>
      </c>
    </row>
    <row r="114" spans="1:21" ht="15" customHeight="1" x14ac:dyDescent="0.25">
      <c r="A114" s="1">
        <f t="shared" ca="1" si="3"/>
        <v>7047</v>
      </c>
      <c r="B114" s="29">
        <v>820</v>
      </c>
      <c r="C114" s="29">
        <v>30100</v>
      </c>
      <c r="D114" s="29">
        <v>262</v>
      </c>
      <c r="E114" s="29">
        <v>29838</v>
      </c>
      <c r="F114" s="29">
        <v>2992</v>
      </c>
      <c r="G114" s="39"/>
      <c r="H114" s="40"/>
      <c r="I114" s="52"/>
      <c r="J114" s="53"/>
      <c r="K114" s="17"/>
      <c r="L114" s="39">
        <v>872</v>
      </c>
      <c r="M114" s="43">
        <v>790</v>
      </c>
      <c r="N114" s="45" t="s">
        <v>108</v>
      </c>
      <c r="O114" s="55">
        <v>12</v>
      </c>
      <c r="P114" s="56"/>
      <c r="Q114" s="74"/>
      <c r="R114" s="70">
        <v>0</v>
      </c>
      <c r="S114" s="19"/>
      <c r="T114" s="60"/>
      <c r="U114" s="59" t="s">
        <v>108</v>
      </c>
    </row>
    <row r="115" spans="1:21" ht="15" customHeight="1" x14ac:dyDescent="0.25">
      <c r="A115" s="1">
        <f t="shared" ca="1" si="3"/>
        <v>7048</v>
      </c>
      <c r="B115" s="29">
        <v>815</v>
      </c>
      <c r="C115" s="29">
        <v>30078</v>
      </c>
      <c r="D115" s="29">
        <v>260</v>
      </c>
      <c r="E115" s="29">
        <v>29818</v>
      </c>
      <c r="F115" s="29">
        <v>2990</v>
      </c>
      <c r="G115" s="39"/>
      <c r="H115" s="40"/>
      <c r="I115" s="52"/>
      <c r="J115" s="53"/>
      <c r="K115" s="17"/>
      <c r="L115" s="39">
        <v>876</v>
      </c>
      <c r="M115" s="43">
        <v>792</v>
      </c>
      <c r="N115" s="45" t="s">
        <v>108</v>
      </c>
      <c r="O115" s="55">
        <v>15</v>
      </c>
      <c r="P115" s="56"/>
      <c r="Q115" s="74"/>
      <c r="R115" s="70">
        <v>0</v>
      </c>
      <c r="S115" s="19"/>
      <c r="T115" s="60"/>
      <c r="U115" s="59" t="s">
        <v>108</v>
      </c>
    </row>
    <row r="116" spans="1:21" ht="15" customHeight="1" x14ac:dyDescent="0.25">
      <c r="A116" s="1">
        <f t="shared" ca="1" si="3"/>
        <v>7049</v>
      </c>
      <c r="B116" s="29">
        <v>815</v>
      </c>
      <c r="C116" s="29">
        <v>30067</v>
      </c>
      <c r="D116" s="29">
        <v>260</v>
      </c>
      <c r="E116" s="29">
        <v>29807</v>
      </c>
      <c r="F116" s="29">
        <v>2989</v>
      </c>
      <c r="G116" s="39"/>
      <c r="H116" s="40"/>
      <c r="I116" s="52"/>
      <c r="J116" s="53"/>
      <c r="K116" s="17"/>
      <c r="L116" s="39">
        <v>846</v>
      </c>
      <c r="M116" s="43">
        <v>775</v>
      </c>
      <c r="N116" s="45" t="s">
        <v>108</v>
      </c>
      <c r="O116" s="55">
        <v>9</v>
      </c>
      <c r="P116" s="56"/>
      <c r="Q116" s="74"/>
      <c r="R116" s="70">
        <v>0</v>
      </c>
      <c r="S116" s="19"/>
      <c r="T116" s="60"/>
      <c r="U116" s="59" t="s">
        <v>108</v>
      </c>
    </row>
    <row r="117" spans="1:21" ht="15" customHeight="1" x14ac:dyDescent="0.25">
      <c r="A117" s="1">
        <f t="shared" ca="1" si="3"/>
        <v>7050</v>
      </c>
      <c r="B117" s="29">
        <v>810</v>
      </c>
      <c r="C117" s="29">
        <v>30092</v>
      </c>
      <c r="D117" s="29">
        <v>259</v>
      </c>
      <c r="E117" s="29">
        <v>29833</v>
      </c>
      <c r="F117" s="29">
        <v>2991</v>
      </c>
      <c r="G117" s="39"/>
      <c r="H117" s="40"/>
      <c r="I117" s="52"/>
      <c r="J117" s="53"/>
      <c r="K117" s="17"/>
      <c r="L117" s="39">
        <v>851</v>
      </c>
      <c r="M117" s="43">
        <v>773</v>
      </c>
      <c r="N117" s="45" t="s">
        <v>110</v>
      </c>
      <c r="O117" s="55">
        <v>8</v>
      </c>
      <c r="P117" s="56"/>
      <c r="Q117" s="74"/>
      <c r="R117" s="70">
        <v>0</v>
      </c>
      <c r="S117" s="19"/>
      <c r="T117" s="60"/>
      <c r="U117" s="59" t="s">
        <v>108</v>
      </c>
    </row>
    <row r="118" spans="1:21" ht="15" customHeight="1" x14ac:dyDescent="0.25">
      <c r="A118" s="1">
        <f t="shared" ca="1" si="3"/>
        <v>7051</v>
      </c>
      <c r="B118" s="29">
        <v>815</v>
      </c>
      <c r="C118" s="29">
        <v>30069</v>
      </c>
      <c r="D118" s="29">
        <v>260</v>
      </c>
      <c r="E118" s="29">
        <v>29809</v>
      </c>
      <c r="F118" s="29">
        <v>2989</v>
      </c>
      <c r="G118" s="39"/>
      <c r="H118" s="40"/>
      <c r="I118" s="52"/>
      <c r="J118" s="53"/>
      <c r="K118" s="17"/>
      <c r="L118" s="39">
        <v>878</v>
      </c>
      <c r="M118" s="43">
        <v>771</v>
      </c>
      <c r="N118" s="45" t="s">
        <v>108</v>
      </c>
      <c r="O118" s="55">
        <v>9</v>
      </c>
      <c r="P118" s="56"/>
      <c r="Q118" s="74"/>
      <c r="R118" s="70">
        <v>0</v>
      </c>
      <c r="S118" s="19"/>
      <c r="T118" s="60"/>
      <c r="U118" s="59" t="s">
        <v>108</v>
      </c>
    </row>
    <row r="119" spans="1:21" ht="15" customHeight="1" x14ac:dyDescent="0.25">
      <c r="A119" s="1">
        <f t="shared" ca="1" si="3"/>
        <v>7052</v>
      </c>
      <c r="B119" s="29">
        <v>815</v>
      </c>
      <c r="C119" s="29">
        <v>30050</v>
      </c>
      <c r="D119" s="29">
        <v>260</v>
      </c>
      <c r="E119" s="29">
        <v>29790</v>
      </c>
      <c r="F119" s="29">
        <v>2987</v>
      </c>
      <c r="G119" s="39"/>
      <c r="H119" s="40"/>
      <c r="I119" s="52"/>
      <c r="J119" s="53"/>
      <c r="K119" s="17"/>
      <c r="L119" s="39">
        <v>873</v>
      </c>
      <c r="M119" s="43">
        <v>776</v>
      </c>
      <c r="N119" s="45" t="s">
        <v>108</v>
      </c>
      <c r="O119" s="55">
        <v>9</v>
      </c>
      <c r="P119" s="56"/>
      <c r="Q119" s="74"/>
      <c r="R119" s="70">
        <v>0</v>
      </c>
      <c r="S119" s="19"/>
      <c r="T119" s="60"/>
      <c r="U119" s="59" t="s">
        <v>108</v>
      </c>
    </row>
    <row r="120" spans="1:21" ht="15" customHeight="1" x14ac:dyDescent="0.25">
      <c r="A120" s="1">
        <f t="shared" ca="1" si="3"/>
        <v>7053</v>
      </c>
      <c r="B120" s="29">
        <v>815</v>
      </c>
      <c r="C120" s="29">
        <v>30060</v>
      </c>
      <c r="D120" s="29">
        <v>260</v>
      </c>
      <c r="E120" s="29">
        <v>29800</v>
      </c>
      <c r="F120" s="29">
        <v>2988</v>
      </c>
      <c r="G120" s="39"/>
      <c r="H120" s="40"/>
      <c r="I120" s="52"/>
      <c r="J120" s="53"/>
      <c r="K120" s="17"/>
      <c r="L120" s="39">
        <v>860</v>
      </c>
      <c r="M120" s="43">
        <v>781</v>
      </c>
      <c r="N120" s="45" t="s">
        <v>108</v>
      </c>
      <c r="O120" s="55">
        <v>10</v>
      </c>
      <c r="P120" s="56"/>
      <c r="Q120" s="74"/>
      <c r="R120" s="70">
        <v>0</v>
      </c>
      <c r="S120" s="19"/>
      <c r="T120" s="60"/>
      <c r="U120" s="59" t="s">
        <v>108</v>
      </c>
    </row>
    <row r="121" spans="1:21" ht="15" customHeight="1" x14ac:dyDescent="0.25">
      <c r="A121" s="1">
        <f t="shared" ca="1" si="3"/>
        <v>7054</v>
      </c>
      <c r="B121" s="29">
        <v>820</v>
      </c>
      <c r="C121" s="29">
        <v>30050</v>
      </c>
      <c r="D121" s="29">
        <v>262</v>
      </c>
      <c r="E121" s="29">
        <v>29788</v>
      </c>
      <c r="F121" s="29">
        <v>2987</v>
      </c>
      <c r="G121" s="39"/>
      <c r="H121" s="40"/>
      <c r="I121" s="52"/>
      <c r="J121" s="53"/>
      <c r="K121" s="17"/>
      <c r="L121" s="39">
        <v>869</v>
      </c>
      <c r="M121" s="43">
        <v>791</v>
      </c>
      <c r="N121" s="45" t="s">
        <v>106</v>
      </c>
      <c r="O121" s="55">
        <v>8</v>
      </c>
      <c r="P121" s="56"/>
      <c r="Q121" s="74"/>
      <c r="R121" s="70">
        <v>1</v>
      </c>
      <c r="S121" s="19"/>
      <c r="T121" s="60"/>
      <c r="U121" s="59" t="s">
        <v>108</v>
      </c>
    </row>
    <row r="122" spans="1:21" ht="15" customHeight="1" x14ac:dyDescent="0.25">
      <c r="A122" s="1">
        <f t="shared" ca="1" si="3"/>
        <v>7055</v>
      </c>
      <c r="B122" s="29">
        <v>820</v>
      </c>
      <c r="C122" s="29">
        <v>30000</v>
      </c>
      <c r="D122" s="29">
        <v>262</v>
      </c>
      <c r="E122" s="29">
        <v>29738</v>
      </c>
      <c r="F122" s="29">
        <v>2982</v>
      </c>
      <c r="G122" s="39"/>
      <c r="H122" s="40"/>
      <c r="I122" s="52"/>
      <c r="J122" s="53"/>
      <c r="K122" s="17"/>
      <c r="L122" s="39">
        <v>838</v>
      </c>
      <c r="M122" s="43">
        <v>775</v>
      </c>
      <c r="N122" s="45" t="s">
        <v>108</v>
      </c>
      <c r="O122" s="55">
        <v>10</v>
      </c>
      <c r="P122" s="56"/>
      <c r="Q122" s="74"/>
      <c r="R122" s="70">
        <v>0</v>
      </c>
      <c r="S122" s="19"/>
      <c r="T122" s="60"/>
      <c r="U122" s="59" t="s">
        <v>108</v>
      </c>
    </row>
    <row r="123" spans="1:21" ht="15" customHeight="1" x14ac:dyDescent="0.25">
      <c r="A123" s="1">
        <f t="shared" ca="1" si="3"/>
        <v>7056</v>
      </c>
      <c r="B123" s="29">
        <v>800</v>
      </c>
      <c r="C123" s="29">
        <v>30018</v>
      </c>
      <c r="D123" s="29">
        <v>256</v>
      </c>
      <c r="E123" s="29">
        <v>29762</v>
      </c>
      <c r="F123" s="29">
        <v>2984</v>
      </c>
      <c r="G123" s="39"/>
      <c r="H123" s="40"/>
      <c r="I123" s="52"/>
      <c r="J123" s="53"/>
      <c r="K123" s="17"/>
      <c r="L123" s="39">
        <v>872</v>
      </c>
      <c r="M123" s="43">
        <v>766</v>
      </c>
      <c r="N123" s="45" t="s">
        <v>110</v>
      </c>
      <c r="O123" s="55">
        <v>12</v>
      </c>
      <c r="P123" s="56"/>
      <c r="Q123" s="74"/>
      <c r="R123" s="70">
        <v>90</v>
      </c>
      <c r="S123" s="19"/>
      <c r="T123" s="60"/>
      <c r="U123" s="59" t="s">
        <v>108</v>
      </c>
    </row>
    <row r="124" spans="1:21" ht="15" customHeight="1" x14ac:dyDescent="0.25">
      <c r="A124" s="1">
        <f t="shared" ca="1" si="3"/>
        <v>7057</v>
      </c>
      <c r="B124" s="29">
        <v>805</v>
      </c>
      <c r="C124" s="29">
        <v>30076</v>
      </c>
      <c r="D124" s="29">
        <v>258</v>
      </c>
      <c r="E124" s="29">
        <v>29818</v>
      </c>
      <c r="F124" s="29">
        <v>2990</v>
      </c>
      <c r="G124" s="39"/>
      <c r="H124" s="40"/>
      <c r="I124" s="52"/>
      <c r="J124" s="53"/>
      <c r="K124" s="17"/>
      <c r="L124" s="39">
        <v>830</v>
      </c>
      <c r="M124" s="43">
        <v>769</v>
      </c>
      <c r="N124" s="45" t="s">
        <v>106</v>
      </c>
      <c r="O124" s="55">
        <v>5</v>
      </c>
      <c r="P124" s="56"/>
      <c r="Q124" s="74"/>
      <c r="R124" s="70">
        <v>9</v>
      </c>
      <c r="S124" s="19"/>
      <c r="T124" s="60"/>
      <c r="U124" s="59" t="s">
        <v>108</v>
      </c>
    </row>
    <row r="125" spans="1:21" ht="15" customHeight="1" x14ac:dyDescent="0.25">
      <c r="A125" s="1">
        <f t="shared" ca="1" si="3"/>
        <v>7058</v>
      </c>
      <c r="B125" s="29">
        <v>805</v>
      </c>
      <c r="C125" s="29">
        <v>30073</v>
      </c>
      <c r="D125" s="29">
        <v>258</v>
      </c>
      <c r="E125" s="29">
        <v>29815</v>
      </c>
      <c r="F125" s="29">
        <v>2990</v>
      </c>
      <c r="G125" s="39"/>
      <c r="H125" s="40"/>
      <c r="I125" s="52"/>
      <c r="J125" s="53"/>
      <c r="K125" s="17"/>
      <c r="L125" s="39">
        <v>826</v>
      </c>
      <c r="M125" s="43">
        <v>767</v>
      </c>
      <c r="N125" s="45" t="s">
        <v>106</v>
      </c>
      <c r="O125" s="55">
        <v>5</v>
      </c>
      <c r="P125" s="56"/>
      <c r="Q125" s="74"/>
      <c r="R125" s="70">
        <v>2</v>
      </c>
      <c r="S125" s="19"/>
      <c r="T125" s="60"/>
      <c r="U125" s="59" t="s">
        <v>106</v>
      </c>
    </row>
    <row r="126" spans="1:21" ht="15" customHeight="1" x14ac:dyDescent="0.25">
      <c r="A126" s="1">
        <f t="shared" ca="1" si="3"/>
        <v>7059</v>
      </c>
      <c r="B126" s="29">
        <v>810</v>
      </c>
      <c r="C126" s="29">
        <v>30040</v>
      </c>
      <c r="D126" s="29">
        <v>259</v>
      </c>
      <c r="E126" s="29">
        <v>29787</v>
      </c>
      <c r="F126" s="29">
        <v>2986</v>
      </c>
      <c r="G126" s="39"/>
      <c r="H126" s="40"/>
      <c r="I126" s="52"/>
      <c r="J126" s="53"/>
      <c r="K126" s="17"/>
      <c r="L126" s="39">
        <v>868</v>
      </c>
      <c r="M126" s="43">
        <v>774</v>
      </c>
      <c r="N126" s="45" t="s">
        <v>108</v>
      </c>
      <c r="O126" s="55">
        <v>8</v>
      </c>
      <c r="P126" s="56"/>
      <c r="Q126" s="74"/>
      <c r="R126" s="70">
        <v>0</v>
      </c>
      <c r="S126" s="19"/>
      <c r="T126" s="60"/>
      <c r="U126" s="59" t="s">
        <v>108</v>
      </c>
    </row>
    <row r="127" spans="1:21" ht="15" customHeight="1" x14ac:dyDescent="0.25">
      <c r="A127" s="1">
        <f t="shared" ca="1" si="3"/>
        <v>7060</v>
      </c>
      <c r="B127" s="29">
        <v>820</v>
      </c>
      <c r="C127" s="29">
        <v>30031</v>
      </c>
      <c r="D127" s="29">
        <v>262</v>
      </c>
      <c r="E127" s="29">
        <v>29769</v>
      </c>
      <c r="F127" s="29">
        <v>2985</v>
      </c>
      <c r="G127" s="39"/>
      <c r="H127" s="40"/>
      <c r="I127" s="52"/>
      <c r="J127" s="53"/>
      <c r="K127" s="17"/>
      <c r="L127" s="39">
        <v>868</v>
      </c>
      <c r="M127" s="43">
        <v>780</v>
      </c>
      <c r="N127" s="45" t="s">
        <v>106</v>
      </c>
      <c r="O127" s="55">
        <v>10</v>
      </c>
      <c r="P127" s="56"/>
      <c r="Q127" s="74"/>
      <c r="R127" s="70">
        <v>9</v>
      </c>
      <c r="S127" s="19"/>
      <c r="T127" s="60"/>
      <c r="U127" s="59" t="s">
        <v>108</v>
      </c>
    </row>
    <row r="128" spans="1:21" x14ac:dyDescent="0.25">
      <c r="A128" s="1" t="str">
        <f t="shared" ca="1" si="3"/>
        <v>Totaal</v>
      </c>
      <c r="B128" s="61">
        <f>IF(COUNT(B98:B127)&gt;0,AVERAGE(B98:B127)/10,"")</f>
        <v>81.400000000000006</v>
      </c>
      <c r="C128" s="62">
        <f>IF(COUNT(C98:C127)&gt;0,AVERAGE(C98:C127)/1000,"")</f>
        <v>30.077533333333331</v>
      </c>
      <c r="D128" s="62">
        <f>IF(COUNT(D98:D127)&gt;0,AVERAGE(D98:D127)/1000,"")</f>
        <v>0.26006666666666667</v>
      </c>
      <c r="E128" s="62">
        <f>IF(COUNT(E98:E127)&gt;0,AVERAGE(E98:E127)/1000,"")</f>
        <v>29.817666666666668</v>
      </c>
      <c r="F128" s="62">
        <f>IF(COUNT(F98:F127)&gt;0,AVERAGE(F98:F127)/100,"")</f>
        <v>29.898000000000003</v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>
        <f>IF(COUNT(L98:L127)&gt;0,AVERAGE(L98:L127)/10,"")</f>
        <v>86.11333333333333</v>
      </c>
      <c r="M128" s="44">
        <f>IF(COUNT(M98:M127)&gt;0,AVERAGE(M98:M127)/10,"")</f>
        <v>77.63333333333334</v>
      </c>
      <c r="N128" s="46"/>
      <c r="O128" s="57">
        <f>IF(COUNT(O98:O127)&gt;0,AVERAGE(O98:O127),"")</f>
        <v>9.6</v>
      </c>
      <c r="P128" s="58" t="str">
        <f>IF(COUNT(P98:P127)&gt;0,AVERAGE(P98:P127),"")</f>
        <v/>
      </c>
      <c r="Q128" s="47"/>
      <c r="R128" s="68">
        <f>IF(COUNT(R98:R127)&gt;0,SUM(R98:R127)/100,"")</f>
        <v>1.44</v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7061</v>
      </c>
      <c r="B129" s="29">
        <v>820</v>
      </c>
      <c r="C129" s="29">
        <v>30040</v>
      </c>
      <c r="D129" s="29">
        <v>262</v>
      </c>
      <c r="E129" s="29">
        <v>29778</v>
      </c>
      <c r="F129" s="29">
        <v>2986</v>
      </c>
      <c r="G129" s="39"/>
      <c r="H129" s="40"/>
      <c r="I129" s="52"/>
      <c r="J129" s="53"/>
      <c r="K129" s="17"/>
      <c r="L129" s="39">
        <v>869</v>
      </c>
      <c r="M129" s="43">
        <v>789</v>
      </c>
      <c r="N129" s="45" t="s">
        <v>108</v>
      </c>
      <c r="O129" s="55">
        <v>12</v>
      </c>
      <c r="P129" s="56"/>
      <c r="Q129" s="74"/>
      <c r="R129" s="70">
        <v>0</v>
      </c>
      <c r="S129" s="19"/>
      <c r="T129" s="60"/>
      <c r="U129" s="59" t="s">
        <v>108</v>
      </c>
    </row>
    <row r="130" spans="1:21" ht="15" customHeight="1" x14ac:dyDescent="0.25">
      <c r="A130" s="1">
        <f t="shared" ca="1" si="3"/>
        <v>7062</v>
      </c>
      <c r="B130" s="29">
        <v>820</v>
      </c>
      <c r="C130" s="29">
        <v>30101</v>
      </c>
      <c r="D130" s="29">
        <v>262</v>
      </c>
      <c r="E130" s="29">
        <v>29839</v>
      </c>
      <c r="F130" s="29">
        <v>2992</v>
      </c>
      <c r="G130" s="39"/>
      <c r="H130" s="40"/>
      <c r="I130" s="52"/>
      <c r="J130" s="53"/>
      <c r="K130" s="17"/>
      <c r="L130" s="39">
        <v>871</v>
      </c>
      <c r="M130" s="43">
        <v>769</v>
      </c>
      <c r="N130" s="45" t="s">
        <v>108</v>
      </c>
      <c r="O130" s="55">
        <v>12</v>
      </c>
      <c r="P130" s="56"/>
      <c r="Q130" s="74"/>
      <c r="R130" s="70">
        <v>0</v>
      </c>
      <c r="S130" s="19"/>
      <c r="T130" s="60"/>
      <c r="U130" s="59" t="s">
        <v>108</v>
      </c>
    </row>
    <row r="131" spans="1:21" ht="15" customHeight="1" x14ac:dyDescent="0.25">
      <c r="A131" s="1">
        <f t="shared" ca="1" si="3"/>
        <v>7063</v>
      </c>
      <c r="B131" s="29">
        <v>820</v>
      </c>
      <c r="C131" s="29">
        <v>30110</v>
      </c>
      <c r="D131" s="29">
        <v>262</v>
      </c>
      <c r="E131" s="29">
        <v>29848</v>
      </c>
      <c r="F131" s="29">
        <v>2993</v>
      </c>
      <c r="G131" s="39"/>
      <c r="H131" s="40"/>
      <c r="I131" s="52"/>
      <c r="J131" s="53"/>
      <c r="K131" s="17"/>
      <c r="L131" s="39">
        <v>870</v>
      </c>
      <c r="M131" s="43">
        <v>787</v>
      </c>
      <c r="N131" s="45" t="s">
        <v>108</v>
      </c>
      <c r="O131" s="55">
        <v>8</v>
      </c>
      <c r="P131" s="56"/>
      <c r="Q131" s="74"/>
      <c r="R131" s="70">
        <v>0</v>
      </c>
      <c r="S131" s="19"/>
      <c r="T131" s="60"/>
      <c r="U131" s="59" t="s">
        <v>108</v>
      </c>
    </row>
    <row r="132" spans="1:21" ht="15" customHeight="1" x14ac:dyDescent="0.25">
      <c r="A132" s="1">
        <f t="shared" ca="1" si="3"/>
        <v>7064</v>
      </c>
      <c r="B132" s="29">
        <v>820</v>
      </c>
      <c r="C132" s="29">
        <v>30102</v>
      </c>
      <c r="D132" s="29">
        <v>262</v>
      </c>
      <c r="E132" s="29">
        <v>29840</v>
      </c>
      <c r="F132" s="29">
        <v>2992</v>
      </c>
      <c r="G132" s="39"/>
      <c r="H132" s="40"/>
      <c r="I132" s="52"/>
      <c r="J132" s="53"/>
      <c r="K132" s="17"/>
      <c r="L132" s="39">
        <v>876</v>
      </c>
      <c r="M132" s="43">
        <v>762</v>
      </c>
      <c r="N132" s="45" t="s">
        <v>106</v>
      </c>
      <c r="O132" s="55">
        <v>10</v>
      </c>
      <c r="P132" s="56"/>
      <c r="Q132" s="74"/>
      <c r="R132" s="70">
        <v>2</v>
      </c>
      <c r="S132" s="19"/>
      <c r="T132" s="60"/>
      <c r="U132" s="59" t="s">
        <v>108</v>
      </c>
    </row>
    <row r="133" spans="1:21" ht="15" customHeight="1" x14ac:dyDescent="0.25">
      <c r="A133" s="1">
        <f t="shared" ca="1" si="3"/>
        <v>7065</v>
      </c>
      <c r="B133" s="29">
        <v>820</v>
      </c>
      <c r="C133" s="29">
        <v>30099</v>
      </c>
      <c r="D133" s="29">
        <v>262</v>
      </c>
      <c r="E133" s="29">
        <v>29837</v>
      </c>
      <c r="F133" s="29">
        <v>2992</v>
      </c>
      <c r="G133" s="39"/>
      <c r="H133" s="40"/>
      <c r="I133" s="52"/>
      <c r="J133" s="53"/>
      <c r="K133" s="17"/>
      <c r="L133" s="39">
        <v>864</v>
      </c>
      <c r="M133" s="43">
        <v>782</v>
      </c>
      <c r="N133" s="45" t="s">
        <v>106</v>
      </c>
      <c r="O133" s="55">
        <v>8</v>
      </c>
      <c r="P133" s="56"/>
      <c r="Q133" s="74"/>
      <c r="R133" s="70">
        <v>0</v>
      </c>
      <c r="S133" s="19"/>
      <c r="T133" s="60"/>
      <c r="U133" s="59" t="s">
        <v>108</v>
      </c>
    </row>
    <row r="134" spans="1:21" ht="15" customHeight="1" x14ac:dyDescent="0.25">
      <c r="A134" s="1">
        <f t="shared" ca="1" si="3"/>
        <v>7066</v>
      </c>
      <c r="B134" s="29">
        <v>820</v>
      </c>
      <c r="C134" s="29">
        <v>30091</v>
      </c>
      <c r="D134" s="29">
        <v>260</v>
      </c>
      <c r="E134" s="29">
        <v>29831</v>
      </c>
      <c r="F134" s="29">
        <v>2991</v>
      </c>
      <c r="G134" s="39"/>
      <c r="H134" s="40"/>
      <c r="I134" s="52"/>
      <c r="J134" s="53"/>
      <c r="K134" s="17"/>
      <c r="L134" s="39">
        <v>888</v>
      </c>
      <c r="M134" s="43">
        <v>783</v>
      </c>
      <c r="N134" s="45" t="s">
        <v>108</v>
      </c>
      <c r="O134" s="55">
        <v>8</v>
      </c>
      <c r="P134" s="56"/>
      <c r="Q134" s="74"/>
      <c r="R134" s="70">
        <v>0</v>
      </c>
      <c r="S134" s="19"/>
      <c r="T134" s="60"/>
      <c r="U134" s="59" t="s">
        <v>108</v>
      </c>
    </row>
    <row r="135" spans="1:21" ht="15" customHeight="1" x14ac:dyDescent="0.25">
      <c r="A135" s="1">
        <f t="shared" ref="A135:A198" ca="1" si="7">IF(ISTEXT(A134),A133+1,IF(MONTH(A134+1)=MONTH(A134),A134+1,"Totaal"))</f>
        <v>7067</v>
      </c>
      <c r="B135" s="29">
        <v>820</v>
      </c>
      <c r="C135" s="29">
        <v>30042</v>
      </c>
      <c r="D135" s="29">
        <v>260</v>
      </c>
      <c r="E135" s="29">
        <v>29782</v>
      </c>
      <c r="F135" s="29">
        <v>2986</v>
      </c>
      <c r="G135" s="39"/>
      <c r="H135" s="40"/>
      <c r="I135" s="52"/>
      <c r="J135" s="53"/>
      <c r="K135" s="17"/>
      <c r="L135" s="39">
        <v>876</v>
      </c>
      <c r="M135" s="43">
        <v>784</v>
      </c>
      <c r="N135" s="45" t="s">
        <v>108</v>
      </c>
      <c r="O135" s="55">
        <v>12</v>
      </c>
      <c r="P135" s="56"/>
      <c r="Q135" s="74"/>
      <c r="R135" s="70">
        <v>0</v>
      </c>
      <c r="S135" s="19"/>
      <c r="T135" s="60"/>
      <c r="U135" s="59" t="s">
        <v>108</v>
      </c>
    </row>
    <row r="136" spans="1:21" ht="15" customHeight="1" x14ac:dyDescent="0.25">
      <c r="A136" s="1">
        <f t="shared" ca="1" si="7"/>
        <v>7068</v>
      </c>
      <c r="B136" s="29">
        <v>815</v>
      </c>
      <c r="C136" s="29">
        <v>30038</v>
      </c>
      <c r="D136" s="29">
        <v>258</v>
      </c>
      <c r="E136" s="29">
        <v>29780</v>
      </c>
      <c r="F136" s="29">
        <v>2986</v>
      </c>
      <c r="G136" s="39"/>
      <c r="H136" s="40"/>
      <c r="I136" s="52"/>
      <c r="J136" s="53"/>
      <c r="K136" s="17"/>
      <c r="L136" s="39">
        <v>873</v>
      </c>
      <c r="M136" s="43">
        <v>789</v>
      </c>
      <c r="N136" s="45" t="s">
        <v>108</v>
      </c>
      <c r="O136" s="55">
        <v>10</v>
      </c>
      <c r="P136" s="56"/>
      <c r="Q136" s="74"/>
      <c r="R136" s="70">
        <v>0</v>
      </c>
      <c r="S136" s="19"/>
      <c r="T136" s="60"/>
      <c r="U136" s="59" t="s">
        <v>108</v>
      </c>
    </row>
    <row r="137" spans="1:21" ht="15" customHeight="1" x14ac:dyDescent="0.25">
      <c r="A137" s="1">
        <f t="shared" ca="1" si="7"/>
        <v>7069</v>
      </c>
      <c r="B137" s="29">
        <v>820</v>
      </c>
      <c r="C137" s="29">
        <v>30071</v>
      </c>
      <c r="D137" s="29">
        <v>260</v>
      </c>
      <c r="E137" s="29">
        <v>29811</v>
      </c>
      <c r="F137" s="29">
        <v>2989</v>
      </c>
      <c r="G137" s="39"/>
      <c r="H137" s="40"/>
      <c r="I137" s="52"/>
      <c r="J137" s="53"/>
      <c r="K137" s="17"/>
      <c r="L137" s="39">
        <v>866</v>
      </c>
      <c r="M137" s="43">
        <v>780</v>
      </c>
      <c r="N137" s="45" t="s">
        <v>108</v>
      </c>
      <c r="O137" s="55">
        <v>12</v>
      </c>
      <c r="P137" s="56"/>
      <c r="Q137" s="74"/>
      <c r="R137" s="70">
        <v>3</v>
      </c>
      <c r="S137" s="19"/>
      <c r="T137" s="60"/>
      <c r="U137" s="59" t="s">
        <v>108</v>
      </c>
    </row>
    <row r="138" spans="1:21" ht="15" customHeight="1" x14ac:dyDescent="0.25">
      <c r="A138" s="1">
        <f t="shared" ca="1" si="7"/>
        <v>7070</v>
      </c>
      <c r="B138" s="29">
        <v>820</v>
      </c>
      <c r="C138" s="29">
        <v>30072</v>
      </c>
      <c r="D138" s="29">
        <v>262</v>
      </c>
      <c r="E138" s="29">
        <v>29810</v>
      </c>
      <c r="F138" s="29">
        <v>2989</v>
      </c>
      <c r="G138" s="39"/>
      <c r="H138" s="40"/>
      <c r="I138" s="52"/>
      <c r="J138" s="53"/>
      <c r="K138" s="17"/>
      <c r="L138" s="39">
        <v>876</v>
      </c>
      <c r="M138" s="43">
        <v>782</v>
      </c>
      <c r="N138" s="45" t="s">
        <v>108</v>
      </c>
      <c r="O138" s="55">
        <v>10</v>
      </c>
      <c r="P138" s="56"/>
      <c r="Q138" s="74"/>
      <c r="R138" s="70">
        <v>0</v>
      </c>
      <c r="S138" s="19"/>
      <c r="T138" s="60"/>
      <c r="U138" s="59" t="s">
        <v>108</v>
      </c>
    </row>
    <row r="139" spans="1:21" ht="15" customHeight="1" x14ac:dyDescent="0.25">
      <c r="A139" s="1">
        <f t="shared" ca="1" si="7"/>
        <v>7071</v>
      </c>
      <c r="B139" s="29">
        <v>815</v>
      </c>
      <c r="C139" s="29">
        <v>30085</v>
      </c>
      <c r="D139" s="29">
        <v>260</v>
      </c>
      <c r="E139" s="29">
        <v>29825</v>
      </c>
      <c r="F139" s="29">
        <v>2991</v>
      </c>
      <c r="G139" s="39"/>
      <c r="H139" s="40"/>
      <c r="I139" s="52"/>
      <c r="J139" s="53"/>
      <c r="K139" s="17"/>
      <c r="L139" s="39">
        <v>884</v>
      </c>
      <c r="M139" s="43">
        <v>779</v>
      </c>
      <c r="N139" s="45" t="s">
        <v>108</v>
      </c>
      <c r="O139" s="55">
        <v>8</v>
      </c>
      <c r="P139" s="56"/>
      <c r="Q139" s="74"/>
      <c r="R139" s="70">
        <v>4</v>
      </c>
      <c r="S139" s="19"/>
      <c r="T139" s="60"/>
      <c r="U139" s="59" t="s">
        <v>108</v>
      </c>
    </row>
    <row r="140" spans="1:21" ht="15" customHeight="1" x14ac:dyDescent="0.25">
      <c r="A140" s="1">
        <f t="shared" ca="1" si="7"/>
        <v>7072</v>
      </c>
      <c r="B140" s="29">
        <v>815</v>
      </c>
      <c r="C140" s="29">
        <v>30091</v>
      </c>
      <c r="D140" s="29">
        <v>260</v>
      </c>
      <c r="E140" s="29">
        <v>29831</v>
      </c>
      <c r="F140" s="29">
        <v>2991</v>
      </c>
      <c r="G140" s="39"/>
      <c r="H140" s="40"/>
      <c r="I140" s="52"/>
      <c r="J140" s="53"/>
      <c r="K140" s="17"/>
      <c r="L140" s="39">
        <v>869</v>
      </c>
      <c r="M140" s="43">
        <v>790</v>
      </c>
      <c r="N140" s="45" t="s">
        <v>110</v>
      </c>
      <c r="O140" s="55">
        <v>8</v>
      </c>
      <c r="P140" s="56"/>
      <c r="Q140" s="74"/>
      <c r="R140" s="70">
        <v>8</v>
      </c>
      <c r="S140" s="19"/>
      <c r="T140" s="60"/>
      <c r="U140" s="59" t="s">
        <v>108</v>
      </c>
    </row>
    <row r="141" spans="1:21" ht="15" customHeight="1" x14ac:dyDescent="0.25">
      <c r="A141" s="1">
        <f t="shared" ca="1" si="7"/>
        <v>7073</v>
      </c>
      <c r="B141" s="29">
        <v>820</v>
      </c>
      <c r="C141" s="29">
        <v>30079</v>
      </c>
      <c r="D141" s="29">
        <v>260</v>
      </c>
      <c r="E141" s="29">
        <v>29819</v>
      </c>
      <c r="F141" s="29">
        <v>2990</v>
      </c>
      <c r="G141" s="39"/>
      <c r="H141" s="40"/>
      <c r="I141" s="52"/>
      <c r="J141" s="53"/>
      <c r="K141" s="17"/>
      <c r="L141" s="39">
        <v>868</v>
      </c>
      <c r="M141" s="43">
        <v>790</v>
      </c>
      <c r="N141" s="45" t="s">
        <v>108</v>
      </c>
      <c r="O141" s="55">
        <v>12</v>
      </c>
      <c r="P141" s="56"/>
      <c r="Q141" s="74"/>
      <c r="R141" s="70">
        <v>0</v>
      </c>
      <c r="S141" s="19"/>
      <c r="T141" s="60"/>
      <c r="U141" s="59" t="s">
        <v>108</v>
      </c>
    </row>
    <row r="142" spans="1:21" ht="15" customHeight="1" x14ac:dyDescent="0.25">
      <c r="A142" s="1">
        <f t="shared" ca="1" si="7"/>
        <v>7074</v>
      </c>
      <c r="B142" s="29">
        <v>815</v>
      </c>
      <c r="C142" s="29">
        <v>30048</v>
      </c>
      <c r="D142" s="29">
        <v>260</v>
      </c>
      <c r="E142" s="29">
        <v>29788</v>
      </c>
      <c r="F142" s="29">
        <v>2987</v>
      </c>
      <c r="G142" s="39"/>
      <c r="H142" s="40"/>
      <c r="I142" s="52"/>
      <c r="J142" s="53"/>
      <c r="K142" s="17"/>
      <c r="L142" s="39">
        <v>880</v>
      </c>
      <c r="M142" s="43">
        <v>792</v>
      </c>
      <c r="N142" s="45" t="s">
        <v>108</v>
      </c>
      <c r="O142" s="55">
        <v>12</v>
      </c>
      <c r="P142" s="56"/>
      <c r="Q142" s="74"/>
      <c r="R142" s="70">
        <v>0</v>
      </c>
      <c r="S142" s="19"/>
      <c r="T142" s="60"/>
      <c r="U142" s="59" t="s">
        <v>108</v>
      </c>
    </row>
    <row r="143" spans="1:21" ht="15" customHeight="1" x14ac:dyDescent="0.25">
      <c r="A143" s="1">
        <f t="shared" ca="1" si="7"/>
        <v>7075</v>
      </c>
      <c r="B143" s="29">
        <v>830</v>
      </c>
      <c r="C143" s="29">
        <v>30072</v>
      </c>
      <c r="D143" s="29">
        <v>264</v>
      </c>
      <c r="E143" s="29">
        <v>29808</v>
      </c>
      <c r="F143" s="29">
        <v>2989</v>
      </c>
      <c r="G143" s="39"/>
      <c r="H143" s="40"/>
      <c r="I143" s="52"/>
      <c r="J143" s="53"/>
      <c r="K143" s="17"/>
      <c r="L143" s="39">
        <v>889</v>
      </c>
      <c r="M143" s="43">
        <v>796</v>
      </c>
      <c r="N143" s="45" t="s">
        <v>110</v>
      </c>
      <c r="O143" s="55">
        <v>9</v>
      </c>
      <c r="P143" s="56"/>
      <c r="Q143" s="74"/>
      <c r="R143" s="70">
        <v>0</v>
      </c>
      <c r="S143" s="19"/>
      <c r="T143" s="60"/>
      <c r="U143" s="59" t="s">
        <v>108</v>
      </c>
    </row>
    <row r="144" spans="1:21" ht="15" customHeight="1" x14ac:dyDescent="0.25">
      <c r="A144" s="1">
        <f t="shared" ca="1" si="7"/>
        <v>7076</v>
      </c>
      <c r="B144" s="29">
        <v>830</v>
      </c>
      <c r="C144" s="29">
        <v>30098</v>
      </c>
      <c r="D144" s="29">
        <v>264</v>
      </c>
      <c r="E144" s="29">
        <v>29834</v>
      </c>
      <c r="F144" s="29">
        <v>2991</v>
      </c>
      <c r="G144" s="39"/>
      <c r="H144" s="40"/>
      <c r="I144" s="52"/>
      <c r="J144" s="53"/>
      <c r="K144" s="17"/>
      <c r="L144" s="39">
        <v>874</v>
      </c>
      <c r="M144" s="43">
        <v>798</v>
      </c>
      <c r="N144" s="45" t="s">
        <v>110</v>
      </c>
      <c r="O144" s="55">
        <v>10</v>
      </c>
      <c r="P144" s="56"/>
      <c r="Q144" s="74"/>
      <c r="R144" s="70">
        <v>0</v>
      </c>
      <c r="S144" s="19"/>
      <c r="T144" s="60"/>
      <c r="U144" s="59" t="s">
        <v>108</v>
      </c>
    </row>
    <row r="145" spans="1:21" ht="15" customHeight="1" x14ac:dyDescent="0.25">
      <c r="A145" s="1">
        <f t="shared" ca="1" si="7"/>
        <v>7077</v>
      </c>
      <c r="B145" s="29">
        <v>830</v>
      </c>
      <c r="C145" s="29">
        <v>30110</v>
      </c>
      <c r="D145" s="29">
        <v>264</v>
      </c>
      <c r="E145" s="29">
        <v>29846</v>
      </c>
      <c r="F145" s="29">
        <v>2993</v>
      </c>
      <c r="G145" s="39"/>
      <c r="H145" s="40"/>
      <c r="I145" s="52"/>
      <c r="J145" s="53"/>
      <c r="K145" s="17"/>
      <c r="L145" s="39">
        <v>879</v>
      </c>
      <c r="M145" s="43">
        <v>786</v>
      </c>
      <c r="N145" s="45" t="s">
        <v>108</v>
      </c>
      <c r="O145" s="55">
        <v>10</v>
      </c>
      <c r="P145" s="56"/>
      <c r="Q145" s="74"/>
      <c r="R145" s="70">
        <v>14</v>
      </c>
      <c r="S145" s="19"/>
      <c r="T145" s="60"/>
      <c r="U145" s="59" t="s">
        <v>108</v>
      </c>
    </row>
    <row r="146" spans="1:21" ht="15" customHeight="1" x14ac:dyDescent="0.25">
      <c r="A146" s="1">
        <f t="shared" ca="1" si="7"/>
        <v>7078</v>
      </c>
      <c r="B146" s="29">
        <v>825</v>
      </c>
      <c r="C146" s="29">
        <v>30091</v>
      </c>
      <c r="D146" s="29">
        <v>263</v>
      </c>
      <c r="E146" s="29">
        <v>29828</v>
      </c>
      <c r="F146" s="29">
        <v>2991</v>
      </c>
      <c r="G146" s="39"/>
      <c r="H146" s="40"/>
      <c r="I146" s="52"/>
      <c r="J146" s="53"/>
      <c r="K146" s="17"/>
      <c r="L146" s="39">
        <v>860</v>
      </c>
      <c r="M146" s="43">
        <v>774</v>
      </c>
      <c r="N146" s="45" t="s">
        <v>108</v>
      </c>
      <c r="O146" s="55">
        <v>12</v>
      </c>
      <c r="P146" s="56"/>
      <c r="Q146" s="74"/>
      <c r="R146" s="70">
        <v>27</v>
      </c>
      <c r="S146" s="19"/>
      <c r="T146" s="60"/>
      <c r="U146" s="59" t="s">
        <v>108</v>
      </c>
    </row>
    <row r="147" spans="1:21" ht="15" customHeight="1" x14ac:dyDescent="0.25">
      <c r="A147" s="1">
        <f t="shared" ca="1" si="7"/>
        <v>7079</v>
      </c>
      <c r="B147" s="29">
        <v>820</v>
      </c>
      <c r="C147" s="29">
        <v>30076</v>
      </c>
      <c r="D147" s="29">
        <v>262</v>
      </c>
      <c r="E147" s="29">
        <v>29808</v>
      </c>
      <c r="F147" s="29">
        <v>2989</v>
      </c>
      <c r="G147" s="39"/>
      <c r="H147" s="40"/>
      <c r="I147" s="52"/>
      <c r="J147" s="53"/>
      <c r="K147" s="17"/>
      <c r="L147" s="39">
        <v>864</v>
      </c>
      <c r="M147" s="43">
        <v>798</v>
      </c>
      <c r="N147" s="45" t="s">
        <v>108</v>
      </c>
      <c r="O147" s="55">
        <v>10</v>
      </c>
      <c r="P147" s="56"/>
      <c r="Q147" s="74"/>
      <c r="R147" s="70">
        <v>0</v>
      </c>
      <c r="S147" s="19"/>
      <c r="T147" s="60"/>
      <c r="U147" s="59" t="s">
        <v>108</v>
      </c>
    </row>
    <row r="148" spans="1:21" ht="15" customHeight="1" x14ac:dyDescent="0.25">
      <c r="A148" s="1">
        <f t="shared" ca="1" si="7"/>
        <v>7080</v>
      </c>
      <c r="B148" s="29">
        <v>820</v>
      </c>
      <c r="C148" s="29">
        <v>30030</v>
      </c>
      <c r="D148" s="29">
        <v>262</v>
      </c>
      <c r="E148" s="29">
        <v>29768</v>
      </c>
      <c r="F148" s="29">
        <v>2985</v>
      </c>
      <c r="G148" s="39"/>
      <c r="H148" s="40"/>
      <c r="I148" s="52"/>
      <c r="J148" s="53"/>
      <c r="K148" s="17"/>
      <c r="L148" s="39">
        <v>876</v>
      </c>
      <c r="M148" s="43">
        <v>801</v>
      </c>
      <c r="N148" s="45" t="s">
        <v>108</v>
      </c>
      <c r="O148" s="55">
        <v>10</v>
      </c>
      <c r="P148" s="56"/>
      <c r="Q148" s="74"/>
      <c r="R148" s="70">
        <v>0</v>
      </c>
      <c r="S148" s="19"/>
      <c r="T148" s="60"/>
      <c r="U148" s="59" t="s">
        <v>108</v>
      </c>
    </row>
    <row r="149" spans="1:21" ht="15" customHeight="1" x14ac:dyDescent="0.25">
      <c r="A149" s="1">
        <f t="shared" ca="1" si="7"/>
        <v>7081</v>
      </c>
      <c r="B149" s="29">
        <v>825</v>
      </c>
      <c r="C149" s="29">
        <v>30029</v>
      </c>
      <c r="D149" s="29">
        <v>263</v>
      </c>
      <c r="E149" s="29">
        <v>29766</v>
      </c>
      <c r="F149" s="29">
        <v>2985</v>
      </c>
      <c r="G149" s="39"/>
      <c r="H149" s="40"/>
      <c r="I149" s="52"/>
      <c r="J149" s="53"/>
      <c r="K149" s="17"/>
      <c r="L149" s="39">
        <v>872</v>
      </c>
      <c r="M149" s="43">
        <v>795</v>
      </c>
      <c r="N149" s="45" t="s">
        <v>106</v>
      </c>
      <c r="O149" s="55">
        <v>10</v>
      </c>
      <c r="P149" s="56"/>
      <c r="Q149" s="74"/>
      <c r="R149" s="70">
        <v>0</v>
      </c>
      <c r="S149" s="19"/>
      <c r="T149" s="60"/>
      <c r="U149" s="59" t="s">
        <v>108</v>
      </c>
    </row>
    <row r="150" spans="1:21" ht="15" customHeight="1" x14ac:dyDescent="0.25">
      <c r="A150" s="1">
        <f t="shared" ca="1" si="7"/>
        <v>7082</v>
      </c>
      <c r="B150" s="29">
        <v>830</v>
      </c>
      <c r="C150" s="29">
        <v>30082</v>
      </c>
      <c r="D150" s="29">
        <v>264</v>
      </c>
      <c r="E150" s="29">
        <v>29818</v>
      </c>
      <c r="F150" s="29">
        <v>2990</v>
      </c>
      <c r="G150" s="39"/>
      <c r="H150" s="40"/>
      <c r="I150" s="52"/>
      <c r="J150" s="53"/>
      <c r="K150" s="17"/>
      <c r="L150" s="39">
        <v>880</v>
      </c>
      <c r="M150" s="43">
        <v>797</v>
      </c>
      <c r="N150" s="45" t="s">
        <v>108</v>
      </c>
      <c r="O150" s="55">
        <v>12</v>
      </c>
      <c r="P150" s="56"/>
      <c r="Q150" s="74"/>
      <c r="R150" s="70">
        <v>0</v>
      </c>
      <c r="S150" s="19"/>
      <c r="T150" s="60"/>
      <c r="U150" s="59" t="s">
        <v>108</v>
      </c>
    </row>
    <row r="151" spans="1:21" ht="15" customHeight="1" x14ac:dyDescent="0.25">
      <c r="A151" s="1">
        <f t="shared" ca="1" si="7"/>
        <v>7083</v>
      </c>
      <c r="B151" s="29">
        <v>815</v>
      </c>
      <c r="C151" s="29">
        <v>30100</v>
      </c>
      <c r="D151" s="29">
        <v>260</v>
      </c>
      <c r="E151" s="29">
        <v>29840</v>
      </c>
      <c r="F151" s="29">
        <v>2992</v>
      </c>
      <c r="G151" s="39"/>
      <c r="H151" s="40"/>
      <c r="I151" s="52"/>
      <c r="J151" s="53"/>
      <c r="K151" s="17"/>
      <c r="L151" s="39">
        <v>876</v>
      </c>
      <c r="M151" s="43">
        <v>772</v>
      </c>
      <c r="N151" s="45" t="s">
        <v>106</v>
      </c>
      <c r="O151" s="55">
        <v>10</v>
      </c>
      <c r="P151" s="56"/>
      <c r="Q151" s="74"/>
      <c r="R151" s="70">
        <v>2</v>
      </c>
      <c r="S151" s="19"/>
      <c r="T151" s="60"/>
      <c r="U151" s="59" t="s">
        <v>108</v>
      </c>
    </row>
    <row r="152" spans="1:21" ht="15" customHeight="1" x14ac:dyDescent="0.25">
      <c r="A152" s="1">
        <f t="shared" ca="1" si="7"/>
        <v>7084</v>
      </c>
      <c r="B152" s="29">
        <v>820</v>
      </c>
      <c r="C152" s="29">
        <v>30093</v>
      </c>
      <c r="D152" s="29">
        <v>262</v>
      </c>
      <c r="E152" s="29">
        <v>29831</v>
      </c>
      <c r="F152" s="29">
        <v>2991</v>
      </c>
      <c r="G152" s="39"/>
      <c r="H152" s="40"/>
      <c r="I152" s="52"/>
      <c r="J152" s="53"/>
      <c r="K152" s="17"/>
      <c r="L152" s="39">
        <v>878</v>
      </c>
      <c r="M152" s="43">
        <v>786</v>
      </c>
      <c r="N152" s="45" t="s">
        <v>110</v>
      </c>
      <c r="O152" s="55">
        <v>12</v>
      </c>
      <c r="P152" s="56"/>
      <c r="Q152" s="74"/>
      <c r="R152" s="70">
        <v>3</v>
      </c>
      <c r="S152" s="19"/>
      <c r="T152" s="60"/>
      <c r="U152" s="59" t="s">
        <v>108</v>
      </c>
    </row>
    <row r="153" spans="1:21" ht="15" customHeight="1" x14ac:dyDescent="0.25">
      <c r="A153" s="1">
        <f t="shared" ca="1" si="7"/>
        <v>7085</v>
      </c>
      <c r="B153" s="29">
        <v>820</v>
      </c>
      <c r="C153" s="29">
        <v>30090</v>
      </c>
      <c r="D153" s="29">
        <v>262</v>
      </c>
      <c r="E153" s="29">
        <v>29828</v>
      </c>
      <c r="F153" s="29">
        <v>2991</v>
      </c>
      <c r="G153" s="39"/>
      <c r="H153" s="40"/>
      <c r="I153" s="52"/>
      <c r="J153" s="53"/>
      <c r="K153" s="17"/>
      <c r="L153" s="39">
        <v>879</v>
      </c>
      <c r="M153" s="43">
        <v>788</v>
      </c>
      <c r="N153" s="45" t="s">
        <v>108</v>
      </c>
      <c r="O153" s="55">
        <v>12</v>
      </c>
      <c r="P153" s="56"/>
      <c r="Q153" s="74"/>
      <c r="R153" s="70">
        <v>0</v>
      </c>
      <c r="S153" s="19"/>
      <c r="T153" s="60"/>
      <c r="U153" s="59" t="s">
        <v>108</v>
      </c>
    </row>
    <row r="154" spans="1:21" ht="15" customHeight="1" x14ac:dyDescent="0.25">
      <c r="A154" s="1">
        <f t="shared" ca="1" si="7"/>
        <v>7086</v>
      </c>
      <c r="B154" s="29">
        <v>820</v>
      </c>
      <c r="C154" s="29">
        <v>30077</v>
      </c>
      <c r="D154" s="29">
        <v>262</v>
      </c>
      <c r="E154" s="29">
        <v>29809</v>
      </c>
      <c r="F154" s="29">
        <v>2989</v>
      </c>
      <c r="G154" s="39"/>
      <c r="H154" s="40"/>
      <c r="I154" s="52"/>
      <c r="J154" s="53"/>
      <c r="K154" s="17"/>
      <c r="L154" s="39">
        <v>880</v>
      </c>
      <c r="M154" s="43">
        <v>786</v>
      </c>
      <c r="N154" s="45" t="s">
        <v>106</v>
      </c>
      <c r="O154" s="55">
        <v>10</v>
      </c>
      <c r="P154" s="56"/>
      <c r="Q154" s="74"/>
      <c r="R154" s="70">
        <v>0</v>
      </c>
      <c r="S154" s="19"/>
      <c r="T154" s="60"/>
      <c r="U154" s="59" t="s">
        <v>108</v>
      </c>
    </row>
    <row r="155" spans="1:21" ht="15" customHeight="1" x14ac:dyDescent="0.25">
      <c r="A155" s="1">
        <f t="shared" ca="1" si="7"/>
        <v>7087</v>
      </c>
      <c r="B155" s="29">
        <v>820</v>
      </c>
      <c r="C155" s="29">
        <v>30080</v>
      </c>
      <c r="D155" s="29">
        <v>262</v>
      </c>
      <c r="E155" s="29">
        <v>29818</v>
      </c>
      <c r="F155" s="29">
        <v>2990</v>
      </c>
      <c r="G155" s="39"/>
      <c r="H155" s="40"/>
      <c r="I155" s="52"/>
      <c r="J155" s="53"/>
      <c r="K155" s="17"/>
      <c r="L155" s="39">
        <v>874</v>
      </c>
      <c r="M155" s="43">
        <v>790</v>
      </c>
      <c r="N155" s="45" t="s">
        <v>110</v>
      </c>
      <c r="O155" s="55">
        <v>12</v>
      </c>
      <c r="P155" s="56"/>
      <c r="Q155" s="74"/>
      <c r="R155" s="70">
        <v>0</v>
      </c>
      <c r="S155" s="19"/>
      <c r="T155" s="60"/>
      <c r="U155" s="59" t="s">
        <v>108</v>
      </c>
    </row>
    <row r="156" spans="1:21" ht="15" customHeight="1" x14ac:dyDescent="0.25">
      <c r="A156" s="1">
        <f t="shared" ca="1" si="7"/>
        <v>7088</v>
      </c>
      <c r="B156" s="29">
        <v>820</v>
      </c>
      <c r="C156" s="29">
        <v>30118</v>
      </c>
      <c r="D156" s="29">
        <v>262</v>
      </c>
      <c r="E156" s="29">
        <v>29856</v>
      </c>
      <c r="F156" s="29">
        <v>2994</v>
      </c>
      <c r="G156" s="39"/>
      <c r="H156" s="40"/>
      <c r="I156" s="52"/>
      <c r="J156" s="53"/>
      <c r="K156" s="17"/>
      <c r="L156" s="39">
        <v>868</v>
      </c>
      <c r="M156" s="43">
        <v>786</v>
      </c>
      <c r="N156" s="45" t="s">
        <v>110</v>
      </c>
      <c r="O156" s="55">
        <v>8</v>
      </c>
      <c r="P156" s="56"/>
      <c r="Q156" s="74"/>
      <c r="R156" s="70">
        <v>1</v>
      </c>
      <c r="S156" s="19"/>
      <c r="T156" s="60"/>
      <c r="U156" s="59" t="s">
        <v>110</v>
      </c>
    </row>
    <row r="157" spans="1:21" ht="15" customHeight="1" x14ac:dyDescent="0.25">
      <c r="A157" s="1">
        <f t="shared" ca="1" si="7"/>
        <v>7089</v>
      </c>
      <c r="B157" s="29">
        <v>820</v>
      </c>
      <c r="C157" s="29">
        <v>30119</v>
      </c>
      <c r="D157" s="29">
        <v>262</v>
      </c>
      <c r="E157" s="29">
        <v>29857</v>
      </c>
      <c r="F157" s="29">
        <v>2994</v>
      </c>
      <c r="G157" s="39"/>
      <c r="H157" s="40"/>
      <c r="I157" s="52"/>
      <c r="J157" s="53"/>
      <c r="K157" s="17"/>
      <c r="L157" s="39">
        <v>874</v>
      </c>
      <c r="M157" s="43">
        <v>791</v>
      </c>
      <c r="N157" s="45" t="s">
        <v>110</v>
      </c>
      <c r="O157" s="55">
        <v>10</v>
      </c>
      <c r="P157" s="56"/>
      <c r="Q157" s="74"/>
      <c r="R157" s="70">
        <v>0</v>
      </c>
      <c r="S157" s="19"/>
      <c r="T157" s="60"/>
      <c r="U157" s="59" t="s">
        <v>108</v>
      </c>
    </row>
    <row r="158" spans="1:21" ht="15" customHeight="1" x14ac:dyDescent="0.25">
      <c r="A158" s="1">
        <f t="shared" ca="1" si="7"/>
        <v>7090</v>
      </c>
      <c r="B158" s="29">
        <v>825</v>
      </c>
      <c r="C158" s="29">
        <v>30081</v>
      </c>
      <c r="D158" s="29">
        <v>263</v>
      </c>
      <c r="E158" s="29">
        <v>29818</v>
      </c>
      <c r="F158" s="29">
        <v>2990</v>
      </c>
      <c r="G158" s="39"/>
      <c r="H158" s="40"/>
      <c r="I158" s="52"/>
      <c r="J158" s="53"/>
      <c r="K158" s="17"/>
      <c r="L158" s="39">
        <v>868</v>
      </c>
      <c r="M158" s="43">
        <v>796</v>
      </c>
      <c r="N158" s="45" t="s">
        <v>108</v>
      </c>
      <c r="O158" s="55">
        <v>12</v>
      </c>
      <c r="P158" s="56"/>
      <c r="Q158" s="74"/>
      <c r="R158" s="70">
        <v>0</v>
      </c>
      <c r="S158" s="19"/>
      <c r="T158" s="60"/>
      <c r="U158" s="59" t="s">
        <v>108</v>
      </c>
    </row>
    <row r="159" spans="1:21" ht="15" customHeight="1" x14ac:dyDescent="0.25">
      <c r="A159" s="1">
        <f t="shared" ca="1" si="7"/>
        <v>7091</v>
      </c>
      <c r="B159" s="29">
        <v>825</v>
      </c>
      <c r="C159" s="29">
        <v>30056</v>
      </c>
      <c r="D159" s="29">
        <v>263</v>
      </c>
      <c r="E159" s="29">
        <v>29793</v>
      </c>
      <c r="F159" s="29">
        <v>2987</v>
      </c>
      <c r="G159" s="39"/>
      <c r="H159" s="40"/>
      <c r="I159" s="52"/>
      <c r="J159" s="53"/>
      <c r="K159" s="17"/>
      <c r="L159" s="39">
        <v>876</v>
      </c>
      <c r="M159" s="43">
        <v>792</v>
      </c>
      <c r="N159" s="45" t="s">
        <v>108</v>
      </c>
      <c r="O159" s="55">
        <v>10</v>
      </c>
      <c r="P159" s="56"/>
      <c r="Q159" s="74"/>
      <c r="R159" s="70">
        <v>0</v>
      </c>
      <c r="S159" s="19"/>
      <c r="T159" s="60"/>
      <c r="U159" s="59" t="s">
        <v>108</v>
      </c>
    </row>
    <row r="160" spans="1:21" x14ac:dyDescent="0.25">
      <c r="A160" s="1" t="str">
        <f t="shared" ca="1" si="7"/>
        <v>Totaal</v>
      </c>
      <c r="B160" s="61">
        <f>IF(COUNT(B129:B159)&gt;0,AVERAGE(B129:B159)/10,"")</f>
        <v>82.112903225806448</v>
      </c>
      <c r="C160" s="62">
        <f>IF(COUNT(C129:C159)&gt;0,AVERAGE(C129:C159)/1000,"")</f>
        <v>30.079709677419356</v>
      </c>
      <c r="D160" s="62">
        <f t="shared" ref="D160" si="8">IF(COUNT(D129:D159)&gt;0,AVERAGE(D129:D159)/1000,"")</f>
        <v>0.26174193548387098</v>
      </c>
      <c r="E160" s="62">
        <f t="shared" ref="E160" si="9">IF(COUNT(E129:E159)&gt;0,AVERAGE(E129:E159)/1000,"")</f>
        <v>29.817580645161293</v>
      </c>
      <c r="F160" s="62">
        <f>IF(COUNT(F129:F159)&gt;0,AVERAGE(F129:F159)/100,"")</f>
        <v>29.898709677419355</v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>
        <f>IF(COUNT(L129:L159)&gt;0,AVERAGE(L129:L159)/10,"")</f>
        <v>87.409677419354836</v>
      </c>
      <c r="M160" s="44">
        <f>IF(COUNT(M129:M159)&gt;0,AVERAGE(M129:M159)/10,"")</f>
        <v>78.677419354838705</v>
      </c>
      <c r="N160" s="46"/>
      <c r="O160" s="57">
        <f>IF(COUNT(O129:O159)&gt;0,AVERAGE(O129:O159),"")</f>
        <v>10.35483870967742</v>
      </c>
      <c r="P160" s="58" t="str">
        <f>IF(COUNT(P129:P159)&gt;0,AVERAGE(P129:P159),"")</f>
        <v/>
      </c>
      <c r="Q160" s="47"/>
      <c r="R160" s="68">
        <f>IF(COUNT(R129:R159)&gt;0,SUM(R129:R159)/100,"")</f>
        <v>0.64</v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7092</v>
      </c>
      <c r="B161" s="29">
        <v>820</v>
      </c>
      <c r="C161" s="29">
        <v>29982</v>
      </c>
      <c r="D161" s="29">
        <v>260</v>
      </c>
      <c r="E161" s="29">
        <v>29722</v>
      </c>
      <c r="F161" s="29">
        <v>2980</v>
      </c>
      <c r="G161" s="39"/>
      <c r="H161" s="40"/>
      <c r="I161" s="52"/>
      <c r="J161" s="53"/>
      <c r="K161" s="17"/>
      <c r="L161" s="39"/>
      <c r="M161" s="43">
        <v>788</v>
      </c>
      <c r="N161" s="45" t="s">
        <v>108</v>
      </c>
      <c r="O161" s="55">
        <v>8</v>
      </c>
      <c r="P161" s="56"/>
      <c r="Q161" s="74"/>
      <c r="R161" s="70">
        <v>0</v>
      </c>
      <c r="S161" s="19"/>
      <c r="T161" s="60"/>
      <c r="U161" s="59" t="s">
        <v>108</v>
      </c>
    </row>
    <row r="162" spans="1:21" ht="15" customHeight="1" x14ac:dyDescent="0.25">
      <c r="A162" s="1">
        <f t="shared" ca="1" si="7"/>
        <v>7093</v>
      </c>
      <c r="B162" s="29">
        <v>830</v>
      </c>
      <c r="C162" s="29">
        <v>30043</v>
      </c>
      <c r="D162" s="29">
        <v>264</v>
      </c>
      <c r="E162" s="29">
        <v>29779</v>
      </c>
      <c r="F162" s="29">
        <v>2986</v>
      </c>
      <c r="G162" s="39"/>
      <c r="H162" s="40"/>
      <c r="I162" s="52"/>
      <c r="J162" s="53"/>
      <c r="K162" s="17"/>
      <c r="L162" s="39"/>
      <c r="M162" s="43">
        <v>804</v>
      </c>
      <c r="N162" s="45" t="s">
        <v>108</v>
      </c>
      <c r="O162" s="55">
        <v>12</v>
      </c>
      <c r="P162" s="56"/>
      <c r="Q162" s="74"/>
      <c r="R162" s="70">
        <v>0</v>
      </c>
      <c r="S162" s="19"/>
      <c r="T162" s="60"/>
      <c r="U162" s="59" t="s">
        <v>108</v>
      </c>
    </row>
    <row r="163" spans="1:21" ht="15" customHeight="1" x14ac:dyDescent="0.25">
      <c r="A163" s="1">
        <f t="shared" ca="1" si="7"/>
        <v>7094</v>
      </c>
      <c r="B163" s="29">
        <v>825</v>
      </c>
      <c r="C163" s="29">
        <v>30081</v>
      </c>
      <c r="D163" s="29">
        <v>263</v>
      </c>
      <c r="E163" s="29">
        <v>29818</v>
      </c>
      <c r="F163" s="29">
        <v>2990</v>
      </c>
      <c r="G163" s="39"/>
      <c r="H163" s="40"/>
      <c r="I163" s="52"/>
      <c r="J163" s="53"/>
      <c r="K163" s="17"/>
      <c r="L163" s="39"/>
      <c r="M163" s="43">
        <v>802</v>
      </c>
      <c r="N163" s="45" t="s">
        <v>110</v>
      </c>
      <c r="O163" s="55">
        <v>15</v>
      </c>
      <c r="P163" s="56"/>
      <c r="Q163" s="74"/>
      <c r="R163" s="70">
        <v>0</v>
      </c>
      <c r="S163" s="19"/>
      <c r="T163" s="60"/>
      <c r="U163" s="59" t="s">
        <v>110</v>
      </c>
    </row>
    <row r="164" spans="1:21" ht="15" customHeight="1" x14ac:dyDescent="0.25">
      <c r="A164" s="1">
        <f t="shared" ca="1" si="7"/>
        <v>7095</v>
      </c>
      <c r="B164" s="29">
        <v>820</v>
      </c>
      <c r="C164" s="29">
        <v>30120</v>
      </c>
      <c r="D164" s="29">
        <v>262</v>
      </c>
      <c r="E164" s="29">
        <v>29858</v>
      </c>
      <c r="F164" s="29">
        <v>2994</v>
      </c>
      <c r="G164" s="39"/>
      <c r="H164" s="40"/>
      <c r="I164" s="52"/>
      <c r="J164" s="53"/>
      <c r="K164" s="17"/>
      <c r="L164" s="39"/>
      <c r="M164" s="43">
        <v>789</v>
      </c>
      <c r="N164" s="45" t="s">
        <v>108</v>
      </c>
      <c r="O164" s="55">
        <v>12</v>
      </c>
      <c r="P164" s="56"/>
      <c r="Q164" s="74"/>
      <c r="R164" s="70">
        <v>6</v>
      </c>
      <c r="S164" s="19"/>
      <c r="T164" s="60"/>
      <c r="U164" s="59" t="s">
        <v>108</v>
      </c>
    </row>
    <row r="165" spans="1:21" ht="15" customHeight="1" x14ac:dyDescent="0.25">
      <c r="A165" s="1">
        <f t="shared" ca="1" si="7"/>
        <v>7096</v>
      </c>
      <c r="B165" s="29">
        <v>830</v>
      </c>
      <c r="C165" s="29">
        <v>30110</v>
      </c>
      <c r="D165" s="29">
        <v>264</v>
      </c>
      <c r="E165" s="29">
        <v>29846</v>
      </c>
      <c r="F165" s="29">
        <v>2993</v>
      </c>
      <c r="G165" s="39"/>
      <c r="H165" s="40"/>
      <c r="I165" s="52"/>
      <c r="J165" s="53"/>
      <c r="K165" s="17"/>
      <c r="L165" s="39"/>
      <c r="M165" s="43">
        <v>789</v>
      </c>
      <c r="N165" s="45" t="s">
        <v>106</v>
      </c>
      <c r="O165" s="55">
        <v>12</v>
      </c>
      <c r="P165" s="56"/>
      <c r="Q165" s="74"/>
      <c r="R165" s="70">
        <v>6</v>
      </c>
      <c r="S165" s="19"/>
      <c r="T165" s="60"/>
      <c r="U165" s="59" t="s">
        <v>108</v>
      </c>
    </row>
    <row r="166" spans="1:21" ht="15" customHeight="1" x14ac:dyDescent="0.25">
      <c r="A166" s="1">
        <f t="shared" ca="1" si="7"/>
        <v>7097</v>
      </c>
      <c r="B166" s="29">
        <v>820</v>
      </c>
      <c r="C166" s="29">
        <v>30088</v>
      </c>
      <c r="D166" s="29">
        <v>262</v>
      </c>
      <c r="E166" s="29">
        <v>29826</v>
      </c>
      <c r="F166" s="29">
        <v>2991</v>
      </c>
      <c r="G166" s="39"/>
      <c r="H166" s="40"/>
      <c r="I166" s="52"/>
      <c r="J166" s="53"/>
      <c r="K166" s="17"/>
      <c r="L166" s="39"/>
      <c r="M166" s="43">
        <v>776</v>
      </c>
      <c r="N166" s="45" t="s">
        <v>108</v>
      </c>
      <c r="O166" s="55">
        <v>10</v>
      </c>
      <c r="P166" s="56"/>
      <c r="Q166" s="74"/>
      <c r="R166" s="70">
        <v>2</v>
      </c>
      <c r="S166" s="19"/>
      <c r="T166" s="60"/>
      <c r="U166" s="59" t="s">
        <v>108</v>
      </c>
    </row>
    <row r="167" spans="1:21" ht="15" customHeight="1" x14ac:dyDescent="0.25">
      <c r="A167" s="1">
        <f t="shared" ca="1" si="7"/>
        <v>7098</v>
      </c>
      <c r="B167" s="29">
        <v>820</v>
      </c>
      <c r="C167" s="29">
        <v>30120</v>
      </c>
      <c r="D167" s="29">
        <v>262</v>
      </c>
      <c r="E167" s="29">
        <v>29858</v>
      </c>
      <c r="F167" s="29">
        <v>2994</v>
      </c>
      <c r="G167" s="39"/>
      <c r="H167" s="40"/>
      <c r="I167" s="52"/>
      <c r="J167" s="53"/>
      <c r="K167" s="17"/>
      <c r="L167" s="39"/>
      <c r="M167" s="43">
        <v>788</v>
      </c>
      <c r="N167" s="45" t="s">
        <v>108</v>
      </c>
      <c r="O167" s="55">
        <v>10</v>
      </c>
      <c r="P167" s="56"/>
      <c r="Q167" s="74"/>
      <c r="R167" s="70">
        <v>0</v>
      </c>
      <c r="S167" s="19"/>
      <c r="T167" s="60"/>
      <c r="U167" s="59" t="s">
        <v>108</v>
      </c>
    </row>
    <row r="168" spans="1:21" ht="15" customHeight="1" x14ac:dyDescent="0.25">
      <c r="A168" s="1">
        <f t="shared" ca="1" si="7"/>
        <v>7099</v>
      </c>
      <c r="B168" s="29">
        <v>820</v>
      </c>
      <c r="C168" s="29">
        <v>30148</v>
      </c>
      <c r="D168" s="29">
        <v>262</v>
      </c>
      <c r="E168" s="29">
        <v>29886</v>
      </c>
      <c r="F168" s="29">
        <v>2997</v>
      </c>
      <c r="G168" s="39"/>
      <c r="H168" s="40"/>
      <c r="I168" s="52"/>
      <c r="J168" s="53"/>
      <c r="K168" s="17"/>
      <c r="L168" s="39"/>
      <c r="M168" s="43">
        <v>792</v>
      </c>
      <c r="N168" s="45" t="s">
        <v>108</v>
      </c>
      <c r="O168" s="55">
        <v>12</v>
      </c>
      <c r="P168" s="56"/>
      <c r="Q168" s="74"/>
      <c r="R168" s="70">
        <v>1</v>
      </c>
      <c r="S168" s="19"/>
      <c r="T168" s="60"/>
      <c r="U168" s="59" t="s">
        <v>108</v>
      </c>
    </row>
    <row r="169" spans="1:21" ht="15" customHeight="1" x14ac:dyDescent="0.25">
      <c r="A169" s="1">
        <f t="shared" ca="1" si="7"/>
        <v>7100</v>
      </c>
      <c r="B169" s="29">
        <v>815</v>
      </c>
      <c r="C169" s="29">
        <v>30139</v>
      </c>
      <c r="D169" s="29">
        <v>260</v>
      </c>
      <c r="E169" s="29">
        <v>29879</v>
      </c>
      <c r="F169" s="29">
        <v>2996</v>
      </c>
      <c r="G169" s="39"/>
      <c r="H169" s="40"/>
      <c r="I169" s="52"/>
      <c r="J169" s="53"/>
      <c r="K169" s="17"/>
      <c r="L169" s="39"/>
      <c r="M169" s="43">
        <v>773</v>
      </c>
      <c r="N169" s="45" t="s">
        <v>110</v>
      </c>
      <c r="O169" s="55">
        <v>12</v>
      </c>
      <c r="P169" s="56"/>
      <c r="Q169" s="74"/>
      <c r="R169" s="70">
        <v>6</v>
      </c>
      <c r="S169" s="19"/>
      <c r="T169" s="60"/>
      <c r="U169" s="59" t="s">
        <v>110</v>
      </c>
    </row>
    <row r="170" spans="1:21" ht="15" customHeight="1" x14ac:dyDescent="0.25">
      <c r="A170" s="1">
        <f t="shared" ca="1" si="7"/>
        <v>7101</v>
      </c>
      <c r="B170" s="29">
        <v>815</v>
      </c>
      <c r="C170" s="29">
        <v>30080</v>
      </c>
      <c r="D170" s="29">
        <v>260</v>
      </c>
      <c r="E170" s="29">
        <v>29820</v>
      </c>
      <c r="F170" s="29">
        <v>2990</v>
      </c>
      <c r="G170" s="39"/>
      <c r="H170" s="40"/>
      <c r="I170" s="52"/>
      <c r="J170" s="53"/>
      <c r="K170" s="17"/>
      <c r="L170" s="39"/>
      <c r="M170" s="43">
        <v>781</v>
      </c>
      <c r="N170" s="45" t="s">
        <v>108</v>
      </c>
      <c r="O170" s="55">
        <v>12</v>
      </c>
      <c r="P170" s="56"/>
      <c r="Q170" s="74"/>
      <c r="R170" s="70">
        <v>4</v>
      </c>
      <c r="S170" s="19"/>
      <c r="T170" s="60"/>
      <c r="U170" s="59" t="s">
        <v>108</v>
      </c>
    </row>
    <row r="171" spans="1:21" ht="15" customHeight="1" x14ac:dyDescent="0.25">
      <c r="A171" s="1">
        <f t="shared" ca="1" si="7"/>
        <v>7102</v>
      </c>
      <c r="B171" s="29">
        <v>820</v>
      </c>
      <c r="C171" s="29">
        <v>30083</v>
      </c>
      <c r="D171" s="29">
        <v>262</v>
      </c>
      <c r="E171" s="29">
        <v>29821</v>
      </c>
      <c r="F171" s="29">
        <v>2990</v>
      </c>
      <c r="G171" s="39"/>
      <c r="H171" s="40"/>
      <c r="I171" s="52"/>
      <c r="J171" s="53"/>
      <c r="K171" s="17"/>
      <c r="L171" s="39"/>
      <c r="M171" s="43">
        <v>784</v>
      </c>
      <c r="N171" s="45" t="s">
        <v>108</v>
      </c>
      <c r="O171" s="55">
        <v>8</v>
      </c>
      <c r="P171" s="56"/>
      <c r="Q171" s="74"/>
      <c r="R171" s="70">
        <v>1</v>
      </c>
      <c r="S171" s="19"/>
      <c r="T171" s="60"/>
      <c r="U171" s="59" t="s">
        <v>108</v>
      </c>
    </row>
    <row r="172" spans="1:21" ht="15" customHeight="1" x14ac:dyDescent="0.25">
      <c r="A172" s="1">
        <f t="shared" ca="1" si="7"/>
        <v>7103</v>
      </c>
      <c r="B172" s="29">
        <v>820</v>
      </c>
      <c r="C172" s="29">
        <v>30069</v>
      </c>
      <c r="D172" s="29">
        <v>262</v>
      </c>
      <c r="E172" s="29">
        <v>29807</v>
      </c>
      <c r="F172" s="29">
        <v>2989</v>
      </c>
      <c r="G172" s="39"/>
      <c r="H172" s="40"/>
      <c r="I172" s="52"/>
      <c r="J172" s="53"/>
      <c r="K172" s="17"/>
      <c r="L172" s="39"/>
      <c r="M172" s="43">
        <v>780</v>
      </c>
      <c r="N172" s="45" t="s">
        <v>108</v>
      </c>
      <c r="O172" s="55">
        <v>10</v>
      </c>
      <c r="P172" s="56"/>
      <c r="Q172" s="74"/>
      <c r="R172" s="70">
        <v>0</v>
      </c>
      <c r="S172" s="19"/>
      <c r="T172" s="60"/>
      <c r="U172" s="59" t="s">
        <v>108</v>
      </c>
    </row>
    <row r="173" spans="1:21" ht="15" customHeight="1" x14ac:dyDescent="0.25">
      <c r="A173" s="1">
        <f t="shared" ca="1" si="7"/>
        <v>7104</v>
      </c>
      <c r="B173" s="29">
        <v>820</v>
      </c>
      <c r="C173" s="29">
        <v>30103</v>
      </c>
      <c r="D173" s="29">
        <v>262</v>
      </c>
      <c r="E173" s="29">
        <v>29841</v>
      </c>
      <c r="F173" s="29">
        <v>2992</v>
      </c>
      <c r="G173" s="39"/>
      <c r="H173" s="40"/>
      <c r="I173" s="52"/>
      <c r="J173" s="53"/>
      <c r="K173" s="17"/>
      <c r="L173" s="39"/>
      <c r="M173" s="43">
        <v>788</v>
      </c>
      <c r="N173" s="45" t="s">
        <v>108</v>
      </c>
      <c r="O173" s="55">
        <v>10</v>
      </c>
      <c r="P173" s="56"/>
      <c r="Q173" s="74"/>
      <c r="R173" s="70">
        <v>0</v>
      </c>
      <c r="S173" s="19"/>
      <c r="T173" s="60"/>
      <c r="U173" s="59" t="s">
        <v>108</v>
      </c>
    </row>
    <row r="174" spans="1:21" ht="15" customHeight="1" x14ac:dyDescent="0.25">
      <c r="A174" s="1">
        <f t="shared" ca="1" si="7"/>
        <v>7105</v>
      </c>
      <c r="B174" s="29">
        <v>820</v>
      </c>
      <c r="C174" s="29">
        <v>30058</v>
      </c>
      <c r="D174" s="29">
        <v>262</v>
      </c>
      <c r="E174" s="29">
        <v>29796</v>
      </c>
      <c r="F174" s="29">
        <v>2988</v>
      </c>
      <c r="G174" s="39"/>
      <c r="H174" s="40"/>
      <c r="I174" s="52"/>
      <c r="J174" s="53"/>
      <c r="K174" s="17"/>
      <c r="L174" s="39"/>
      <c r="M174" s="43">
        <v>784</v>
      </c>
      <c r="N174" s="45" t="s">
        <v>108</v>
      </c>
      <c r="O174" s="55">
        <v>10</v>
      </c>
      <c r="P174" s="56"/>
      <c r="Q174" s="74"/>
      <c r="R174" s="70">
        <v>0</v>
      </c>
      <c r="S174" s="19"/>
      <c r="T174" s="60"/>
      <c r="U174" s="59" t="s">
        <v>108</v>
      </c>
    </row>
    <row r="175" spans="1:21" ht="15" customHeight="1" x14ac:dyDescent="0.25">
      <c r="A175" s="1">
        <f t="shared" ca="1" si="7"/>
        <v>7106</v>
      </c>
      <c r="B175" s="29">
        <v>820</v>
      </c>
      <c r="C175" s="29">
        <v>30040</v>
      </c>
      <c r="D175" s="29">
        <v>262</v>
      </c>
      <c r="E175" s="29">
        <v>29778</v>
      </c>
      <c r="F175" s="29">
        <v>2986</v>
      </c>
      <c r="G175" s="39"/>
      <c r="H175" s="40"/>
      <c r="I175" s="52"/>
      <c r="J175" s="53"/>
      <c r="K175" s="17"/>
      <c r="L175" s="39"/>
      <c r="M175" s="43">
        <v>786</v>
      </c>
      <c r="N175" s="45" t="s">
        <v>108</v>
      </c>
      <c r="O175" s="55">
        <v>12</v>
      </c>
      <c r="P175" s="56"/>
      <c r="Q175" s="74"/>
      <c r="R175" s="70">
        <v>0</v>
      </c>
      <c r="S175" s="19"/>
      <c r="T175" s="60"/>
      <c r="U175" s="59" t="s">
        <v>108</v>
      </c>
    </row>
    <row r="176" spans="1:21" ht="15" customHeight="1" x14ac:dyDescent="0.25">
      <c r="A176" s="1">
        <f t="shared" ca="1" si="7"/>
        <v>7107</v>
      </c>
      <c r="B176" s="29">
        <v>825</v>
      </c>
      <c r="C176" s="29">
        <v>30078</v>
      </c>
      <c r="D176" s="29">
        <v>263</v>
      </c>
      <c r="E176" s="29">
        <v>29815</v>
      </c>
      <c r="F176" s="29">
        <v>2990</v>
      </c>
      <c r="G176" s="39"/>
      <c r="H176" s="40"/>
      <c r="I176" s="52"/>
      <c r="J176" s="53"/>
      <c r="K176" s="17"/>
      <c r="L176" s="39"/>
      <c r="M176" s="43">
        <v>793</v>
      </c>
      <c r="N176" s="45" t="s">
        <v>108</v>
      </c>
      <c r="O176" s="55">
        <v>12</v>
      </c>
      <c r="P176" s="56"/>
      <c r="Q176" s="74"/>
      <c r="R176" s="70">
        <v>0</v>
      </c>
      <c r="S176" s="19"/>
      <c r="T176" s="60"/>
      <c r="U176" s="59" t="s">
        <v>108</v>
      </c>
    </row>
    <row r="177" spans="1:21" ht="15" customHeight="1" x14ac:dyDescent="0.25">
      <c r="A177" s="1">
        <f t="shared" ca="1" si="7"/>
        <v>7108</v>
      </c>
      <c r="B177" s="29">
        <v>820</v>
      </c>
      <c r="C177" s="29">
        <v>30093</v>
      </c>
      <c r="D177" s="29">
        <v>262</v>
      </c>
      <c r="E177" s="29">
        <v>29830</v>
      </c>
      <c r="F177" s="29">
        <v>2991</v>
      </c>
      <c r="G177" s="39"/>
      <c r="H177" s="40"/>
      <c r="I177" s="52"/>
      <c r="J177" s="53"/>
      <c r="K177" s="17"/>
      <c r="L177" s="39"/>
      <c r="M177" s="43">
        <v>784</v>
      </c>
      <c r="N177" s="45" t="s">
        <v>110</v>
      </c>
      <c r="O177" s="55">
        <v>10</v>
      </c>
      <c r="P177" s="56"/>
      <c r="Q177" s="74"/>
      <c r="R177" s="70">
        <v>0</v>
      </c>
      <c r="S177" s="19"/>
      <c r="T177" s="60"/>
      <c r="U177" s="59" t="s">
        <v>108</v>
      </c>
    </row>
    <row r="178" spans="1:21" ht="15" customHeight="1" x14ac:dyDescent="0.25">
      <c r="A178" s="1">
        <f t="shared" ca="1" si="7"/>
        <v>7109</v>
      </c>
      <c r="B178" s="29">
        <v>820</v>
      </c>
      <c r="C178" s="29">
        <v>30104</v>
      </c>
      <c r="D178" s="29">
        <v>262</v>
      </c>
      <c r="E178" s="29">
        <v>29842</v>
      </c>
      <c r="F178" s="29">
        <v>2992</v>
      </c>
      <c r="G178" s="39"/>
      <c r="H178" s="40"/>
      <c r="I178" s="52"/>
      <c r="J178" s="53"/>
      <c r="K178" s="17"/>
      <c r="L178" s="39"/>
      <c r="M178" s="43">
        <v>784</v>
      </c>
      <c r="N178" s="45" t="s">
        <v>108</v>
      </c>
      <c r="O178" s="55">
        <v>12</v>
      </c>
      <c r="P178" s="56"/>
      <c r="Q178" s="74"/>
      <c r="R178" s="70">
        <v>0</v>
      </c>
      <c r="S178" s="19"/>
      <c r="T178" s="60"/>
      <c r="U178" s="59" t="s">
        <v>108</v>
      </c>
    </row>
    <row r="179" spans="1:21" ht="15" customHeight="1" x14ac:dyDescent="0.25">
      <c r="A179" s="1">
        <f t="shared" ca="1" si="7"/>
        <v>7110</v>
      </c>
      <c r="B179" s="29">
        <v>815</v>
      </c>
      <c r="C179" s="29">
        <v>30120</v>
      </c>
      <c r="D179" s="29">
        <v>260</v>
      </c>
      <c r="E179" s="29">
        <v>29860</v>
      </c>
      <c r="F179" s="29">
        <v>2994</v>
      </c>
      <c r="G179" s="39"/>
      <c r="H179" s="40"/>
      <c r="I179" s="52"/>
      <c r="J179" s="53"/>
      <c r="K179" s="17"/>
      <c r="L179" s="39"/>
      <c r="M179" s="43">
        <v>781</v>
      </c>
      <c r="N179" s="45" t="s">
        <v>108</v>
      </c>
      <c r="O179" s="55">
        <v>10</v>
      </c>
      <c r="P179" s="56"/>
      <c r="Q179" s="74"/>
      <c r="R179" s="70">
        <v>0</v>
      </c>
      <c r="S179" s="19"/>
      <c r="T179" s="60"/>
      <c r="U179" s="59" t="s">
        <v>108</v>
      </c>
    </row>
    <row r="180" spans="1:21" ht="15" customHeight="1" x14ac:dyDescent="0.25">
      <c r="A180" s="1">
        <f t="shared" ca="1" si="7"/>
        <v>7111</v>
      </c>
      <c r="B180" s="29">
        <v>820</v>
      </c>
      <c r="C180" s="29">
        <v>30132</v>
      </c>
      <c r="D180" s="29">
        <v>262</v>
      </c>
      <c r="E180" s="29">
        <v>29870</v>
      </c>
      <c r="F180" s="29">
        <v>2995</v>
      </c>
      <c r="G180" s="39"/>
      <c r="H180" s="40"/>
      <c r="I180" s="52"/>
      <c r="J180" s="53"/>
      <c r="K180" s="17"/>
      <c r="L180" s="39"/>
      <c r="M180" s="43">
        <v>783</v>
      </c>
      <c r="N180" s="45" t="s">
        <v>108</v>
      </c>
      <c r="O180" s="55">
        <v>9</v>
      </c>
      <c r="P180" s="56"/>
      <c r="Q180" s="74"/>
      <c r="R180" s="70">
        <v>0</v>
      </c>
      <c r="S180" s="19"/>
      <c r="T180" s="60"/>
      <c r="U180" s="59" t="s">
        <v>108</v>
      </c>
    </row>
    <row r="181" spans="1:21" ht="15" customHeight="1" x14ac:dyDescent="0.25">
      <c r="A181" s="1">
        <f t="shared" ca="1" si="7"/>
        <v>7112</v>
      </c>
      <c r="B181" s="29">
        <v>820</v>
      </c>
      <c r="C181" s="29">
        <v>30094</v>
      </c>
      <c r="D181" s="29">
        <v>262</v>
      </c>
      <c r="E181" s="29">
        <v>29832</v>
      </c>
      <c r="F181" s="29">
        <v>2991</v>
      </c>
      <c r="G181" s="39"/>
      <c r="H181" s="40"/>
      <c r="I181" s="52"/>
      <c r="J181" s="53"/>
      <c r="K181" s="17"/>
      <c r="L181" s="39"/>
      <c r="M181" s="43">
        <v>784</v>
      </c>
      <c r="N181" s="45" t="s">
        <v>108</v>
      </c>
      <c r="O181" s="55">
        <v>10</v>
      </c>
      <c r="P181" s="56"/>
      <c r="Q181" s="74"/>
      <c r="R181" s="70">
        <v>0</v>
      </c>
      <c r="S181" s="19"/>
      <c r="T181" s="60"/>
      <c r="U181" s="59" t="s">
        <v>108</v>
      </c>
    </row>
    <row r="182" spans="1:21" ht="15" customHeight="1" x14ac:dyDescent="0.25">
      <c r="A182" s="1">
        <f t="shared" ca="1" si="7"/>
        <v>7113</v>
      </c>
      <c r="B182" s="29">
        <v>820</v>
      </c>
      <c r="C182" s="29">
        <v>30120</v>
      </c>
      <c r="D182" s="29">
        <v>262</v>
      </c>
      <c r="E182" s="29">
        <v>29858</v>
      </c>
      <c r="F182" s="29">
        <v>2994</v>
      </c>
      <c r="G182" s="39"/>
      <c r="H182" s="40"/>
      <c r="I182" s="52"/>
      <c r="J182" s="53"/>
      <c r="K182" s="17"/>
      <c r="L182" s="39"/>
      <c r="M182" s="43">
        <v>788</v>
      </c>
      <c r="N182" s="45" t="s">
        <v>108</v>
      </c>
      <c r="O182" s="55">
        <v>15</v>
      </c>
      <c r="P182" s="56"/>
      <c r="Q182" s="74"/>
      <c r="R182" s="70">
        <v>0</v>
      </c>
      <c r="S182" s="19"/>
      <c r="T182" s="60"/>
      <c r="U182" s="59" t="s">
        <v>108</v>
      </c>
    </row>
    <row r="183" spans="1:21" ht="15" customHeight="1" x14ac:dyDescent="0.25">
      <c r="A183" s="1">
        <f t="shared" ca="1" si="7"/>
        <v>7114</v>
      </c>
      <c r="B183" s="29">
        <v>815</v>
      </c>
      <c r="C183" s="29">
        <v>30102</v>
      </c>
      <c r="D183" s="29">
        <v>260</v>
      </c>
      <c r="E183" s="29">
        <v>29842</v>
      </c>
      <c r="F183" s="29">
        <v>2992</v>
      </c>
      <c r="G183" s="39"/>
      <c r="H183" s="40"/>
      <c r="I183" s="52"/>
      <c r="J183" s="53"/>
      <c r="K183" s="17"/>
      <c r="L183" s="39"/>
      <c r="M183" s="43">
        <v>786</v>
      </c>
      <c r="N183" s="45" t="s">
        <v>108</v>
      </c>
      <c r="O183" s="55">
        <v>15</v>
      </c>
      <c r="P183" s="56"/>
      <c r="Q183" s="74"/>
      <c r="R183" s="70">
        <v>0</v>
      </c>
      <c r="S183" s="19"/>
      <c r="T183" s="60"/>
      <c r="U183" s="59" t="s">
        <v>108</v>
      </c>
    </row>
    <row r="184" spans="1:21" ht="15" customHeight="1" x14ac:dyDescent="0.25">
      <c r="A184" s="1">
        <f t="shared" ca="1" si="7"/>
        <v>7115</v>
      </c>
      <c r="B184" s="29">
        <v>810</v>
      </c>
      <c r="C184" s="29">
        <v>30080</v>
      </c>
      <c r="D184" s="29">
        <v>259</v>
      </c>
      <c r="E184" s="29">
        <v>29821</v>
      </c>
      <c r="F184" s="29">
        <v>2990</v>
      </c>
      <c r="G184" s="39"/>
      <c r="H184" s="40"/>
      <c r="I184" s="52"/>
      <c r="J184" s="53"/>
      <c r="K184" s="17"/>
      <c r="L184" s="39"/>
      <c r="M184" s="43">
        <v>776</v>
      </c>
      <c r="N184" s="45" t="s">
        <v>108</v>
      </c>
      <c r="O184" s="55">
        <v>12</v>
      </c>
      <c r="P184" s="56"/>
      <c r="Q184" s="74"/>
      <c r="R184" s="70">
        <v>0</v>
      </c>
      <c r="S184" s="19"/>
      <c r="T184" s="60"/>
      <c r="U184" s="59" t="s">
        <v>108</v>
      </c>
    </row>
    <row r="185" spans="1:21" ht="15" customHeight="1" x14ac:dyDescent="0.25">
      <c r="A185" s="1">
        <f t="shared" ca="1" si="7"/>
        <v>7116</v>
      </c>
      <c r="B185" s="29">
        <v>805</v>
      </c>
      <c r="C185" s="29">
        <v>30081</v>
      </c>
      <c r="D185" s="29">
        <v>258</v>
      </c>
      <c r="E185" s="29">
        <v>29823</v>
      </c>
      <c r="F185" s="29">
        <v>2990</v>
      </c>
      <c r="G185" s="39"/>
      <c r="H185" s="40"/>
      <c r="I185" s="52"/>
      <c r="J185" s="53"/>
      <c r="K185" s="17"/>
      <c r="L185" s="39"/>
      <c r="M185" s="43">
        <v>777</v>
      </c>
      <c r="N185" s="45" t="s">
        <v>108</v>
      </c>
      <c r="O185" s="55">
        <v>14</v>
      </c>
      <c r="P185" s="56"/>
      <c r="Q185" s="74"/>
      <c r="R185" s="70">
        <v>0</v>
      </c>
      <c r="S185" s="19"/>
      <c r="T185" s="60"/>
      <c r="U185" s="59" t="s">
        <v>108</v>
      </c>
    </row>
    <row r="186" spans="1:21" ht="15" customHeight="1" x14ac:dyDescent="0.25">
      <c r="A186" s="1">
        <f t="shared" ca="1" si="7"/>
        <v>7117</v>
      </c>
      <c r="B186" s="29">
        <v>810</v>
      </c>
      <c r="C186" s="29">
        <v>30083</v>
      </c>
      <c r="D186" s="29">
        <v>259</v>
      </c>
      <c r="E186" s="29">
        <v>29824</v>
      </c>
      <c r="F186" s="29">
        <v>2990</v>
      </c>
      <c r="G186" s="39"/>
      <c r="H186" s="40"/>
      <c r="I186" s="52"/>
      <c r="J186" s="53"/>
      <c r="K186" s="17"/>
      <c r="L186" s="39"/>
      <c r="M186" s="43">
        <v>774</v>
      </c>
      <c r="N186" s="45" t="s">
        <v>108</v>
      </c>
      <c r="O186" s="55">
        <v>10</v>
      </c>
      <c r="P186" s="56"/>
      <c r="Q186" s="74"/>
      <c r="R186" s="70">
        <v>0</v>
      </c>
      <c r="S186" s="19"/>
      <c r="T186" s="60"/>
      <c r="U186" s="59" t="s">
        <v>108</v>
      </c>
    </row>
    <row r="187" spans="1:21" ht="15" customHeight="1" x14ac:dyDescent="0.25">
      <c r="A187" s="1">
        <f t="shared" ca="1" si="7"/>
        <v>7118</v>
      </c>
      <c r="B187" s="29">
        <v>810</v>
      </c>
      <c r="C187" s="29">
        <v>30060</v>
      </c>
      <c r="D187" s="29">
        <v>259</v>
      </c>
      <c r="E187" s="29">
        <v>29801</v>
      </c>
      <c r="F187" s="29">
        <v>2988</v>
      </c>
      <c r="G187" s="39"/>
      <c r="H187" s="40"/>
      <c r="I187" s="52"/>
      <c r="J187" s="53"/>
      <c r="K187" s="17"/>
      <c r="L187" s="39"/>
      <c r="M187" s="43">
        <v>785</v>
      </c>
      <c r="N187" s="45" t="s">
        <v>108</v>
      </c>
      <c r="O187" s="55">
        <v>12</v>
      </c>
      <c r="P187" s="56"/>
      <c r="Q187" s="74"/>
      <c r="R187" s="70">
        <v>0</v>
      </c>
      <c r="S187" s="19"/>
      <c r="T187" s="60"/>
      <c r="U187" s="59" t="s">
        <v>108</v>
      </c>
    </row>
    <row r="188" spans="1:21" ht="15" customHeight="1" x14ac:dyDescent="0.25">
      <c r="A188" s="1">
        <f t="shared" ca="1" si="7"/>
        <v>7119</v>
      </c>
      <c r="B188" s="29">
        <v>805</v>
      </c>
      <c r="C188" s="29">
        <v>30060</v>
      </c>
      <c r="D188" s="29">
        <v>258</v>
      </c>
      <c r="E188" s="29">
        <v>29802</v>
      </c>
      <c r="F188" s="29">
        <v>2988</v>
      </c>
      <c r="G188" s="39"/>
      <c r="H188" s="40"/>
      <c r="I188" s="52"/>
      <c r="J188" s="53"/>
      <c r="K188" s="17"/>
      <c r="L188" s="39"/>
      <c r="M188" s="43">
        <v>776</v>
      </c>
      <c r="N188" s="45" t="s">
        <v>108</v>
      </c>
      <c r="O188" s="55">
        <v>10</v>
      </c>
      <c r="P188" s="56"/>
      <c r="Q188" s="74"/>
      <c r="R188" s="70">
        <v>0</v>
      </c>
      <c r="S188" s="19"/>
      <c r="T188" s="60"/>
      <c r="U188" s="59" t="s">
        <v>108</v>
      </c>
    </row>
    <row r="189" spans="1:21" ht="15" customHeight="1" x14ac:dyDescent="0.25">
      <c r="A189" s="1">
        <f t="shared" ca="1" si="7"/>
        <v>7120</v>
      </c>
      <c r="B189" s="29">
        <v>810</v>
      </c>
      <c r="C189" s="29">
        <v>30118</v>
      </c>
      <c r="D189" s="29">
        <v>259</v>
      </c>
      <c r="E189" s="29">
        <v>29859</v>
      </c>
      <c r="F189" s="29">
        <v>2994</v>
      </c>
      <c r="G189" s="39"/>
      <c r="H189" s="40"/>
      <c r="I189" s="52"/>
      <c r="J189" s="53"/>
      <c r="K189" s="17"/>
      <c r="L189" s="39"/>
      <c r="M189" s="43">
        <v>780</v>
      </c>
      <c r="N189" s="45" t="s">
        <v>110</v>
      </c>
      <c r="O189" s="55">
        <v>12</v>
      </c>
      <c r="P189" s="56"/>
      <c r="Q189" s="74"/>
      <c r="R189" s="70">
        <v>0</v>
      </c>
      <c r="S189" s="19"/>
      <c r="T189" s="60"/>
      <c r="U189" s="59" t="s">
        <v>108</v>
      </c>
    </row>
    <row r="190" spans="1:21" ht="15" customHeight="1" x14ac:dyDescent="0.25">
      <c r="A190" s="1">
        <f t="shared" ca="1" si="7"/>
        <v>7121</v>
      </c>
      <c r="B190" s="29">
        <v>815</v>
      </c>
      <c r="C190" s="29">
        <v>30132</v>
      </c>
      <c r="D190" s="29">
        <v>260</v>
      </c>
      <c r="E190" s="29">
        <v>29872</v>
      </c>
      <c r="F190" s="29">
        <v>2995</v>
      </c>
      <c r="G190" s="39"/>
      <c r="H190" s="40"/>
      <c r="I190" s="52"/>
      <c r="J190" s="53"/>
      <c r="K190" s="17"/>
      <c r="L190" s="39"/>
      <c r="M190" s="43">
        <v>773</v>
      </c>
      <c r="N190" s="45" t="s">
        <v>108</v>
      </c>
      <c r="O190" s="55">
        <v>12</v>
      </c>
      <c r="P190" s="56"/>
      <c r="Q190" s="74"/>
      <c r="R190" s="70">
        <v>0</v>
      </c>
      <c r="S190" s="19"/>
      <c r="T190" s="60"/>
      <c r="U190" s="59" t="s">
        <v>108</v>
      </c>
    </row>
    <row r="191" spans="1:21" x14ac:dyDescent="0.25">
      <c r="A191" s="1" t="str">
        <f t="shared" ca="1" si="7"/>
        <v>Totaal</v>
      </c>
      <c r="B191" s="61">
        <f>IF(COUNT(B161:B190)&gt;0,AVERAGE(B161:B190)/10,"")</f>
        <v>81.783333333333331</v>
      </c>
      <c r="C191" s="62">
        <f>IF(COUNT(C161:C190)&gt;0,AVERAGE(C161:C190)/1000,"")</f>
        <v>30.090700000000002</v>
      </c>
      <c r="D191" s="62">
        <f>IF(COUNT(D161:D190)&gt;0,AVERAGE(D161:D190)/1000,"")</f>
        <v>0.26113333333333333</v>
      </c>
      <c r="E191" s="62">
        <f>IF(COUNT(E161:E190)&gt;0,AVERAGE(E161:E190)/1000,"")</f>
        <v>29.829533333333334</v>
      </c>
      <c r="F191" s="62">
        <f>IF(COUNT(F161:F190)&gt;0,AVERAGE(F161:F190)/100,"")</f>
        <v>29.91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>
        <f>IF(COUNT(M161:M190)&gt;0,AVERAGE(M161:M190)/10,"")</f>
        <v>78.426666666666662</v>
      </c>
      <c r="N191" s="46"/>
      <c r="O191" s="57">
        <f>IF(COUNT(O161:O190)&gt;0,AVERAGE(O161:O190),"")</f>
        <v>11.333333333333334</v>
      </c>
      <c r="P191" s="58" t="str">
        <f>IF(COUNT(P161:P190)&gt;0,AVERAGE(P161:P190),"")</f>
        <v/>
      </c>
      <c r="Q191" s="47"/>
      <c r="R191" s="68">
        <f>IF(COUNT(R161:R190)&gt;0,SUM(R161:R190)/100,"")</f>
        <v>0.26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7122</v>
      </c>
      <c r="B192" s="29">
        <v>815</v>
      </c>
      <c r="C192" s="29">
        <v>30108</v>
      </c>
      <c r="D192" s="29">
        <v>260</v>
      </c>
      <c r="E192" s="29">
        <v>29848</v>
      </c>
      <c r="F192" s="29">
        <v>2993</v>
      </c>
      <c r="G192" s="39"/>
      <c r="H192" s="40"/>
      <c r="I192" s="52"/>
      <c r="J192" s="53"/>
      <c r="K192" s="17"/>
      <c r="L192" s="39"/>
      <c r="M192" s="43">
        <v>780</v>
      </c>
      <c r="N192" s="45" t="s">
        <v>108</v>
      </c>
      <c r="O192" s="55">
        <v>10</v>
      </c>
      <c r="P192" s="56"/>
      <c r="Q192" s="74"/>
      <c r="R192" s="70">
        <v>0</v>
      </c>
      <c r="S192" s="19"/>
      <c r="T192" s="60"/>
      <c r="U192" s="59" t="s">
        <v>108</v>
      </c>
    </row>
    <row r="193" spans="1:21" ht="15" customHeight="1" x14ac:dyDescent="0.25">
      <c r="A193" s="1">
        <f t="shared" ca="1" si="7"/>
        <v>7123</v>
      </c>
      <c r="B193" s="29">
        <v>810</v>
      </c>
      <c r="C193" s="29">
        <v>30092</v>
      </c>
      <c r="D193" s="29">
        <v>259</v>
      </c>
      <c r="E193" s="29">
        <v>29833</v>
      </c>
      <c r="F193" s="29">
        <v>2991</v>
      </c>
      <c r="G193" s="39"/>
      <c r="H193" s="40"/>
      <c r="I193" s="52"/>
      <c r="J193" s="53"/>
      <c r="K193" s="17"/>
      <c r="L193" s="39"/>
      <c r="M193" s="43">
        <v>773</v>
      </c>
      <c r="N193" s="45" t="s">
        <v>108</v>
      </c>
      <c r="O193" s="55">
        <v>9</v>
      </c>
      <c r="P193" s="56"/>
      <c r="Q193" s="74"/>
      <c r="R193" s="70">
        <v>0</v>
      </c>
      <c r="S193" s="19"/>
      <c r="T193" s="60"/>
      <c r="U193" s="59" t="s">
        <v>108</v>
      </c>
    </row>
    <row r="194" spans="1:21" ht="15" customHeight="1" x14ac:dyDescent="0.25">
      <c r="A194" s="1">
        <f t="shared" ca="1" si="7"/>
        <v>7124</v>
      </c>
      <c r="B194" s="29">
        <v>820</v>
      </c>
      <c r="C194" s="29">
        <v>30110</v>
      </c>
      <c r="D194" s="29">
        <v>262</v>
      </c>
      <c r="E194" s="29">
        <v>29848</v>
      </c>
      <c r="F194" s="29">
        <v>2993</v>
      </c>
      <c r="G194" s="39"/>
      <c r="H194" s="40"/>
      <c r="I194" s="52"/>
      <c r="J194" s="53"/>
      <c r="K194" s="17"/>
      <c r="L194" s="39"/>
      <c r="M194" s="43">
        <v>774</v>
      </c>
      <c r="N194" s="45" t="s">
        <v>108</v>
      </c>
      <c r="O194" s="55">
        <v>8</v>
      </c>
      <c r="P194" s="56"/>
      <c r="Q194" s="74"/>
      <c r="R194" s="70">
        <v>0</v>
      </c>
      <c r="S194" s="19"/>
      <c r="T194" s="60"/>
      <c r="U194" s="59" t="s">
        <v>108</v>
      </c>
    </row>
    <row r="195" spans="1:21" ht="15" customHeight="1" x14ac:dyDescent="0.25">
      <c r="A195" s="1">
        <f t="shared" ca="1" si="7"/>
        <v>7125</v>
      </c>
      <c r="B195" s="29">
        <v>810</v>
      </c>
      <c r="C195" s="29">
        <v>30110</v>
      </c>
      <c r="D195" s="29">
        <v>259</v>
      </c>
      <c r="E195" s="29">
        <v>29851</v>
      </c>
      <c r="F195" s="29">
        <v>2993</v>
      </c>
      <c r="G195" s="39"/>
      <c r="H195" s="40"/>
      <c r="I195" s="52"/>
      <c r="J195" s="53"/>
      <c r="K195" s="17"/>
      <c r="L195" s="39"/>
      <c r="M195" s="43">
        <v>778</v>
      </c>
      <c r="N195" s="45" t="s">
        <v>108</v>
      </c>
      <c r="O195" s="55">
        <v>10</v>
      </c>
      <c r="P195" s="56"/>
      <c r="Q195" s="74"/>
      <c r="R195" s="70">
        <v>0</v>
      </c>
      <c r="S195" s="19"/>
      <c r="T195" s="60"/>
      <c r="U195" s="59" t="s">
        <v>108</v>
      </c>
    </row>
    <row r="196" spans="1:21" ht="15" customHeight="1" x14ac:dyDescent="0.25">
      <c r="A196" s="1">
        <f t="shared" ca="1" si="7"/>
        <v>7126</v>
      </c>
      <c r="B196" s="29">
        <v>810</v>
      </c>
      <c r="C196" s="29">
        <v>30082</v>
      </c>
      <c r="D196" s="29">
        <v>260</v>
      </c>
      <c r="E196" s="29">
        <v>29822</v>
      </c>
      <c r="F196" s="29">
        <v>2990</v>
      </c>
      <c r="G196" s="39"/>
      <c r="H196" s="40"/>
      <c r="I196" s="52"/>
      <c r="J196" s="53"/>
      <c r="K196" s="17"/>
      <c r="L196" s="39"/>
      <c r="M196" s="43">
        <v>776</v>
      </c>
      <c r="N196" s="45" t="s">
        <v>108</v>
      </c>
      <c r="O196" s="55">
        <v>10</v>
      </c>
      <c r="P196" s="56"/>
      <c r="Q196" s="74"/>
      <c r="R196" s="70">
        <v>0</v>
      </c>
      <c r="S196" s="19"/>
      <c r="T196" s="60"/>
      <c r="U196" s="59" t="s">
        <v>108</v>
      </c>
    </row>
    <row r="197" spans="1:21" ht="15" customHeight="1" x14ac:dyDescent="0.25">
      <c r="A197" s="1">
        <f t="shared" ca="1" si="7"/>
        <v>7127</v>
      </c>
      <c r="B197" s="29">
        <v>805</v>
      </c>
      <c r="C197" s="29">
        <v>30056</v>
      </c>
      <c r="D197" s="29">
        <v>258</v>
      </c>
      <c r="E197" s="29">
        <v>29798</v>
      </c>
      <c r="F197" s="29">
        <v>2988</v>
      </c>
      <c r="G197" s="39"/>
      <c r="H197" s="40"/>
      <c r="I197" s="52"/>
      <c r="J197" s="53"/>
      <c r="K197" s="17"/>
      <c r="L197" s="39"/>
      <c r="M197" s="43">
        <v>772</v>
      </c>
      <c r="N197" s="45" t="s">
        <v>108</v>
      </c>
      <c r="O197" s="55">
        <v>12</v>
      </c>
      <c r="P197" s="56"/>
      <c r="Q197" s="74"/>
      <c r="R197" s="70">
        <v>0</v>
      </c>
      <c r="S197" s="19"/>
      <c r="T197" s="60"/>
      <c r="U197" s="59" t="s">
        <v>108</v>
      </c>
    </row>
    <row r="198" spans="1:21" ht="15" customHeight="1" x14ac:dyDescent="0.25">
      <c r="A198" s="1">
        <f t="shared" ca="1" si="7"/>
        <v>7128</v>
      </c>
      <c r="B198" s="29">
        <v>810</v>
      </c>
      <c r="C198" s="29">
        <v>30091</v>
      </c>
      <c r="D198" s="29">
        <v>259</v>
      </c>
      <c r="E198" s="29">
        <v>29832</v>
      </c>
      <c r="F198" s="29">
        <v>2991</v>
      </c>
      <c r="G198" s="39"/>
      <c r="H198" s="40"/>
      <c r="I198" s="52"/>
      <c r="J198" s="53"/>
      <c r="K198" s="17"/>
      <c r="L198" s="39"/>
      <c r="M198" s="43">
        <v>779</v>
      </c>
      <c r="N198" s="45" t="s">
        <v>108</v>
      </c>
      <c r="O198" s="55">
        <v>10</v>
      </c>
      <c r="P198" s="56"/>
      <c r="Q198" s="74"/>
      <c r="R198" s="70">
        <v>0</v>
      </c>
      <c r="S198" s="19"/>
      <c r="T198" s="60"/>
      <c r="U198" s="59" t="s">
        <v>108</v>
      </c>
    </row>
    <row r="199" spans="1:21" ht="15" customHeight="1" x14ac:dyDescent="0.25">
      <c r="A199" s="1">
        <f t="shared" ref="A199:A262" ca="1" si="11">IF(ISTEXT(A198),A197+1,IF(MONTH(A198+1)=MONTH(A198),A198+1,"Totaal"))</f>
        <v>7129</v>
      </c>
      <c r="B199" s="29">
        <v>815</v>
      </c>
      <c r="C199" s="29">
        <v>30138</v>
      </c>
      <c r="D199" s="29">
        <v>260</v>
      </c>
      <c r="E199" s="29">
        <v>29878</v>
      </c>
      <c r="F199" s="29">
        <v>2996</v>
      </c>
      <c r="G199" s="39"/>
      <c r="H199" s="40"/>
      <c r="I199" s="52"/>
      <c r="J199" s="53"/>
      <c r="K199" s="17"/>
      <c r="L199" s="39"/>
      <c r="M199" s="43">
        <v>776</v>
      </c>
      <c r="N199" s="45" t="s">
        <v>108</v>
      </c>
      <c r="O199" s="55">
        <v>10</v>
      </c>
      <c r="P199" s="56"/>
      <c r="Q199" s="74"/>
      <c r="R199" s="70">
        <v>0</v>
      </c>
      <c r="S199" s="19"/>
      <c r="T199" s="60"/>
      <c r="U199" s="59" t="s">
        <v>108</v>
      </c>
    </row>
    <row r="200" spans="1:21" ht="15" customHeight="1" x14ac:dyDescent="0.25">
      <c r="A200" s="1">
        <f t="shared" ca="1" si="11"/>
        <v>7130</v>
      </c>
      <c r="B200" s="29">
        <v>815</v>
      </c>
      <c r="C200" s="29">
        <v>30160</v>
      </c>
      <c r="D200" s="29">
        <v>260</v>
      </c>
      <c r="E200" s="29">
        <v>29900</v>
      </c>
      <c r="F200" s="29">
        <v>2998</v>
      </c>
      <c r="G200" s="39"/>
      <c r="H200" s="40"/>
      <c r="I200" s="52"/>
      <c r="J200" s="53"/>
      <c r="K200" s="17"/>
      <c r="L200" s="39"/>
      <c r="M200" s="43">
        <v>773</v>
      </c>
      <c r="N200" s="45" t="s">
        <v>108</v>
      </c>
      <c r="O200" s="55">
        <v>5</v>
      </c>
      <c r="P200" s="56"/>
      <c r="Q200" s="74"/>
      <c r="R200" s="70">
        <v>1</v>
      </c>
      <c r="S200" s="19"/>
      <c r="T200" s="60"/>
      <c r="U200" s="59" t="s">
        <v>108</v>
      </c>
    </row>
    <row r="201" spans="1:21" ht="15" customHeight="1" x14ac:dyDescent="0.25">
      <c r="A201" s="1">
        <f t="shared" ca="1" si="11"/>
        <v>7131</v>
      </c>
      <c r="B201" s="29">
        <v>815</v>
      </c>
      <c r="C201" s="29">
        <v>30102</v>
      </c>
      <c r="D201" s="29">
        <v>260</v>
      </c>
      <c r="E201" s="29">
        <v>29842</v>
      </c>
      <c r="F201" s="29">
        <v>2992</v>
      </c>
      <c r="G201" s="39"/>
      <c r="H201" s="40"/>
      <c r="I201" s="52"/>
      <c r="J201" s="53"/>
      <c r="K201" s="17"/>
      <c r="L201" s="39"/>
      <c r="M201" s="43">
        <v>780</v>
      </c>
      <c r="N201" s="45" t="s">
        <v>108</v>
      </c>
      <c r="O201" s="55">
        <v>10</v>
      </c>
      <c r="P201" s="56"/>
      <c r="Q201" s="74"/>
      <c r="R201" s="70">
        <v>0</v>
      </c>
      <c r="S201" s="19"/>
      <c r="T201" s="60"/>
      <c r="U201" s="59" t="s">
        <v>108</v>
      </c>
    </row>
    <row r="202" spans="1:21" ht="15" customHeight="1" x14ac:dyDescent="0.25">
      <c r="A202" s="1">
        <f t="shared" ca="1" si="11"/>
        <v>7132</v>
      </c>
      <c r="B202" s="29">
        <v>820</v>
      </c>
      <c r="C202" s="29">
        <v>30128</v>
      </c>
      <c r="D202" s="29">
        <v>262</v>
      </c>
      <c r="E202" s="29">
        <v>29866</v>
      </c>
      <c r="F202" s="29">
        <v>2995</v>
      </c>
      <c r="G202" s="39"/>
      <c r="H202" s="40"/>
      <c r="I202" s="52"/>
      <c r="J202" s="53"/>
      <c r="K202" s="17"/>
      <c r="L202" s="39"/>
      <c r="M202" s="43">
        <v>788</v>
      </c>
      <c r="N202" s="45" t="s">
        <v>108</v>
      </c>
      <c r="O202" s="55">
        <v>10</v>
      </c>
      <c r="P202" s="56"/>
      <c r="Q202" s="74"/>
      <c r="R202" s="70">
        <v>0</v>
      </c>
      <c r="S202" s="19"/>
      <c r="T202" s="60"/>
      <c r="U202" s="59" t="s">
        <v>108</v>
      </c>
    </row>
    <row r="203" spans="1:21" ht="15" customHeight="1" x14ac:dyDescent="0.25">
      <c r="A203" s="1">
        <f t="shared" ca="1" si="11"/>
        <v>7133</v>
      </c>
      <c r="B203" s="29">
        <v>820</v>
      </c>
      <c r="C203" s="29">
        <v>30144</v>
      </c>
      <c r="D203" s="29">
        <v>262</v>
      </c>
      <c r="E203" s="29">
        <v>29882</v>
      </c>
      <c r="F203" s="29">
        <v>2996</v>
      </c>
      <c r="G203" s="39"/>
      <c r="H203" s="40"/>
      <c r="I203" s="52"/>
      <c r="J203" s="53"/>
      <c r="K203" s="17"/>
      <c r="L203" s="39"/>
      <c r="M203" s="43">
        <v>782</v>
      </c>
      <c r="N203" s="45" t="s">
        <v>108</v>
      </c>
      <c r="O203" s="55">
        <v>8</v>
      </c>
      <c r="P203" s="56"/>
      <c r="Q203" s="74"/>
      <c r="R203" s="70">
        <v>0</v>
      </c>
      <c r="S203" s="19"/>
      <c r="T203" s="60"/>
      <c r="U203" s="59" t="s">
        <v>108</v>
      </c>
    </row>
    <row r="204" spans="1:21" ht="15" customHeight="1" x14ac:dyDescent="0.25">
      <c r="A204" s="1">
        <f t="shared" ca="1" si="11"/>
        <v>7134</v>
      </c>
      <c r="B204" s="29">
        <v>815</v>
      </c>
      <c r="C204" s="29">
        <v>30144</v>
      </c>
      <c r="D204" s="29">
        <v>260</v>
      </c>
      <c r="E204" s="29">
        <v>29884</v>
      </c>
      <c r="F204" s="29">
        <v>2996</v>
      </c>
      <c r="G204" s="39"/>
      <c r="H204" s="40"/>
      <c r="I204" s="52"/>
      <c r="J204" s="53"/>
      <c r="K204" s="17"/>
      <c r="L204" s="39"/>
      <c r="M204" s="43">
        <v>780</v>
      </c>
      <c r="N204" s="45" t="s">
        <v>108</v>
      </c>
      <c r="O204" s="55">
        <v>9</v>
      </c>
      <c r="P204" s="56"/>
      <c r="Q204" s="74"/>
      <c r="R204" s="70">
        <v>0</v>
      </c>
      <c r="S204" s="19"/>
      <c r="T204" s="60"/>
      <c r="U204" s="59" t="s">
        <v>108</v>
      </c>
    </row>
    <row r="205" spans="1:21" ht="15" customHeight="1" x14ac:dyDescent="0.25">
      <c r="A205" s="1">
        <f t="shared" ca="1" si="11"/>
        <v>7135</v>
      </c>
      <c r="B205" s="29">
        <v>815</v>
      </c>
      <c r="C205" s="29">
        <v>30102</v>
      </c>
      <c r="D205" s="29">
        <v>260</v>
      </c>
      <c r="E205" s="29">
        <v>29842</v>
      </c>
      <c r="F205" s="29">
        <v>2992</v>
      </c>
      <c r="G205" s="39"/>
      <c r="H205" s="40"/>
      <c r="I205" s="52"/>
      <c r="J205" s="53"/>
      <c r="K205" s="17"/>
      <c r="L205" s="39"/>
      <c r="M205" s="43">
        <v>776</v>
      </c>
      <c r="N205" s="45" t="s">
        <v>110</v>
      </c>
      <c r="O205" s="55">
        <v>8</v>
      </c>
      <c r="P205" s="56"/>
      <c r="Q205" s="74"/>
      <c r="R205" s="70">
        <v>2</v>
      </c>
      <c r="S205" s="19"/>
      <c r="T205" s="60"/>
      <c r="U205" s="59" t="s">
        <v>108</v>
      </c>
    </row>
    <row r="206" spans="1:21" ht="15" customHeight="1" x14ac:dyDescent="0.25">
      <c r="A206" s="1">
        <f t="shared" ca="1" si="11"/>
        <v>7136</v>
      </c>
      <c r="B206" s="29">
        <v>815</v>
      </c>
      <c r="C206" s="29">
        <v>30081</v>
      </c>
      <c r="D206" s="29">
        <v>260</v>
      </c>
      <c r="E206" s="29">
        <v>29821</v>
      </c>
      <c r="F206" s="29">
        <v>2990</v>
      </c>
      <c r="G206" s="39"/>
      <c r="H206" s="40"/>
      <c r="I206" s="52"/>
      <c r="J206" s="53"/>
      <c r="K206" s="17"/>
      <c r="L206" s="39"/>
      <c r="M206" s="43">
        <v>776</v>
      </c>
      <c r="N206" s="45" t="s">
        <v>108</v>
      </c>
      <c r="O206" s="55">
        <v>6</v>
      </c>
      <c r="P206" s="56"/>
      <c r="Q206" s="74"/>
      <c r="R206" s="70">
        <v>0</v>
      </c>
      <c r="S206" s="19"/>
      <c r="T206" s="60"/>
      <c r="U206" s="59" t="s">
        <v>108</v>
      </c>
    </row>
    <row r="207" spans="1:21" ht="15" customHeight="1" x14ac:dyDescent="0.25">
      <c r="A207" s="1">
        <f t="shared" ca="1" si="11"/>
        <v>7137</v>
      </c>
      <c r="B207" s="29">
        <v>820</v>
      </c>
      <c r="C207" s="29">
        <v>30089</v>
      </c>
      <c r="D207" s="29">
        <v>262</v>
      </c>
      <c r="E207" s="29">
        <v>29827</v>
      </c>
      <c r="F207" s="29">
        <v>2991</v>
      </c>
      <c r="G207" s="39"/>
      <c r="H207" s="40"/>
      <c r="I207" s="52"/>
      <c r="J207" s="53"/>
      <c r="K207" s="17"/>
      <c r="L207" s="39"/>
      <c r="M207" s="43">
        <v>771</v>
      </c>
      <c r="N207" s="45" t="s">
        <v>108</v>
      </c>
      <c r="O207" s="55">
        <v>9</v>
      </c>
      <c r="P207" s="56"/>
      <c r="Q207" s="74"/>
      <c r="R207" s="70">
        <v>4</v>
      </c>
      <c r="S207" s="19"/>
      <c r="T207" s="60"/>
      <c r="U207" s="59" t="s">
        <v>108</v>
      </c>
    </row>
    <row r="208" spans="1:21" ht="15" customHeight="1" x14ac:dyDescent="0.25">
      <c r="A208" s="1">
        <f t="shared" ca="1" si="11"/>
        <v>7138</v>
      </c>
      <c r="B208" s="29">
        <v>815</v>
      </c>
      <c r="C208" s="29">
        <v>30113</v>
      </c>
      <c r="D208" s="29">
        <v>260</v>
      </c>
      <c r="E208" s="29">
        <v>29853</v>
      </c>
      <c r="F208" s="29">
        <v>2993</v>
      </c>
      <c r="G208" s="39"/>
      <c r="H208" s="40"/>
      <c r="I208" s="52"/>
      <c r="J208" s="53"/>
      <c r="K208" s="17"/>
      <c r="L208" s="39"/>
      <c r="M208" s="43">
        <v>778</v>
      </c>
      <c r="N208" s="45" t="s">
        <v>108</v>
      </c>
      <c r="O208" s="55">
        <v>8</v>
      </c>
      <c r="P208" s="56"/>
      <c r="Q208" s="74"/>
      <c r="R208" s="70">
        <v>0</v>
      </c>
      <c r="S208" s="19"/>
      <c r="T208" s="60"/>
      <c r="U208" s="59" t="s">
        <v>108</v>
      </c>
    </row>
    <row r="209" spans="1:21" ht="15" customHeight="1" x14ac:dyDescent="0.25">
      <c r="A209" s="1">
        <f t="shared" ca="1" si="11"/>
        <v>7139</v>
      </c>
      <c r="B209" s="29">
        <v>815</v>
      </c>
      <c r="C209" s="29">
        <v>30113</v>
      </c>
      <c r="D209" s="29">
        <v>260</v>
      </c>
      <c r="E209" s="29">
        <v>29853</v>
      </c>
      <c r="F209" s="29">
        <v>2993</v>
      </c>
      <c r="G209" s="39"/>
      <c r="H209" s="40"/>
      <c r="I209" s="52"/>
      <c r="J209" s="53"/>
      <c r="K209" s="17"/>
      <c r="L209" s="39"/>
      <c r="M209" s="43">
        <v>768</v>
      </c>
      <c r="N209" s="45" t="s">
        <v>108</v>
      </c>
      <c r="O209" s="55">
        <v>8</v>
      </c>
      <c r="P209" s="56"/>
      <c r="Q209" s="74"/>
      <c r="R209" s="70">
        <v>0</v>
      </c>
      <c r="S209" s="19"/>
      <c r="T209" s="60"/>
      <c r="U209" s="59" t="s">
        <v>108</v>
      </c>
    </row>
    <row r="210" spans="1:21" ht="15" customHeight="1" x14ac:dyDescent="0.25">
      <c r="A210" s="1">
        <f t="shared" ca="1" si="11"/>
        <v>7140</v>
      </c>
      <c r="B210" s="29">
        <v>810</v>
      </c>
      <c r="C210" s="29">
        <v>30123</v>
      </c>
      <c r="D210" s="29">
        <v>259</v>
      </c>
      <c r="E210" s="29">
        <v>29864</v>
      </c>
      <c r="F210" s="29">
        <v>2994</v>
      </c>
      <c r="G210" s="39"/>
      <c r="H210" s="40"/>
      <c r="I210" s="52"/>
      <c r="J210" s="53"/>
      <c r="K210" s="17"/>
      <c r="L210" s="39"/>
      <c r="M210" s="43">
        <v>773</v>
      </c>
      <c r="N210" s="45" t="s">
        <v>110</v>
      </c>
      <c r="O210" s="55">
        <v>6</v>
      </c>
      <c r="P210" s="56"/>
      <c r="Q210" s="74"/>
      <c r="R210" s="70">
        <v>1</v>
      </c>
      <c r="S210" s="19"/>
      <c r="T210" s="60"/>
      <c r="U210" s="59" t="s">
        <v>108</v>
      </c>
    </row>
    <row r="211" spans="1:21" ht="15" customHeight="1" x14ac:dyDescent="0.25">
      <c r="A211" s="1">
        <f t="shared" ca="1" si="11"/>
        <v>7141</v>
      </c>
      <c r="B211" s="29">
        <v>820</v>
      </c>
      <c r="C211" s="29">
        <v>30061</v>
      </c>
      <c r="D211" s="29">
        <v>262</v>
      </c>
      <c r="E211" s="29">
        <v>29799</v>
      </c>
      <c r="F211" s="29">
        <v>2988</v>
      </c>
      <c r="G211" s="39"/>
      <c r="H211" s="40"/>
      <c r="I211" s="52"/>
      <c r="J211" s="53"/>
      <c r="K211" s="17"/>
      <c r="L211" s="39"/>
      <c r="M211" s="43">
        <v>781</v>
      </c>
      <c r="N211" s="45" t="s">
        <v>108</v>
      </c>
      <c r="O211" s="55">
        <v>8</v>
      </c>
      <c r="P211" s="56"/>
      <c r="Q211" s="74"/>
      <c r="R211" s="70">
        <v>0</v>
      </c>
      <c r="S211" s="19"/>
      <c r="T211" s="60"/>
      <c r="U211" s="59" t="s">
        <v>108</v>
      </c>
    </row>
    <row r="212" spans="1:21" ht="15" customHeight="1" x14ac:dyDescent="0.25">
      <c r="A212" s="1">
        <f t="shared" ca="1" si="11"/>
        <v>7142</v>
      </c>
      <c r="B212" s="29">
        <v>815</v>
      </c>
      <c r="C212" s="29">
        <v>30024</v>
      </c>
      <c r="D212" s="29">
        <v>260</v>
      </c>
      <c r="E212" s="29">
        <v>29764</v>
      </c>
      <c r="F212" s="29">
        <v>2984</v>
      </c>
      <c r="G212" s="39"/>
      <c r="H212" s="40"/>
      <c r="I212" s="52"/>
      <c r="J212" s="53"/>
      <c r="K212" s="17"/>
      <c r="L212" s="39"/>
      <c r="M212" s="43">
        <v>780</v>
      </c>
      <c r="N212" s="45" t="s">
        <v>110</v>
      </c>
      <c r="O212" s="55">
        <v>5</v>
      </c>
      <c r="P212" s="56"/>
      <c r="Q212" s="74"/>
      <c r="R212" s="70">
        <v>0</v>
      </c>
      <c r="S212" s="19"/>
      <c r="T212" s="60"/>
      <c r="U212" s="59" t="s">
        <v>108</v>
      </c>
    </row>
    <row r="213" spans="1:21" ht="15" customHeight="1" x14ac:dyDescent="0.25">
      <c r="A213" s="1">
        <f t="shared" ca="1" si="11"/>
        <v>7143</v>
      </c>
      <c r="B213" s="29">
        <v>815</v>
      </c>
      <c r="C213" s="29">
        <v>30082</v>
      </c>
      <c r="D213" s="29">
        <v>260</v>
      </c>
      <c r="E213" s="29">
        <v>29822</v>
      </c>
      <c r="F213" s="29">
        <v>2990</v>
      </c>
      <c r="G213" s="39"/>
      <c r="H213" s="40"/>
      <c r="I213" s="52"/>
      <c r="J213" s="53"/>
      <c r="K213" s="17"/>
      <c r="L213" s="39"/>
      <c r="M213" s="43">
        <v>778</v>
      </c>
      <c r="N213" s="45" t="s">
        <v>110</v>
      </c>
      <c r="O213" s="55">
        <v>8</v>
      </c>
      <c r="P213" s="56"/>
      <c r="Q213" s="74"/>
      <c r="R213" s="70">
        <v>0</v>
      </c>
      <c r="S213" s="19"/>
      <c r="T213" s="60"/>
      <c r="U213" s="59" t="s">
        <v>108</v>
      </c>
    </row>
    <row r="214" spans="1:21" ht="15" customHeight="1" x14ac:dyDescent="0.25">
      <c r="A214" s="1">
        <f t="shared" ca="1" si="11"/>
        <v>7144</v>
      </c>
      <c r="B214" s="29">
        <v>820</v>
      </c>
      <c r="C214" s="29">
        <v>30058</v>
      </c>
      <c r="D214" s="29">
        <v>262</v>
      </c>
      <c r="E214" s="29">
        <v>29796</v>
      </c>
      <c r="F214" s="29">
        <v>2988</v>
      </c>
      <c r="G214" s="39"/>
      <c r="H214" s="40"/>
      <c r="I214" s="52"/>
      <c r="J214" s="53"/>
      <c r="K214" s="17"/>
      <c r="L214" s="39"/>
      <c r="M214" s="43">
        <v>784</v>
      </c>
      <c r="N214" s="45" t="s">
        <v>108</v>
      </c>
      <c r="O214" s="55">
        <v>8</v>
      </c>
      <c r="P214" s="56"/>
      <c r="Q214" s="74"/>
      <c r="R214" s="70">
        <v>4</v>
      </c>
      <c r="S214" s="19"/>
      <c r="T214" s="60"/>
      <c r="U214" s="59" t="s">
        <v>108</v>
      </c>
    </row>
    <row r="215" spans="1:21" ht="15" customHeight="1" x14ac:dyDescent="0.25">
      <c r="A215" s="1">
        <f t="shared" ca="1" si="11"/>
        <v>7145</v>
      </c>
      <c r="B215" s="29">
        <v>815</v>
      </c>
      <c r="C215" s="29">
        <v>30078</v>
      </c>
      <c r="D215" s="29">
        <v>260</v>
      </c>
      <c r="E215" s="29">
        <v>29818</v>
      </c>
      <c r="F215" s="29">
        <v>2990</v>
      </c>
      <c r="G215" s="39"/>
      <c r="H215" s="40"/>
      <c r="I215" s="52"/>
      <c r="J215" s="53"/>
      <c r="K215" s="17"/>
      <c r="L215" s="39"/>
      <c r="M215" s="43">
        <v>770</v>
      </c>
      <c r="N215" s="45" t="s">
        <v>108</v>
      </c>
      <c r="O215" s="55">
        <v>10</v>
      </c>
      <c r="P215" s="56"/>
      <c r="Q215" s="74"/>
      <c r="R215" s="70">
        <v>2</v>
      </c>
      <c r="S215" s="19"/>
      <c r="T215" s="60"/>
      <c r="U215" s="59" t="s">
        <v>108</v>
      </c>
    </row>
    <row r="216" spans="1:21" ht="15" customHeight="1" x14ac:dyDescent="0.25">
      <c r="A216" s="1">
        <f t="shared" ca="1" si="11"/>
        <v>7146</v>
      </c>
      <c r="B216" s="29">
        <v>820</v>
      </c>
      <c r="C216" s="29">
        <v>30063</v>
      </c>
      <c r="D216" s="29">
        <v>262</v>
      </c>
      <c r="E216" s="29">
        <v>29801</v>
      </c>
      <c r="F216" s="29">
        <v>2988</v>
      </c>
      <c r="G216" s="39"/>
      <c r="H216" s="40"/>
      <c r="I216" s="52"/>
      <c r="J216" s="53"/>
      <c r="K216" s="17"/>
      <c r="L216" s="39"/>
      <c r="M216" s="43">
        <v>786</v>
      </c>
      <c r="N216" s="45" t="s">
        <v>108</v>
      </c>
      <c r="O216" s="55">
        <v>8</v>
      </c>
      <c r="P216" s="56"/>
      <c r="Q216" s="74"/>
      <c r="R216" s="70">
        <v>0</v>
      </c>
      <c r="S216" s="19"/>
      <c r="T216" s="60"/>
      <c r="U216" s="59" t="s">
        <v>108</v>
      </c>
    </row>
    <row r="217" spans="1:21" ht="15" customHeight="1" x14ac:dyDescent="0.25">
      <c r="A217" s="1">
        <f t="shared" ca="1" si="11"/>
        <v>7147</v>
      </c>
      <c r="B217" s="29">
        <v>820</v>
      </c>
      <c r="C217" s="29">
        <v>30064</v>
      </c>
      <c r="D217" s="29">
        <v>262</v>
      </c>
      <c r="E217" s="29">
        <v>29802</v>
      </c>
      <c r="F217" s="29">
        <v>2988</v>
      </c>
      <c r="G217" s="39"/>
      <c r="H217" s="40"/>
      <c r="I217" s="52"/>
      <c r="J217" s="53"/>
      <c r="K217" s="17"/>
      <c r="L217" s="39"/>
      <c r="M217" s="43">
        <v>792</v>
      </c>
      <c r="N217" s="45" t="s">
        <v>110</v>
      </c>
      <c r="O217" s="55">
        <v>8</v>
      </c>
      <c r="P217" s="56"/>
      <c r="Q217" s="74"/>
      <c r="R217" s="70">
        <v>3</v>
      </c>
      <c r="S217" s="19"/>
      <c r="T217" s="60"/>
      <c r="U217" s="59" t="s">
        <v>108</v>
      </c>
    </row>
    <row r="218" spans="1:21" ht="15" customHeight="1" x14ac:dyDescent="0.25">
      <c r="A218" s="1">
        <f t="shared" ca="1" si="11"/>
        <v>7148</v>
      </c>
      <c r="B218" s="29">
        <v>825</v>
      </c>
      <c r="C218" s="29">
        <v>30096</v>
      </c>
      <c r="D218" s="29">
        <v>263</v>
      </c>
      <c r="E218" s="29">
        <v>29833</v>
      </c>
      <c r="F218" s="29">
        <v>2991</v>
      </c>
      <c r="G218" s="39"/>
      <c r="H218" s="40"/>
      <c r="I218" s="52"/>
      <c r="J218" s="53"/>
      <c r="K218" s="17"/>
      <c r="L218" s="39"/>
      <c r="M218" s="43">
        <v>794</v>
      </c>
      <c r="N218" s="45" t="s">
        <v>108</v>
      </c>
      <c r="O218" s="55">
        <v>8</v>
      </c>
      <c r="P218" s="56"/>
      <c r="Q218" s="74"/>
      <c r="R218" s="70">
        <v>0</v>
      </c>
      <c r="S218" s="19"/>
      <c r="T218" s="60"/>
      <c r="U218" s="59" t="s">
        <v>108</v>
      </c>
    </row>
    <row r="219" spans="1:21" ht="15" customHeight="1" x14ac:dyDescent="0.25">
      <c r="A219" s="1">
        <f t="shared" ca="1" si="11"/>
        <v>7149</v>
      </c>
      <c r="B219" s="29">
        <v>820</v>
      </c>
      <c r="C219" s="29">
        <v>30044</v>
      </c>
      <c r="D219" s="29">
        <v>262</v>
      </c>
      <c r="E219" s="29">
        <v>29782</v>
      </c>
      <c r="F219" s="29">
        <v>2986</v>
      </c>
      <c r="G219" s="39"/>
      <c r="H219" s="40"/>
      <c r="I219" s="52"/>
      <c r="J219" s="53"/>
      <c r="K219" s="17"/>
      <c r="L219" s="39"/>
      <c r="M219" s="43">
        <v>780</v>
      </c>
      <c r="N219" s="45" t="s">
        <v>106</v>
      </c>
      <c r="O219" s="55">
        <v>6</v>
      </c>
      <c r="P219" s="56"/>
      <c r="Q219" s="74"/>
      <c r="R219" s="70">
        <v>0</v>
      </c>
      <c r="S219" s="19"/>
      <c r="T219" s="60"/>
      <c r="U219" s="59" t="s">
        <v>108</v>
      </c>
    </row>
    <row r="220" spans="1:21" ht="15" customHeight="1" x14ac:dyDescent="0.25">
      <c r="A220" s="1">
        <f t="shared" ca="1" si="11"/>
        <v>7150</v>
      </c>
      <c r="B220" s="29">
        <v>825</v>
      </c>
      <c r="C220" s="29">
        <v>30071</v>
      </c>
      <c r="D220" s="29">
        <v>263</v>
      </c>
      <c r="E220" s="29">
        <v>29808</v>
      </c>
      <c r="F220" s="29">
        <v>2989</v>
      </c>
      <c r="G220" s="39"/>
      <c r="H220" s="40"/>
      <c r="I220" s="52"/>
      <c r="J220" s="53"/>
      <c r="K220" s="17"/>
      <c r="L220" s="39"/>
      <c r="M220" s="43">
        <v>775</v>
      </c>
      <c r="N220" s="45" t="s">
        <v>108</v>
      </c>
      <c r="O220" s="55">
        <v>6</v>
      </c>
      <c r="P220" s="56"/>
      <c r="Q220" s="74"/>
      <c r="R220" s="70">
        <v>19</v>
      </c>
      <c r="S220" s="19"/>
      <c r="T220" s="60"/>
      <c r="U220" s="59" t="s">
        <v>108</v>
      </c>
    </row>
    <row r="221" spans="1:21" ht="15" customHeight="1" x14ac:dyDescent="0.25">
      <c r="A221" s="1">
        <f t="shared" ca="1" si="11"/>
        <v>7151</v>
      </c>
      <c r="B221" s="29">
        <v>825</v>
      </c>
      <c r="C221" s="29">
        <v>30110</v>
      </c>
      <c r="D221" s="29">
        <v>263</v>
      </c>
      <c r="E221" s="29">
        <v>29847</v>
      </c>
      <c r="F221" s="29">
        <v>2993</v>
      </c>
      <c r="G221" s="39"/>
      <c r="H221" s="40"/>
      <c r="I221" s="52"/>
      <c r="J221" s="53"/>
      <c r="K221" s="17"/>
      <c r="L221" s="39"/>
      <c r="M221" s="43">
        <v>788</v>
      </c>
      <c r="N221" s="45" t="s">
        <v>108</v>
      </c>
      <c r="O221" s="55">
        <v>10</v>
      </c>
      <c r="P221" s="56"/>
      <c r="Q221" s="74"/>
      <c r="R221" s="70">
        <v>0</v>
      </c>
      <c r="S221" s="19"/>
      <c r="T221" s="60"/>
      <c r="U221" s="59" t="s">
        <v>108</v>
      </c>
    </row>
    <row r="222" spans="1:21" ht="15" customHeight="1" x14ac:dyDescent="0.25">
      <c r="A222" s="1">
        <f t="shared" ca="1" si="11"/>
        <v>7152</v>
      </c>
      <c r="B222" s="29">
        <v>830</v>
      </c>
      <c r="C222" s="29">
        <v>30126</v>
      </c>
      <c r="D222" s="29">
        <v>264</v>
      </c>
      <c r="E222" s="29">
        <v>29862</v>
      </c>
      <c r="F222" s="29">
        <v>2994</v>
      </c>
      <c r="G222" s="39"/>
      <c r="H222" s="40"/>
      <c r="I222" s="52"/>
      <c r="J222" s="53"/>
      <c r="K222" s="17"/>
      <c r="L222" s="39"/>
      <c r="M222" s="43">
        <v>801</v>
      </c>
      <c r="N222" s="45" t="s">
        <v>106</v>
      </c>
      <c r="O222" s="55">
        <v>10</v>
      </c>
      <c r="P222" s="56"/>
      <c r="Q222" s="74"/>
      <c r="R222" s="70">
        <v>0</v>
      </c>
      <c r="S222" s="19"/>
      <c r="T222" s="60"/>
      <c r="U222" s="59" t="s">
        <v>108</v>
      </c>
    </row>
    <row r="223" spans="1:21" x14ac:dyDescent="0.25">
      <c r="A223" s="1" t="str">
        <f t="shared" ca="1" si="11"/>
        <v>Totaal</v>
      </c>
      <c r="B223" s="61">
        <f>IF(COUNT(B192:B222)&gt;0,AVERAGE(B192:B222)/10,"")</f>
        <v>81.677419354838705</v>
      </c>
      <c r="C223" s="62">
        <f>IF(COUNT(C192:C222)&gt;0,AVERAGE(C192:C222)/1000,"")</f>
        <v>30.095580645161291</v>
      </c>
      <c r="D223" s="62">
        <f t="shared" ref="D223" si="12">IF(COUNT(D192:D222)&gt;0,AVERAGE(D192:D222)/1000,"")</f>
        <v>0.26080645161290322</v>
      </c>
      <c r="E223" s="62">
        <f t="shared" ref="E223" si="13">IF(COUNT(E192:E222)&gt;0,AVERAGE(E192:E222)/1000,"")</f>
        <v>29.834774193548387</v>
      </c>
      <c r="F223" s="62">
        <f>IF(COUNT(F192:F222)&gt;0,AVERAGE(F192:F222)/100,"")</f>
        <v>29.914193548387097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 t="str">
        <f>IF(COUNT(L192:L222)&gt;0,AVERAGE(L192:L222)/10,"")</f>
        <v/>
      </c>
      <c r="M223" s="44">
        <f>IF(COUNT(M192:M222)&gt;0,AVERAGE(M192:M222)/10,"")</f>
        <v>77.941935483870964</v>
      </c>
      <c r="N223" s="46"/>
      <c r="O223" s="57">
        <f>IF(COUNT(O192:O222)&gt;0,AVERAGE(O192:O222),"")</f>
        <v>8.4193548387096779</v>
      </c>
      <c r="P223" s="58" t="str">
        <f>IF(COUNT(P192:P222)&gt;0,AVERAGE(P192:P222),"")</f>
        <v/>
      </c>
      <c r="Q223" s="47"/>
      <c r="R223" s="68">
        <f>IF(COUNT(R192:R222)&gt;0,SUM(R192:R222)/100,"")</f>
        <v>0.36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7153</v>
      </c>
      <c r="B224" s="29">
        <v>830</v>
      </c>
      <c r="C224" s="29">
        <v>30137</v>
      </c>
      <c r="D224" s="29">
        <v>264</v>
      </c>
      <c r="E224" s="29">
        <v>29873</v>
      </c>
      <c r="F224" s="29">
        <v>2995</v>
      </c>
      <c r="G224" s="39"/>
      <c r="H224" s="40"/>
      <c r="I224" s="52"/>
      <c r="J224" s="53"/>
      <c r="K224" s="17"/>
      <c r="L224" s="39"/>
      <c r="M224" s="43">
        <v>781</v>
      </c>
      <c r="N224" s="45" t="s">
        <v>108</v>
      </c>
      <c r="O224" s="55">
        <v>8</v>
      </c>
      <c r="P224" s="56"/>
      <c r="Q224" s="74"/>
      <c r="R224" s="70">
        <v>6</v>
      </c>
      <c r="S224" s="19"/>
      <c r="T224" s="60"/>
      <c r="U224" s="59" t="s">
        <v>108</v>
      </c>
    </row>
    <row r="225" spans="1:21" ht="15" customHeight="1" x14ac:dyDescent="0.25">
      <c r="A225" s="1">
        <f t="shared" ca="1" si="11"/>
        <v>7154</v>
      </c>
      <c r="B225" s="29">
        <v>830</v>
      </c>
      <c r="C225" s="29">
        <v>30112</v>
      </c>
      <c r="D225" s="29">
        <v>264</v>
      </c>
      <c r="E225" s="29">
        <v>29848</v>
      </c>
      <c r="F225" s="29">
        <v>2993</v>
      </c>
      <c r="G225" s="39"/>
      <c r="H225" s="40"/>
      <c r="I225" s="52"/>
      <c r="J225" s="53"/>
      <c r="K225" s="17"/>
      <c r="L225" s="39"/>
      <c r="M225" s="43">
        <v>802</v>
      </c>
      <c r="N225" s="45" t="s">
        <v>110</v>
      </c>
      <c r="O225" s="55">
        <v>8</v>
      </c>
      <c r="P225" s="56"/>
      <c r="Q225" s="74"/>
      <c r="R225" s="70">
        <v>0</v>
      </c>
      <c r="S225" s="19"/>
      <c r="T225" s="60"/>
      <c r="U225" s="59" t="s">
        <v>108</v>
      </c>
    </row>
    <row r="226" spans="1:21" ht="15" customHeight="1" x14ac:dyDescent="0.25">
      <c r="A226" s="1">
        <f t="shared" ca="1" si="11"/>
        <v>7155</v>
      </c>
      <c r="B226" s="29">
        <v>830</v>
      </c>
      <c r="C226" s="29">
        <v>30085</v>
      </c>
      <c r="D226" s="29">
        <v>264</v>
      </c>
      <c r="E226" s="29">
        <v>29821</v>
      </c>
      <c r="F226" s="29">
        <v>2990</v>
      </c>
      <c r="G226" s="39"/>
      <c r="H226" s="40"/>
      <c r="I226" s="52"/>
      <c r="J226" s="53"/>
      <c r="K226" s="17"/>
      <c r="L226" s="39"/>
      <c r="M226" s="43">
        <v>794</v>
      </c>
      <c r="N226" s="45" t="s">
        <v>108</v>
      </c>
      <c r="O226" s="55">
        <v>6</v>
      </c>
      <c r="P226" s="56"/>
      <c r="Q226" s="74"/>
      <c r="R226" s="70">
        <v>0</v>
      </c>
      <c r="S226" s="19"/>
      <c r="T226" s="60"/>
      <c r="U226" s="59" t="s">
        <v>108</v>
      </c>
    </row>
    <row r="227" spans="1:21" ht="15" customHeight="1" x14ac:dyDescent="0.25">
      <c r="A227" s="1">
        <f t="shared" ca="1" si="11"/>
        <v>7156</v>
      </c>
      <c r="B227" s="29">
        <v>825</v>
      </c>
      <c r="C227" s="29">
        <v>30117</v>
      </c>
      <c r="D227" s="29">
        <v>263</v>
      </c>
      <c r="E227" s="29">
        <v>29854</v>
      </c>
      <c r="F227" s="29">
        <v>2993</v>
      </c>
      <c r="G227" s="39"/>
      <c r="H227" s="40"/>
      <c r="I227" s="52"/>
      <c r="J227" s="53"/>
      <c r="K227" s="17"/>
      <c r="L227" s="39"/>
      <c r="M227" s="43">
        <v>763</v>
      </c>
      <c r="N227" s="45" t="s">
        <v>108</v>
      </c>
      <c r="O227" s="55">
        <v>8</v>
      </c>
      <c r="P227" s="56"/>
      <c r="Q227" s="74"/>
      <c r="R227" s="70">
        <v>14</v>
      </c>
      <c r="S227" s="19"/>
      <c r="T227" s="60"/>
      <c r="U227" s="59" t="s">
        <v>108</v>
      </c>
    </row>
    <row r="228" spans="1:21" ht="15" customHeight="1" x14ac:dyDescent="0.25">
      <c r="A228" s="1">
        <f t="shared" ca="1" si="11"/>
        <v>7157</v>
      </c>
      <c r="B228" s="29">
        <v>825</v>
      </c>
      <c r="C228" s="29">
        <v>30080</v>
      </c>
      <c r="D228" s="29">
        <v>263</v>
      </c>
      <c r="E228" s="29">
        <v>29817</v>
      </c>
      <c r="F228" s="29">
        <v>2990</v>
      </c>
      <c r="G228" s="39"/>
      <c r="H228" s="40"/>
      <c r="I228" s="52"/>
      <c r="J228" s="53"/>
      <c r="K228" s="17"/>
      <c r="L228" s="39"/>
      <c r="M228" s="43">
        <v>790</v>
      </c>
      <c r="N228" s="45" t="s">
        <v>108</v>
      </c>
      <c r="O228" s="55">
        <v>10</v>
      </c>
      <c r="P228" s="56"/>
      <c r="Q228" s="74"/>
      <c r="R228" s="70">
        <v>0</v>
      </c>
      <c r="S228" s="19"/>
      <c r="T228" s="60"/>
      <c r="U228" s="59" t="s">
        <v>108</v>
      </c>
    </row>
    <row r="229" spans="1:21" ht="15" customHeight="1" x14ac:dyDescent="0.25">
      <c r="A229" s="1">
        <f t="shared" ca="1" si="11"/>
        <v>7158</v>
      </c>
      <c r="B229" s="29">
        <v>820</v>
      </c>
      <c r="C229" s="29">
        <v>30070</v>
      </c>
      <c r="D229" s="29">
        <v>262</v>
      </c>
      <c r="E229" s="29">
        <v>29808</v>
      </c>
      <c r="F229" s="29">
        <v>2989</v>
      </c>
      <c r="G229" s="39"/>
      <c r="H229" s="40"/>
      <c r="I229" s="52"/>
      <c r="J229" s="53"/>
      <c r="K229" s="17"/>
      <c r="L229" s="39"/>
      <c r="M229" s="43">
        <v>790</v>
      </c>
      <c r="N229" s="45" t="s">
        <v>108</v>
      </c>
      <c r="O229" s="55">
        <v>6</v>
      </c>
      <c r="P229" s="56"/>
      <c r="Q229" s="74"/>
      <c r="R229" s="70">
        <v>0</v>
      </c>
      <c r="S229" s="19"/>
      <c r="T229" s="60"/>
      <c r="U229" s="59" t="s">
        <v>108</v>
      </c>
    </row>
    <row r="230" spans="1:21" ht="15" customHeight="1" x14ac:dyDescent="0.25">
      <c r="A230" s="1">
        <f t="shared" ca="1" si="11"/>
        <v>7159</v>
      </c>
      <c r="B230" s="29">
        <v>825</v>
      </c>
      <c r="C230" s="29">
        <v>30045</v>
      </c>
      <c r="D230" s="29">
        <v>263</v>
      </c>
      <c r="E230" s="29">
        <v>29782</v>
      </c>
      <c r="F230" s="29">
        <v>2986</v>
      </c>
      <c r="G230" s="39"/>
      <c r="H230" s="40"/>
      <c r="I230" s="52"/>
      <c r="J230" s="53"/>
      <c r="K230" s="17"/>
      <c r="L230" s="39"/>
      <c r="M230" s="43">
        <v>792</v>
      </c>
      <c r="N230" s="45" t="s">
        <v>108</v>
      </c>
      <c r="O230" s="55">
        <v>5</v>
      </c>
      <c r="P230" s="56"/>
      <c r="Q230" s="74"/>
      <c r="R230" s="70">
        <v>0</v>
      </c>
      <c r="S230" s="19"/>
      <c r="T230" s="60"/>
      <c r="U230" s="59" t="s">
        <v>108</v>
      </c>
    </row>
    <row r="231" spans="1:21" ht="15" customHeight="1" x14ac:dyDescent="0.25">
      <c r="A231" s="1">
        <f t="shared" ca="1" si="11"/>
        <v>7160</v>
      </c>
      <c r="B231" s="29">
        <v>825</v>
      </c>
      <c r="C231" s="29">
        <v>30090</v>
      </c>
      <c r="D231" s="29">
        <v>263</v>
      </c>
      <c r="E231" s="29">
        <v>29827</v>
      </c>
      <c r="F231" s="29">
        <v>2991</v>
      </c>
      <c r="G231" s="39"/>
      <c r="H231" s="40"/>
      <c r="I231" s="52"/>
      <c r="J231" s="53"/>
      <c r="K231" s="17"/>
      <c r="L231" s="39"/>
      <c r="M231" s="43">
        <v>788</v>
      </c>
      <c r="N231" s="45" t="s">
        <v>108</v>
      </c>
      <c r="O231" s="55">
        <v>5</v>
      </c>
      <c r="P231" s="56"/>
      <c r="Q231" s="74"/>
      <c r="R231" s="70">
        <v>0</v>
      </c>
      <c r="S231" s="19"/>
      <c r="T231" s="60"/>
      <c r="U231" s="59" t="s">
        <v>108</v>
      </c>
    </row>
    <row r="232" spans="1:21" ht="15" customHeight="1" x14ac:dyDescent="0.25">
      <c r="A232" s="1">
        <f t="shared" ca="1" si="11"/>
        <v>7161</v>
      </c>
      <c r="B232" s="29">
        <v>830</v>
      </c>
      <c r="C232" s="29">
        <v>30076</v>
      </c>
      <c r="D232" s="29">
        <v>264</v>
      </c>
      <c r="E232" s="29">
        <v>29806</v>
      </c>
      <c r="F232" s="29">
        <v>2989</v>
      </c>
      <c r="G232" s="39"/>
      <c r="H232" s="40"/>
      <c r="I232" s="52"/>
      <c r="J232" s="53"/>
      <c r="K232" s="17"/>
      <c r="L232" s="39"/>
      <c r="M232" s="43">
        <v>763</v>
      </c>
      <c r="N232" s="45" t="s">
        <v>110</v>
      </c>
      <c r="O232" s="55">
        <v>15</v>
      </c>
      <c r="P232" s="56"/>
      <c r="Q232" s="74"/>
      <c r="R232" s="70"/>
      <c r="S232" s="19"/>
      <c r="T232" s="60"/>
      <c r="U232" s="59" t="s">
        <v>108</v>
      </c>
    </row>
    <row r="233" spans="1:21" ht="15" customHeight="1" x14ac:dyDescent="0.25">
      <c r="A233" s="1">
        <f t="shared" ca="1" si="11"/>
        <v>7162</v>
      </c>
      <c r="B233" s="29">
        <v>830</v>
      </c>
      <c r="C233" s="29">
        <v>30090</v>
      </c>
      <c r="D233" s="29">
        <v>264</v>
      </c>
      <c r="E233" s="29">
        <v>29826</v>
      </c>
      <c r="F233" s="29">
        <v>2991</v>
      </c>
      <c r="G233" s="39"/>
      <c r="H233" s="40"/>
      <c r="I233" s="52"/>
      <c r="J233" s="53"/>
      <c r="K233" s="17"/>
      <c r="L233" s="39"/>
      <c r="M233" s="43">
        <v>776</v>
      </c>
      <c r="N233" s="45" t="s">
        <v>108</v>
      </c>
      <c r="O233" s="55">
        <v>5</v>
      </c>
      <c r="P233" s="56"/>
      <c r="Q233" s="74"/>
      <c r="R233" s="70">
        <v>2</v>
      </c>
      <c r="S233" s="19"/>
      <c r="T233" s="60"/>
      <c r="U233" s="59" t="s">
        <v>108</v>
      </c>
    </row>
    <row r="234" spans="1:21" ht="15" customHeight="1" x14ac:dyDescent="0.25">
      <c r="A234" s="1">
        <f t="shared" ca="1" si="11"/>
        <v>7163</v>
      </c>
      <c r="B234" s="29">
        <v>830</v>
      </c>
      <c r="C234" s="29">
        <v>30096</v>
      </c>
      <c r="D234" s="29">
        <v>264</v>
      </c>
      <c r="E234" s="29">
        <v>29832</v>
      </c>
      <c r="F234" s="29">
        <v>2991</v>
      </c>
      <c r="G234" s="39"/>
      <c r="H234" s="40"/>
      <c r="I234" s="52"/>
      <c r="J234" s="53"/>
      <c r="K234" s="17"/>
      <c r="L234" s="39"/>
      <c r="M234" s="43">
        <v>782</v>
      </c>
      <c r="N234" s="45" t="s">
        <v>108</v>
      </c>
      <c r="O234" s="55">
        <v>8</v>
      </c>
      <c r="P234" s="56"/>
      <c r="Q234" s="74"/>
      <c r="R234" s="70">
        <v>0</v>
      </c>
      <c r="S234" s="19"/>
      <c r="T234" s="60"/>
      <c r="U234" s="59" t="s">
        <v>108</v>
      </c>
    </row>
    <row r="235" spans="1:21" ht="15" customHeight="1" x14ac:dyDescent="0.25">
      <c r="A235" s="1">
        <f t="shared" ca="1" si="11"/>
        <v>7164</v>
      </c>
      <c r="B235" s="29">
        <v>830</v>
      </c>
      <c r="C235" s="29">
        <v>30090</v>
      </c>
      <c r="D235" s="29">
        <v>264</v>
      </c>
      <c r="E235" s="29">
        <v>29826</v>
      </c>
      <c r="F235" s="29">
        <v>2991</v>
      </c>
      <c r="G235" s="39"/>
      <c r="H235" s="40"/>
      <c r="I235" s="52"/>
      <c r="J235" s="53"/>
      <c r="K235" s="17"/>
      <c r="L235" s="39"/>
      <c r="M235" s="43">
        <v>782</v>
      </c>
      <c r="N235" s="45" t="s">
        <v>108</v>
      </c>
      <c r="O235" s="55">
        <v>10</v>
      </c>
      <c r="P235" s="56"/>
      <c r="Q235" s="74"/>
      <c r="R235" s="70">
        <v>3</v>
      </c>
      <c r="S235" s="19"/>
      <c r="T235" s="60"/>
      <c r="U235" s="59" t="s">
        <v>108</v>
      </c>
    </row>
    <row r="236" spans="1:21" ht="15" customHeight="1" x14ac:dyDescent="0.25">
      <c r="A236" s="1">
        <f t="shared" ca="1" si="11"/>
        <v>7165</v>
      </c>
      <c r="B236" s="29">
        <v>830</v>
      </c>
      <c r="C236" s="29">
        <v>30036</v>
      </c>
      <c r="D236" s="29">
        <v>264</v>
      </c>
      <c r="E236" s="29">
        <v>29772</v>
      </c>
      <c r="F236" s="29">
        <v>2985</v>
      </c>
      <c r="G236" s="39"/>
      <c r="H236" s="40"/>
      <c r="I236" s="52"/>
      <c r="J236" s="53"/>
      <c r="K236" s="17"/>
      <c r="L236" s="39"/>
      <c r="M236" s="43">
        <v>782</v>
      </c>
      <c r="N236" s="45" t="s">
        <v>108</v>
      </c>
      <c r="O236" s="55">
        <v>10</v>
      </c>
      <c r="P236" s="56"/>
      <c r="Q236" s="74"/>
      <c r="R236" s="70">
        <v>0</v>
      </c>
      <c r="S236" s="19"/>
      <c r="T236" s="60"/>
      <c r="U236" s="59" t="s">
        <v>108</v>
      </c>
    </row>
    <row r="237" spans="1:21" ht="15" customHeight="1" x14ac:dyDescent="0.25">
      <c r="A237" s="1">
        <f t="shared" ca="1" si="11"/>
        <v>7166</v>
      </c>
      <c r="B237" s="29">
        <v>825</v>
      </c>
      <c r="C237" s="29">
        <v>30095</v>
      </c>
      <c r="D237" s="29">
        <v>263</v>
      </c>
      <c r="E237" s="29">
        <v>29832</v>
      </c>
      <c r="F237" s="29">
        <v>2991</v>
      </c>
      <c r="G237" s="39"/>
      <c r="H237" s="40"/>
      <c r="I237" s="52"/>
      <c r="J237" s="53"/>
      <c r="K237" s="17"/>
      <c r="L237" s="39"/>
      <c r="M237" s="43">
        <v>764</v>
      </c>
      <c r="N237" s="45" t="s">
        <v>108</v>
      </c>
      <c r="O237" s="55">
        <v>12</v>
      </c>
      <c r="P237" s="56"/>
      <c r="Q237" s="74"/>
      <c r="R237" s="70">
        <v>2</v>
      </c>
      <c r="S237" s="19"/>
      <c r="T237" s="60"/>
      <c r="U237" s="59" t="s">
        <v>108</v>
      </c>
    </row>
    <row r="238" spans="1:21" ht="15" customHeight="1" x14ac:dyDescent="0.25">
      <c r="A238" s="1">
        <f t="shared" ca="1" si="11"/>
        <v>7167</v>
      </c>
      <c r="B238" s="29">
        <v>830</v>
      </c>
      <c r="C238" s="29">
        <v>30164</v>
      </c>
      <c r="D238" s="29">
        <v>264</v>
      </c>
      <c r="E238" s="29">
        <v>29900</v>
      </c>
      <c r="F238" s="29">
        <v>2998</v>
      </c>
      <c r="G238" s="39"/>
      <c r="H238" s="40"/>
      <c r="I238" s="52"/>
      <c r="J238" s="53"/>
      <c r="K238" s="17"/>
      <c r="L238" s="39"/>
      <c r="M238" s="43">
        <v>794</v>
      </c>
      <c r="N238" s="45" t="s">
        <v>108</v>
      </c>
      <c r="O238" s="55">
        <v>8</v>
      </c>
      <c r="P238" s="56"/>
      <c r="Q238" s="74"/>
      <c r="R238" s="70">
        <v>0</v>
      </c>
      <c r="S238" s="19"/>
      <c r="T238" s="60"/>
      <c r="U238" s="59" t="s">
        <v>108</v>
      </c>
    </row>
    <row r="239" spans="1:21" ht="15" customHeight="1" x14ac:dyDescent="0.25">
      <c r="A239" s="1">
        <f t="shared" ca="1" si="11"/>
        <v>7168</v>
      </c>
      <c r="B239" s="29">
        <v>830</v>
      </c>
      <c r="C239" s="29">
        <v>30120</v>
      </c>
      <c r="D239" s="29">
        <v>264</v>
      </c>
      <c r="E239" s="29">
        <v>29856</v>
      </c>
      <c r="F239" s="29">
        <v>2994</v>
      </c>
      <c r="G239" s="39"/>
      <c r="H239" s="40"/>
      <c r="I239" s="52"/>
      <c r="J239" s="53"/>
      <c r="K239" s="17"/>
      <c r="L239" s="39"/>
      <c r="M239" s="43">
        <v>803</v>
      </c>
      <c r="N239" s="45" t="s">
        <v>108</v>
      </c>
      <c r="O239" s="55">
        <v>8</v>
      </c>
      <c r="P239" s="56"/>
      <c r="Q239" s="74"/>
      <c r="R239" s="70">
        <v>3</v>
      </c>
      <c r="S239" s="19"/>
      <c r="T239" s="60"/>
      <c r="U239" s="59" t="s">
        <v>108</v>
      </c>
    </row>
    <row r="240" spans="1:21" ht="15" customHeight="1" x14ac:dyDescent="0.25">
      <c r="A240" s="1">
        <f t="shared" ca="1" si="11"/>
        <v>7169</v>
      </c>
      <c r="B240" s="29">
        <v>820</v>
      </c>
      <c r="C240" s="29">
        <v>30126</v>
      </c>
      <c r="D240" s="29">
        <v>262</v>
      </c>
      <c r="E240" s="29">
        <v>29864</v>
      </c>
      <c r="F240" s="29">
        <v>2994</v>
      </c>
      <c r="G240" s="39"/>
      <c r="H240" s="40"/>
      <c r="I240" s="52"/>
      <c r="J240" s="53"/>
      <c r="K240" s="17"/>
      <c r="L240" s="39"/>
      <c r="M240" s="43">
        <v>733</v>
      </c>
      <c r="N240" s="45" t="s">
        <v>108</v>
      </c>
      <c r="O240" s="55">
        <v>6</v>
      </c>
      <c r="P240" s="56"/>
      <c r="Q240" s="74"/>
      <c r="R240" s="70">
        <v>38</v>
      </c>
      <c r="S240" s="19"/>
      <c r="T240" s="60"/>
      <c r="U240" s="59" t="s">
        <v>108</v>
      </c>
    </row>
    <row r="241" spans="1:21" ht="15" customHeight="1" x14ac:dyDescent="0.25">
      <c r="A241" s="1">
        <f t="shared" ca="1" si="11"/>
        <v>7170</v>
      </c>
      <c r="B241" s="29">
        <v>820</v>
      </c>
      <c r="C241" s="29">
        <v>30158</v>
      </c>
      <c r="D241" s="29">
        <v>262</v>
      </c>
      <c r="E241" s="29">
        <v>29896</v>
      </c>
      <c r="F241" s="29">
        <v>2998</v>
      </c>
      <c r="G241" s="39"/>
      <c r="H241" s="40"/>
      <c r="I241" s="52"/>
      <c r="J241" s="53"/>
      <c r="K241" s="17"/>
      <c r="L241" s="39"/>
      <c r="M241" s="43">
        <v>756</v>
      </c>
      <c r="N241" s="45" t="s">
        <v>108</v>
      </c>
      <c r="O241" s="55">
        <v>8</v>
      </c>
      <c r="P241" s="56"/>
      <c r="Q241" s="74"/>
      <c r="R241" s="70">
        <v>2</v>
      </c>
      <c r="S241" s="19"/>
      <c r="T241" s="60"/>
      <c r="U241" s="59" t="s">
        <v>108</v>
      </c>
    </row>
    <row r="242" spans="1:21" ht="15" customHeight="1" x14ac:dyDescent="0.25">
      <c r="A242" s="1">
        <f t="shared" ca="1" si="11"/>
        <v>7171</v>
      </c>
      <c r="B242" s="29">
        <v>830</v>
      </c>
      <c r="C242" s="29">
        <v>30166</v>
      </c>
      <c r="D242" s="29">
        <v>264</v>
      </c>
      <c r="E242" s="29">
        <v>29902</v>
      </c>
      <c r="F242" s="29">
        <v>2998</v>
      </c>
      <c r="G242" s="39"/>
      <c r="H242" s="40"/>
      <c r="I242" s="52"/>
      <c r="J242" s="53"/>
      <c r="K242" s="17"/>
      <c r="L242" s="39"/>
      <c r="M242" s="43">
        <v>786</v>
      </c>
      <c r="N242" s="45" t="s">
        <v>108</v>
      </c>
      <c r="O242" s="55">
        <v>10</v>
      </c>
      <c r="P242" s="56"/>
      <c r="Q242" s="74"/>
      <c r="R242" s="70">
        <v>0</v>
      </c>
      <c r="S242" s="19"/>
      <c r="T242" s="60"/>
      <c r="U242" s="59" t="s">
        <v>108</v>
      </c>
    </row>
    <row r="243" spans="1:21" ht="15" customHeight="1" x14ac:dyDescent="0.25">
      <c r="A243" s="1">
        <f t="shared" ca="1" si="11"/>
        <v>7172</v>
      </c>
      <c r="B243" s="29">
        <v>830</v>
      </c>
      <c r="C243" s="29">
        <v>30166</v>
      </c>
      <c r="D243" s="29">
        <v>264</v>
      </c>
      <c r="E243" s="29">
        <v>29902</v>
      </c>
      <c r="F243" s="29">
        <v>2998</v>
      </c>
      <c r="G243" s="39"/>
      <c r="H243" s="40"/>
      <c r="I243" s="52"/>
      <c r="J243" s="53"/>
      <c r="K243" s="17"/>
      <c r="L243" s="39"/>
      <c r="M243" s="43">
        <v>788</v>
      </c>
      <c r="N243" s="45" t="s">
        <v>108</v>
      </c>
      <c r="O243" s="55">
        <v>6</v>
      </c>
      <c r="P243" s="56"/>
      <c r="Q243" s="74"/>
      <c r="R243" s="70">
        <v>0</v>
      </c>
      <c r="S243" s="19"/>
      <c r="T243" s="60"/>
      <c r="U243" s="59" t="s">
        <v>108</v>
      </c>
    </row>
    <row r="244" spans="1:21" ht="15" customHeight="1" x14ac:dyDescent="0.25">
      <c r="A244" s="1">
        <f t="shared" ca="1" si="11"/>
        <v>7173</v>
      </c>
      <c r="B244" s="29">
        <v>830</v>
      </c>
      <c r="C244" s="29">
        <v>30116</v>
      </c>
      <c r="D244" s="29">
        <v>264</v>
      </c>
      <c r="E244" s="29">
        <v>29852</v>
      </c>
      <c r="F244" s="29">
        <v>2993</v>
      </c>
      <c r="G244" s="39"/>
      <c r="H244" s="40"/>
      <c r="I244" s="52"/>
      <c r="J244" s="53"/>
      <c r="K244" s="17"/>
      <c r="L244" s="39"/>
      <c r="M244" s="43">
        <v>781</v>
      </c>
      <c r="N244" s="45" t="s">
        <v>108</v>
      </c>
      <c r="O244" s="55">
        <v>6</v>
      </c>
      <c r="P244" s="56"/>
      <c r="Q244" s="74"/>
      <c r="R244" s="70">
        <v>3</v>
      </c>
      <c r="S244" s="19"/>
      <c r="T244" s="60"/>
      <c r="U244" s="59" t="s">
        <v>108</v>
      </c>
    </row>
    <row r="245" spans="1:21" ht="15" customHeight="1" x14ac:dyDescent="0.25">
      <c r="A245" s="1">
        <f t="shared" ca="1" si="11"/>
        <v>7174</v>
      </c>
      <c r="B245" s="29">
        <v>825</v>
      </c>
      <c r="C245" s="29">
        <v>30110</v>
      </c>
      <c r="D245" s="29">
        <v>263</v>
      </c>
      <c r="E245" s="29">
        <v>29847</v>
      </c>
      <c r="F245" s="29">
        <v>2993</v>
      </c>
      <c r="G245" s="39"/>
      <c r="H245" s="40"/>
      <c r="I245" s="52"/>
      <c r="J245" s="53"/>
      <c r="K245" s="17"/>
      <c r="L245" s="39"/>
      <c r="M245" s="43">
        <v>768</v>
      </c>
      <c r="N245" s="45" t="s">
        <v>108</v>
      </c>
      <c r="O245" s="55">
        <v>3</v>
      </c>
      <c r="P245" s="56"/>
      <c r="Q245" s="74"/>
      <c r="R245" s="70">
        <v>2</v>
      </c>
      <c r="S245" s="19"/>
      <c r="T245" s="60"/>
      <c r="U245" s="59" t="s">
        <v>108</v>
      </c>
    </row>
    <row r="246" spans="1:21" ht="15" customHeight="1" x14ac:dyDescent="0.25">
      <c r="A246" s="1">
        <f t="shared" ca="1" si="11"/>
        <v>7175</v>
      </c>
      <c r="B246" s="29">
        <v>830</v>
      </c>
      <c r="C246" s="29">
        <v>30100</v>
      </c>
      <c r="D246" s="29">
        <v>263</v>
      </c>
      <c r="E246" s="29">
        <v>29837</v>
      </c>
      <c r="F246" s="29">
        <v>2992</v>
      </c>
      <c r="G246" s="39"/>
      <c r="H246" s="40"/>
      <c r="I246" s="52"/>
      <c r="J246" s="53"/>
      <c r="K246" s="17"/>
      <c r="L246" s="39"/>
      <c r="M246" s="43">
        <v>776</v>
      </c>
      <c r="N246" s="45" t="s">
        <v>106</v>
      </c>
      <c r="O246" s="55">
        <v>6</v>
      </c>
      <c r="P246" s="56"/>
      <c r="Q246" s="74"/>
      <c r="R246" s="70">
        <v>0</v>
      </c>
      <c r="S246" s="19"/>
      <c r="T246" s="60"/>
      <c r="U246" s="59" t="s">
        <v>106</v>
      </c>
    </row>
    <row r="247" spans="1:21" ht="15" customHeight="1" x14ac:dyDescent="0.25">
      <c r="A247" s="1">
        <f t="shared" ca="1" si="11"/>
        <v>7176</v>
      </c>
      <c r="B247" s="29">
        <v>825</v>
      </c>
      <c r="C247" s="29">
        <v>30090</v>
      </c>
      <c r="D247" s="29">
        <v>263</v>
      </c>
      <c r="E247" s="29">
        <v>29827</v>
      </c>
      <c r="F247" s="29">
        <v>2991</v>
      </c>
      <c r="G247" s="39"/>
      <c r="H247" s="40"/>
      <c r="I247" s="52"/>
      <c r="J247" s="53"/>
      <c r="K247" s="17"/>
      <c r="L247" s="39"/>
      <c r="M247" s="43">
        <v>769</v>
      </c>
      <c r="N247" s="45" t="s">
        <v>108</v>
      </c>
      <c r="O247" s="55">
        <v>8</v>
      </c>
      <c r="P247" s="56"/>
      <c r="Q247" s="74"/>
      <c r="R247" s="70">
        <v>9</v>
      </c>
      <c r="S247" s="19"/>
      <c r="T247" s="60"/>
      <c r="U247" s="59" t="s">
        <v>108</v>
      </c>
    </row>
    <row r="248" spans="1:21" ht="15" customHeight="1" x14ac:dyDescent="0.25">
      <c r="A248" s="1">
        <f t="shared" ca="1" si="11"/>
        <v>7177</v>
      </c>
      <c r="B248" s="29">
        <v>820</v>
      </c>
      <c r="C248" s="29">
        <v>30100</v>
      </c>
      <c r="D248" s="29">
        <v>262</v>
      </c>
      <c r="E248" s="29">
        <v>29838</v>
      </c>
      <c r="F248" s="29">
        <v>2992</v>
      </c>
      <c r="G248" s="39"/>
      <c r="H248" s="40"/>
      <c r="I248" s="52"/>
      <c r="J248" s="53"/>
      <c r="K248" s="17"/>
      <c r="L248" s="39"/>
      <c r="M248" s="43">
        <v>782</v>
      </c>
      <c r="N248" s="45" t="s">
        <v>108</v>
      </c>
      <c r="O248" s="55">
        <v>8</v>
      </c>
      <c r="P248" s="56"/>
      <c r="Q248" s="74"/>
      <c r="R248" s="70">
        <v>4</v>
      </c>
      <c r="S248" s="19"/>
      <c r="T248" s="60"/>
      <c r="U248" s="59" t="s">
        <v>108</v>
      </c>
    </row>
    <row r="249" spans="1:21" ht="15" customHeight="1" x14ac:dyDescent="0.25">
      <c r="A249" s="1">
        <f t="shared" ca="1" si="11"/>
        <v>7178</v>
      </c>
      <c r="B249" s="29">
        <v>825</v>
      </c>
      <c r="C249" s="29">
        <v>30069</v>
      </c>
      <c r="D249" s="29">
        <v>263</v>
      </c>
      <c r="E249" s="29">
        <v>29806</v>
      </c>
      <c r="F249" s="29">
        <v>2989</v>
      </c>
      <c r="G249" s="39"/>
      <c r="H249" s="40"/>
      <c r="I249" s="52"/>
      <c r="J249" s="53"/>
      <c r="K249" s="17"/>
      <c r="L249" s="39"/>
      <c r="M249" s="43">
        <v>766</v>
      </c>
      <c r="N249" s="45" t="s">
        <v>108</v>
      </c>
      <c r="O249" s="55">
        <v>3</v>
      </c>
      <c r="P249" s="56"/>
      <c r="Q249" s="74"/>
      <c r="R249" s="70">
        <v>0</v>
      </c>
      <c r="S249" s="19"/>
      <c r="T249" s="60"/>
      <c r="U249" s="59" t="s">
        <v>108</v>
      </c>
    </row>
    <row r="250" spans="1:21" ht="15" customHeight="1" x14ac:dyDescent="0.25">
      <c r="A250" s="1">
        <f t="shared" ca="1" si="11"/>
        <v>7179</v>
      </c>
      <c r="B250" s="29">
        <v>825</v>
      </c>
      <c r="C250" s="29">
        <v>30025</v>
      </c>
      <c r="D250" s="29">
        <v>263</v>
      </c>
      <c r="E250" s="29">
        <v>29762</v>
      </c>
      <c r="F250" s="29">
        <v>2984</v>
      </c>
      <c r="G250" s="39"/>
      <c r="H250" s="40"/>
      <c r="I250" s="52"/>
      <c r="J250" s="53"/>
      <c r="K250" s="17"/>
      <c r="L250" s="39"/>
      <c r="M250" s="43">
        <v>786</v>
      </c>
      <c r="N250" s="45" t="s">
        <v>108</v>
      </c>
      <c r="O250" s="55">
        <v>4</v>
      </c>
      <c r="P250" s="56"/>
      <c r="Q250" s="74"/>
      <c r="R250" s="70">
        <v>0</v>
      </c>
      <c r="S250" s="19"/>
      <c r="T250" s="60"/>
      <c r="U250" s="59" t="s">
        <v>108</v>
      </c>
    </row>
    <row r="251" spans="1:21" ht="15" customHeight="1" x14ac:dyDescent="0.25">
      <c r="A251" s="1">
        <f t="shared" ca="1" si="11"/>
        <v>7180</v>
      </c>
      <c r="B251" s="29">
        <v>830</v>
      </c>
      <c r="C251" s="29">
        <v>30046</v>
      </c>
      <c r="D251" s="29">
        <v>264</v>
      </c>
      <c r="E251" s="29">
        <v>29782</v>
      </c>
      <c r="F251" s="29">
        <v>2986</v>
      </c>
      <c r="G251" s="39"/>
      <c r="H251" s="40"/>
      <c r="I251" s="52"/>
      <c r="J251" s="53"/>
      <c r="K251" s="17"/>
      <c r="L251" s="39"/>
      <c r="M251" s="43">
        <v>788</v>
      </c>
      <c r="N251" s="45" t="s">
        <v>108</v>
      </c>
      <c r="O251" s="55">
        <v>5</v>
      </c>
      <c r="P251" s="56"/>
      <c r="Q251" s="74"/>
      <c r="R251" s="70">
        <v>0</v>
      </c>
      <c r="S251" s="19"/>
      <c r="T251" s="60"/>
      <c r="U251" s="59" t="s">
        <v>108</v>
      </c>
    </row>
    <row r="252" spans="1:21" ht="15" customHeight="1" x14ac:dyDescent="0.25">
      <c r="A252" s="1">
        <f t="shared" ca="1" si="11"/>
        <v>7181</v>
      </c>
      <c r="B252" s="29">
        <v>830</v>
      </c>
      <c r="C252" s="29">
        <v>30070</v>
      </c>
      <c r="D252" s="29">
        <v>267</v>
      </c>
      <c r="E252" s="29">
        <v>29806</v>
      </c>
      <c r="F252" s="29">
        <v>2989</v>
      </c>
      <c r="G252" s="39"/>
      <c r="H252" s="40"/>
      <c r="I252" s="52"/>
      <c r="J252" s="53"/>
      <c r="K252" s="17"/>
      <c r="L252" s="39"/>
      <c r="M252" s="43">
        <v>771</v>
      </c>
      <c r="N252" s="45" t="s">
        <v>108</v>
      </c>
      <c r="O252" s="55">
        <v>9</v>
      </c>
      <c r="P252" s="56"/>
      <c r="Q252" s="74"/>
      <c r="R252" s="70">
        <v>0</v>
      </c>
      <c r="S252" s="19"/>
      <c r="T252" s="60"/>
      <c r="U252" s="59" t="s">
        <v>108</v>
      </c>
    </row>
    <row r="253" spans="1:21" ht="15" customHeight="1" x14ac:dyDescent="0.25">
      <c r="A253" s="1">
        <f t="shared" ca="1" si="11"/>
        <v>7182</v>
      </c>
      <c r="B253" s="29">
        <v>825</v>
      </c>
      <c r="C253" s="29">
        <v>30064</v>
      </c>
      <c r="D253" s="29">
        <v>263</v>
      </c>
      <c r="E253" s="29">
        <v>29801</v>
      </c>
      <c r="F253" s="29">
        <v>2988</v>
      </c>
      <c r="G253" s="39"/>
      <c r="H253" s="40"/>
      <c r="I253" s="52"/>
      <c r="J253" s="53"/>
      <c r="K253" s="17"/>
      <c r="L253" s="39"/>
      <c r="M253" s="43">
        <v>791</v>
      </c>
      <c r="N253" s="45" t="s">
        <v>108</v>
      </c>
      <c r="O253" s="55">
        <v>5</v>
      </c>
      <c r="P253" s="56"/>
      <c r="Q253" s="74"/>
      <c r="R253" s="70">
        <v>0</v>
      </c>
      <c r="S253" s="19"/>
      <c r="T253" s="60"/>
      <c r="U253" s="59" t="s">
        <v>108</v>
      </c>
    </row>
    <row r="254" spans="1:21" ht="15" customHeight="1" x14ac:dyDescent="0.25">
      <c r="A254" s="1">
        <f t="shared" ca="1" si="11"/>
        <v>7183</v>
      </c>
      <c r="B254" s="29">
        <v>815</v>
      </c>
      <c r="C254" s="29">
        <v>30008</v>
      </c>
      <c r="D254" s="29">
        <v>260</v>
      </c>
      <c r="E254" s="29">
        <v>29748</v>
      </c>
      <c r="F254" s="29">
        <v>2983</v>
      </c>
      <c r="G254" s="39"/>
      <c r="H254" s="40"/>
      <c r="I254" s="52"/>
      <c r="J254" s="53"/>
      <c r="K254" s="17"/>
      <c r="L254" s="39"/>
      <c r="M254" s="43">
        <v>753</v>
      </c>
      <c r="N254" s="45" t="s">
        <v>108</v>
      </c>
      <c r="O254" s="55">
        <v>5</v>
      </c>
      <c r="P254" s="56"/>
      <c r="Q254" s="74"/>
      <c r="R254" s="70">
        <v>16</v>
      </c>
      <c r="S254" s="19"/>
      <c r="T254" s="60"/>
      <c r="U254" s="59" t="s">
        <v>108</v>
      </c>
    </row>
    <row r="255" spans="1:21" x14ac:dyDescent="0.25">
      <c r="A255" s="1" t="str">
        <f t="shared" ca="1" si="11"/>
        <v>Totaal</v>
      </c>
      <c r="B255" s="61">
        <f>IF(COUNT(B224:B254)&gt;0,AVERAGE(B224:B254)/10,"")</f>
        <v>82.661290322580641</v>
      </c>
      <c r="C255" s="62">
        <f>IF(COUNT(C224:C254)&gt;0,AVERAGE(C224:C254)/1000,"")</f>
        <v>30.094096774193549</v>
      </c>
      <c r="D255" s="62">
        <f t="shared" ref="D255" si="15">IF(COUNT(D224:D254)&gt;0,AVERAGE(D224:D254)/1000,"")</f>
        <v>0.26335483870967746</v>
      </c>
      <c r="E255" s="62">
        <f t="shared" ref="E255" si="16">IF(COUNT(E224:E254)&gt;0,AVERAGE(E224:E254)/1000,"")</f>
        <v>29.83064516129032</v>
      </c>
      <c r="F255" s="62">
        <f>IF(COUNT(F224:F254)&gt;0,AVERAGE(F224:F254)/100,"")</f>
        <v>29.911290322580644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>
        <f>IF(COUNT(M224:M254)&gt;0,AVERAGE(M224:M254)/10,"")</f>
        <v>77.870967741935488</v>
      </c>
      <c r="N255" s="46"/>
      <c r="O255" s="57">
        <f>IF(COUNT(O224:O254)&gt;0,AVERAGE(O224:O254),"")</f>
        <v>7.225806451612903</v>
      </c>
      <c r="P255" s="58" t="str">
        <f>IF(COUNT(P224:P254)&gt;0,AVERAGE(P224:P254),"")</f>
        <v/>
      </c>
      <c r="Q255" s="47"/>
      <c r="R255" s="68">
        <f>IF(COUNT(R224:R254)&gt;0,SUM(R224:R254)/100,"")</f>
        <v>1.04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7184</v>
      </c>
      <c r="B256" s="29">
        <v>825</v>
      </c>
      <c r="C256" s="29">
        <v>30014</v>
      </c>
      <c r="D256" s="29">
        <v>262</v>
      </c>
      <c r="E256" s="29">
        <v>29751</v>
      </c>
      <c r="F256" s="29">
        <v>2983</v>
      </c>
      <c r="G256" s="39"/>
      <c r="H256" s="40"/>
      <c r="I256" s="52"/>
      <c r="J256" s="53"/>
      <c r="K256" s="17"/>
      <c r="L256" s="39"/>
      <c r="M256" s="43">
        <v>756</v>
      </c>
      <c r="N256" s="45" t="s">
        <v>108</v>
      </c>
      <c r="O256" s="55">
        <v>8</v>
      </c>
      <c r="P256" s="56"/>
      <c r="Q256" s="74"/>
      <c r="R256" s="70">
        <v>0</v>
      </c>
      <c r="S256" s="19"/>
      <c r="T256" s="60"/>
      <c r="U256" s="59" t="s">
        <v>108</v>
      </c>
    </row>
    <row r="257" spans="1:21" ht="15" customHeight="1" x14ac:dyDescent="0.25">
      <c r="A257" s="1">
        <f t="shared" ca="1" si="11"/>
        <v>7185</v>
      </c>
      <c r="B257" s="29">
        <v>830</v>
      </c>
      <c r="C257" s="29">
        <v>30036</v>
      </c>
      <c r="D257" s="29">
        <v>264</v>
      </c>
      <c r="E257" s="29">
        <v>29772</v>
      </c>
      <c r="F257" s="29">
        <v>2985</v>
      </c>
      <c r="G257" s="39"/>
      <c r="H257" s="40"/>
      <c r="I257" s="52"/>
      <c r="J257" s="53"/>
      <c r="K257" s="17"/>
      <c r="L257" s="39"/>
      <c r="M257" s="43">
        <v>769</v>
      </c>
      <c r="N257" s="45" t="s">
        <v>108</v>
      </c>
      <c r="O257" s="55">
        <v>6</v>
      </c>
      <c r="P257" s="56"/>
      <c r="Q257" s="74"/>
      <c r="R257" s="70">
        <v>0</v>
      </c>
      <c r="S257" s="19"/>
      <c r="T257" s="60"/>
      <c r="U257" s="59" t="s">
        <v>108</v>
      </c>
    </row>
    <row r="258" spans="1:21" ht="15" customHeight="1" x14ac:dyDescent="0.25">
      <c r="A258" s="1">
        <f t="shared" ca="1" si="11"/>
        <v>7186</v>
      </c>
      <c r="B258" s="29">
        <v>825</v>
      </c>
      <c r="C258" s="29">
        <v>29959</v>
      </c>
      <c r="D258" s="29">
        <v>263</v>
      </c>
      <c r="E258" s="29">
        <v>29726</v>
      </c>
      <c r="F258" s="29">
        <v>2981</v>
      </c>
      <c r="G258" s="39"/>
      <c r="H258" s="40"/>
      <c r="I258" s="52"/>
      <c r="J258" s="53"/>
      <c r="K258" s="17"/>
      <c r="L258" s="39"/>
      <c r="M258" s="43">
        <v>788</v>
      </c>
      <c r="N258" s="45" t="s">
        <v>108</v>
      </c>
      <c r="O258" s="55">
        <v>4</v>
      </c>
      <c r="P258" s="56"/>
      <c r="Q258" s="74"/>
      <c r="R258" s="70">
        <v>0</v>
      </c>
      <c r="S258" s="19"/>
      <c r="T258" s="60"/>
      <c r="U258" s="59" t="s">
        <v>108</v>
      </c>
    </row>
    <row r="259" spans="1:21" ht="15" customHeight="1" x14ac:dyDescent="0.25">
      <c r="A259" s="1">
        <f t="shared" ca="1" si="11"/>
        <v>7187</v>
      </c>
      <c r="B259" s="29">
        <v>830</v>
      </c>
      <c r="C259" s="29">
        <v>29965</v>
      </c>
      <c r="D259" s="29">
        <v>263</v>
      </c>
      <c r="E259" s="29">
        <v>29702</v>
      </c>
      <c r="F259" s="29">
        <v>2978</v>
      </c>
      <c r="G259" s="39"/>
      <c r="H259" s="40"/>
      <c r="I259" s="52"/>
      <c r="J259" s="53"/>
      <c r="K259" s="17"/>
      <c r="L259" s="39"/>
      <c r="M259" s="43">
        <v>783</v>
      </c>
      <c r="N259" s="45" t="s">
        <v>108</v>
      </c>
      <c r="O259" s="55">
        <v>9</v>
      </c>
      <c r="P259" s="56"/>
      <c r="Q259" s="74"/>
      <c r="R259" s="70">
        <v>9</v>
      </c>
      <c r="S259" s="19"/>
      <c r="T259" s="60"/>
      <c r="U259" s="59" t="s">
        <v>108</v>
      </c>
    </row>
    <row r="260" spans="1:21" ht="15" customHeight="1" x14ac:dyDescent="0.25">
      <c r="A260" s="1">
        <f t="shared" ca="1" si="11"/>
        <v>7188</v>
      </c>
      <c r="B260" s="29">
        <v>830</v>
      </c>
      <c r="C260" s="29">
        <v>30016</v>
      </c>
      <c r="D260" s="29">
        <v>267</v>
      </c>
      <c r="E260" s="29">
        <v>29752</v>
      </c>
      <c r="F260" s="29">
        <v>2983</v>
      </c>
      <c r="G260" s="39"/>
      <c r="H260" s="40"/>
      <c r="I260" s="52"/>
      <c r="J260" s="53"/>
      <c r="K260" s="17"/>
      <c r="L260" s="39"/>
      <c r="M260" s="43">
        <v>787</v>
      </c>
      <c r="N260" s="45" t="s">
        <v>110</v>
      </c>
      <c r="O260" s="55">
        <v>8</v>
      </c>
      <c r="P260" s="56"/>
      <c r="Q260" s="74"/>
      <c r="R260" s="70">
        <v>0</v>
      </c>
      <c r="S260" s="19"/>
      <c r="T260" s="60"/>
      <c r="U260" s="59" t="s">
        <v>108</v>
      </c>
    </row>
    <row r="261" spans="1:21" ht="15" customHeight="1" x14ac:dyDescent="0.25">
      <c r="A261" s="1">
        <f t="shared" ca="1" si="11"/>
        <v>7189</v>
      </c>
      <c r="B261" s="29">
        <v>835</v>
      </c>
      <c r="C261" s="29">
        <v>30002</v>
      </c>
      <c r="D261" s="29">
        <v>266</v>
      </c>
      <c r="E261" s="29">
        <v>29736</v>
      </c>
      <c r="F261" s="29">
        <v>2982</v>
      </c>
      <c r="G261" s="39"/>
      <c r="H261" s="40"/>
      <c r="I261" s="52"/>
      <c r="J261" s="53"/>
      <c r="K261" s="17"/>
      <c r="L261" s="39"/>
      <c r="M261" s="43">
        <v>786</v>
      </c>
      <c r="N261" s="45" t="s">
        <v>108</v>
      </c>
      <c r="O261" s="55">
        <v>5</v>
      </c>
      <c r="P261" s="56"/>
      <c r="Q261" s="74"/>
      <c r="R261" s="70">
        <v>0</v>
      </c>
      <c r="S261" s="19"/>
      <c r="T261" s="60"/>
      <c r="U261" s="59" t="s">
        <v>108</v>
      </c>
    </row>
    <row r="262" spans="1:21" ht="15" customHeight="1" x14ac:dyDescent="0.25">
      <c r="A262" s="1">
        <f t="shared" ca="1" si="11"/>
        <v>7190</v>
      </c>
      <c r="B262" s="29">
        <v>840</v>
      </c>
      <c r="C262" s="29">
        <v>29997</v>
      </c>
      <c r="D262" s="29">
        <v>265</v>
      </c>
      <c r="E262" s="29">
        <v>29732</v>
      </c>
      <c r="F262" s="29">
        <v>2981</v>
      </c>
      <c r="G262" s="39"/>
      <c r="H262" s="40"/>
      <c r="I262" s="52"/>
      <c r="J262" s="53"/>
      <c r="K262" s="17"/>
      <c r="L262" s="39"/>
      <c r="M262" s="43">
        <v>798</v>
      </c>
      <c r="N262" s="45" t="s">
        <v>108</v>
      </c>
      <c r="O262" s="55">
        <v>9</v>
      </c>
      <c r="P262" s="56"/>
      <c r="Q262" s="74"/>
      <c r="R262" s="70">
        <v>0</v>
      </c>
      <c r="S262" s="19"/>
      <c r="T262" s="60"/>
      <c r="U262" s="59" t="s">
        <v>108</v>
      </c>
    </row>
    <row r="263" spans="1:21" ht="15" customHeight="1" x14ac:dyDescent="0.25">
      <c r="A263" s="1">
        <f t="shared" ref="A263:A326" ca="1" si="18">IF(ISTEXT(A262),A261+1,IF(MONTH(A262+1)=MONTH(A262),A262+1,"Totaal"))</f>
        <v>7191</v>
      </c>
      <c r="B263" s="29">
        <v>830</v>
      </c>
      <c r="C263" s="29">
        <v>29994</v>
      </c>
      <c r="D263" s="29">
        <v>262</v>
      </c>
      <c r="E263" s="29">
        <v>29732</v>
      </c>
      <c r="F263" s="29">
        <v>2981</v>
      </c>
      <c r="G263" s="39"/>
      <c r="H263" s="40"/>
      <c r="I263" s="52"/>
      <c r="J263" s="53"/>
      <c r="K263" s="17"/>
      <c r="L263" s="39"/>
      <c r="M263" s="43">
        <v>792</v>
      </c>
      <c r="N263" s="45" t="s">
        <v>106</v>
      </c>
      <c r="O263" s="55">
        <v>8</v>
      </c>
      <c r="P263" s="56"/>
      <c r="Q263" s="74"/>
      <c r="R263" s="70">
        <v>0</v>
      </c>
      <c r="S263" s="19"/>
      <c r="T263" s="60"/>
      <c r="U263" s="59" t="s">
        <v>108</v>
      </c>
    </row>
    <row r="264" spans="1:21" ht="15" customHeight="1" x14ac:dyDescent="0.25">
      <c r="A264" s="1">
        <f t="shared" ca="1" si="18"/>
        <v>7192</v>
      </c>
      <c r="B264" s="29">
        <v>830</v>
      </c>
      <c r="C264" s="29">
        <v>29958</v>
      </c>
      <c r="D264" s="29">
        <v>262</v>
      </c>
      <c r="E264" s="29">
        <v>29696</v>
      </c>
      <c r="F264" s="29">
        <v>2978</v>
      </c>
      <c r="G264" s="39"/>
      <c r="H264" s="40"/>
      <c r="I264" s="52"/>
      <c r="J264" s="53"/>
      <c r="K264" s="17"/>
      <c r="L264" s="39"/>
      <c r="M264" s="43">
        <v>788</v>
      </c>
      <c r="N264" s="45" t="s">
        <v>108</v>
      </c>
      <c r="O264" s="55">
        <v>8</v>
      </c>
      <c r="P264" s="56"/>
      <c r="Q264" s="74"/>
      <c r="R264" s="70">
        <v>0</v>
      </c>
      <c r="S264" s="19"/>
      <c r="T264" s="60"/>
      <c r="U264" s="59" t="s">
        <v>108</v>
      </c>
    </row>
    <row r="265" spans="1:21" ht="15" customHeight="1" x14ac:dyDescent="0.25">
      <c r="A265" s="1">
        <f t="shared" ca="1" si="18"/>
        <v>7193</v>
      </c>
      <c r="B265" s="29">
        <v>835</v>
      </c>
      <c r="C265" s="29">
        <v>30008</v>
      </c>
      <c r="D265" s="29">
        <v>266</v>
      </c>
      <c r="E265" s="29">
        <v>29742</v>
      </c>
      <c r="F265" s="29">
        <v>2982</v>
      </c>
      <c r="G265" s="39"/>
      <c r="H265" s="40"/>
      <c r="I265" s="52"/>
      <c r="J265" s="53"/>
      <c r="K265" s="17"/>
      <c r="L265" s="39"/>
      <c r="M265" s="43">
        <v>803</v>
      </c>
      <c r="N265" s="45" t="s">
        <v>108</v>
      </c>
      <c r="O265" s="55">
        <v>6</v>
      </c>
      <c r="P265" s="56"/>
      <c r="Q265" s="74"/>
      <c r="R265" s="70">
        <v>0</v>
      </c>
      <c r="S265" s="19"/>
      <c r="T265" s="60"/>
      <c r="U265" s="59" t="s">
        <v>108</v>
      </c>
    </row>
    <row r="266" spans="1:21" ht="15" customHeight="1" x14ac:dyDescent="0.25">
      <c r="A266" s="1">
        <f t="shared" ca="1" si="18"/>
        <v>7194</v>
      </c>
      <c r="B266" s="29">
        <v>835</v>
      </c>
      <c r="C266" s="29">
        <v>30020</v>
      </c>
      <c r="D266" s="29">
        <v>266</v>
      </c>
      <c r="E266" s="29">
        <v>29754</v>
      </c>
      <c r="F266" s="29">
        <v>2983</v>
      </c>
      <c r="G266" s="39"/>
      <c r="H266" s="40"/>
      <c r="I266" s="52"/>
      <c r="J266" s="53"/>
      <c r="K266" s="17"/>
      <c r="L266" s="39"/>
      <c r="M266" s="43">
        <v>793</v>
      </c>
      <c r="N266" s="45" t="s">
        <v>110</v>
      </c>
      <c r="O266" s="55">
        <v>5</v>
      </c>
      <c r="P266" s="56"/>
      <c r="Q266" s="74"/>
      <c r="R266" s="70">
        <v>0</v>
      </c>
      <c r="S266" s="19"/>
      <c r="T266" s="60"/>
      <c r="U266" s="59" t="s">
        <v>108</v>
      </c>
    </row>
    <row r="267" spans="1:21" ht="15" customHeight="1" x14ac:dyDescent="0.25">
      <c r="A267" s="1">
        <f t="shared" ca="1" si="18"/>
        <v>7195</v>
      </c>
      <c r="B267" s="29">
        <v>835</v>
      </c>
      <c r="C267" s="29">
        <v>30008</v>
      </c>
      <c r="D267" s="29">
        <v>266</v>
      </c>
      <c r="E267" s="29">
        <v>29742</v>
      </c>
      <c r="F267" s="29">
        <v>2982</v>
      </c>
      <c r="G267" s="39"/>
      <c r="H267" s="40"/>
      <c r="I267" s="52"/>
      <c r="J267" s="53"/>
      <c r="K267" s="17"/>
      <c r="L267" s="39"/>
      <c r="M267" s="43">
        <v>787</v>
      </c>
      <c r="N267" s="45" t="s">
        <v>108</v>
      </c>
      <c r="O267" s="55">
        <v>2</v>
      </c>
      <c r="P267" s="56"/>
      <c r="Q267" s="74"/>
      <c r="R267" s="70">
        <v>0</v>
      </c>
      <c r="S267" s="19"/>
      <c r="T267" s="60"/>
      <c r="U267" s="59" t="s">
        <v>108</v>
      </c>
    </row>
    <row r="268" spans="1:21" ht="15" customHeight="1" x14ac:dyDescent="0.25">
      <c r="A268" s="1">
        <f t="shared" ca="1" si="18"/>
        <v>7196</v>
      </c>
      <c r="B268" s="29">
        <v>835</v>
      </c>
      <c r="C268" s="29">
        <v>30020</v>
      </c>
      <c r="D268" s="29">
        <v>266</v>
      </c>
      <c r="E268" s="29">
        <v>29754</v>
      </c>
      <c r="F268" s="29">
        <v>2983</v>
      </c>
      <c r="G268" s="39"/>
      <c r="H268" s="40"/>
      <c r="I268" s="52"/>
      <c r="J268" s="53"/>
      <c r="K268" s="17"/>
      <c r="L268" s="39"/>
      <c r="M268" s="43">
        <v>793</v>
      </c>
      <c r="N268" s="45" t="s">
        <v>110</v>
      </c>
      <c r="O268" s="55">
        <v>5</v>
      </c>
      <c r="P268" s="56"/>
      <c r="Q268" s="74"/>
      <c r="R268" s="70">
        <v>0</v>
      </c>
      <c r="S268" s="19"/>
      <c r="T268" s="60"/>
      <c r="U268" s="59" t="s">
        <v>108</v>
      </c>
    </row>
    <row r="269" spans="1:21" ht="15" customHeight="1" x14ac:dyDescent="0.25">
      <c r="A269" s="1">
        <f t="shared" ca="1" si="18"/>
        <v>7197</v>
      </c>
      <c r="B269" s="29">
        <v>830</v>
      </c>
      <c r="C269" s="29">
        <v>30016</v>
      </c>
      <c r="D269" s="29">
        <v>264</v>
      </c>
      <c r="E269" s="29">
        <v>29752</v>
      </c>
      <c r="F269" s="29">
        <v>2983</v>
      </c>
      <c r="G269" s="39"/>
      <c r="H269" s="40"/>
      <c r="I269" s="52"/>
      <c r="J269" s="53"/>
      <c r="K269" s="17"/>
      <c r="L269" s="39"/>
      <c r="M269" s="43">
        <v>788</v>
      </c>
      <c r="N269" s="45" t="s">
        <v>108</v>
      </c>
      <c r="O269" s="55">
        <v>3</v>
      </c>
      <c r="P269" s="56"/>
      <c r="Q269" s="74"/>
      <c r="R269" s="70">
        <v>0</v>
      </c>
      <c r="S269" s="19"/>
      <c r="T269" s="60"/>
      <c r="U269" s="59" t="s">
        <v>108</v>
      </c>
    </row>
    <row r="270" spans="1:21" ht="15" customHeight="1" x14ac:dyDescent="0.25">
      <c r="A270" s="1">
        <f t="shared" ca="1" si="18"/>
        <v>7198</v>
      </c>
      <c r="B270" s="29">
        <v>835</v>
      </c>
      <c r="C270" s="29">
        <v>30010</v>
      </c>
      <c r="D270" s="29">
        <v>266</v>
      </c>
      <c r="E270" s="29">
        <v>29744</v>
      </c>
      <c r="F270" s="29">
        <v>2982</v>
      </c>
      <c r="G270" s="39"/>
      <c r="H270" s="40"/>
      <c r="I270" s="52"/>
      <c r="J270" s="53"/>
      <c r="K270" s="17"/>
      <c r="L270" s="39"/>
      <c r="M270" s="43">
        <v>806</v>
      </c>
      <c r="N270" s="45" t="s">
        <v>108</v>
      </c>
      <c r="O270" s="55">
        <v>6</v>
      </c>
      <c r="P270" s="56"/>
      <c r="Q270" s="74"/>
      <c r="R270" s="70">
        <v>0</v>
      </c>
      <c r="S270" s="19"/>
      <c r="T270" s="60"/>
      <c r="U270" s="59" t="s">
        <v>108</v>
      </c>
    </row>
    <row r="271" spans="1:21" ht="15" customHeight="1" x14ac:dyDescent="0.25">
      <c r="A271" s="1">
        <f t="shared" ca="1" si="18"/>
        <v>7199</v>
      </c>
      <c r="B271" s="29">
        <v>865</v>
      </c>
      <c r="C271" s="29">
        <v>30025</v>
      </c>
      <c r="D271" s="29">
        <v>274</v>
      </c>
      <c r="E271" s="29">
        <v>29751</v>
      </c>
      <c r="F271" s="29">
        <v>2983</v>
      </c>
      <c r="G271" s="39"/>
      <c r="H271" s="40"/>
      <c r="I271" s="52"/>
      <c r="J271" s="53"/>
      <c r="K271" s="17"/>
      <c r="L271" s="39"/>
      <c r="M271" s="43">
        <v>752</v>
      </c>
      <c r="N271" s="45" t="s">
        <v>108</v>
      </c>
      <c r="O271" s="55">
        <v>8</v>
      </c>
      <c r="P271" s="56"/>
      <c r="Q271" s="74"/>
      <c r="R271" s="70">
        <v>12</v>
      </c>
      <c r="S271" s="19"/>
      <c r="T271" s="60"/>
      <c r="U271" s="59" t="s">
        <v>108</v>
      </c>
    </row>
    <row r="272" spans="1:21" ht="15" customHeight="1" x14ac:dyDescent="0.25">
      <c r="A272" s="1">
        <f t="shared" ca="1" si="18"/>
        <v>7200</v>
      </c>
      <c r="B272" s="29">
        <v>825</v>
      </c>
      <c r="C272" s="29">
        <v>30036</v>
      </c>
      <c r="D272" s="29">
        <v>263</v>
      </c>
      <c r="E272" s="29">
        <v>29733</v>
      </c>
      <c r="F272" s="29">
        <v>2981</v>
      </c>
      <c r="G272" s="39"/>
      <c r="H272" s="40"/>
      <c r="I272" s="52"/>
      <c r="J272" s="53"/>
      <c r="K272" s="17"/>
      <c r="L272" s="39"/>
      <c r="M272" s="43">
        <v>764</v>
      </c>
      <c r="N272" s="45" t="s">
        <v>108</v>
      </c>
      <c r="O272" s="55">
        <v>9</v>
      </c>
      <c r="P272" s="56"/>
      <c r="Q272" s="74"/>
      <c r="R272" s="70">
        <v>2</v>
      </c>
      <c r="S272" s="19"/>
      <c r="T272" s="60"/>
      <c r="U272" s="59" t="s">
        <v>108</v>
      </c>
    </row>
    <row r="273" spans="1:21" ht="15" customHeight="1" x14ac:dyDescent="0.25">
      <c r="A273" s="1">
        <f t="shared" ca="1" si="18"/>
        <v>7201</v>
      </c>
      <c r="B273" s="29">
        <v>830</v>
      </c>
      <c r="C273" s="29">
        <v>30020</v>
      </c>
      <c r="D273" s="29">
        <v>264</v>
      </c>
      <c r="E273" s="29">
        <v>29756</v>
      </c>
      <c r="F273" s="29">
        <v>2984</v>
      </c>
      <c r="G273" s="39"/>
      <c r="H273" s="40"/>
      <c r="I273" s="52"/>
      <c r="J273" s="53"/>
      <c r="K273" s="17"/>
      <c r="L273" s="39"/>
      <c r="M273" s="43">
        <v>792</v>
      </c>
      <c r="N273" s="45" t="s">
        <v>108</v>
      </c>
      <c r="O273" s="55">
        <v>12</v>
      </c>
      <c r="P273" s="56"/>
      <c r="Q273" s="74"/>
      <c r="R273" s="70">
        <v>0</v>
      </c>
      <c r="S273" s="19"/>
      <c r="T273" s="60"/>
      <c r="U273" s="59" t="s">
        <v>108</v>
      </c>
    </row>
    <row r="274" spans="1:21" ht="15" customHeight="1" x14ac:dyDescent="0.25">
      <c r="A274" s="1">
        <f t="shared" ca="1" si="18"/>
        <v>7202</v>
      </c>
      <c r="B274" s="29">
        <v>830</v>
      </c>
      <c r="C274" s="29">
        <v>30056</v>
      </c>
      <c r="D274" s="29">
        <v>264</v>
      </c>
      <c r="E274" s="29">
        <v>29792</v>
      </c>
      <c r="F274" s="29">
        <v>2987</v>
      </c>
      <c r="G274" s="39"/>
      <c r="H274" s="40"/>
      <c r="I274" s="52"/>
      <c r="J274" s="53"/>
      <c r="K274" s="17"/>
      <c r="L274" s="39"/>
      <c r="M274" s="43">
        <v>790</v>
      </c>
      <c r="N274" s="45" t="s">
        <v>108</v>
      </c>
      <c r="O274" s="55">
        <v>6</v>
      </c>
      <c r="P274" s="56"/>
      <c r="Q274" s="74"/>
      <c r="R274" s="70">
        <v>0</v>
      </c>
      <c r="S274" s="19"/>
      <c r="T274" s="60"/>
      <c r="U274" s="59" t="s">
        <v>108</v>
      </c>
    </row>
    <row r="275" spans="1:21" ht="15" customHeight="1" x14ac:dyDescent="0.25">
      <c r="A275" s="1">
        <f t="shared" ca="1" si="18"/>
        <v>7203</v>
      </c>
      <c r="B275" s="29">
        <v>835</v>
      </c>
      <c r="C275" s="29">
        <v>30065</v>
      </c>
      <c r="D275" s="29">
        <v>264</v>
      </c>
      <c r="E275" s="29">
        <v>29801</v>
      </c>
      <c r="F275" s="29">
        <v>2988</v>
      </c>
      <c r="G275" s="39"/>
      <c r="H275" s="40"/>
      <c r="I275" s="52"/>
      <c r="J275" s="53"/>
      <c r="K275" s="17"/>
      <c r="L275" s="39"/>
      <c r="M275" s="43">
        <v>801</v>
      </c>
      <c r="N275" s="45" t="s">
        <v>108</v>
      </c>
      <c r="O275" s="55">
        <v>8</v>
      </c>
      <c r="P275" s="56"/>
      <c r="Q275" s="74"/>
      <c r="R275" s="70">
        <v>0</v>
      </c>
      <c r="S275" s="19"/>
      <c r="T275" s="60"/>
      <c r="U275" s="59" t="s">
        <v>108</v>
      </c>
    </row>
    <row r="276" spans="1:21" ht="15" customHeight="1" x14ac:dyDescent="0.25">
      <c r="A276" s="1">
        <f t="shared" ca="1" si="18"/>
        <v>7204</v>
      </c>
      <c r="B276" s="29">
        <v>830</v>
      </c>
      <c r="C276" s="29">
        <v>30015</v>
      </c>
      <c r="D276" s="29">
        <v>264</v>
      </c>
      <c r="E276" s="29">
        <v>29751</v>
      </c>
      <c r="F276" s="29">
        <v>2983</v>
      </c>
      <c r="G276" s="39"/>
      <c r="H276" s="40"/>
      <c r="I276" s="52"/>
      <c r="J276" s="53"/>
      <c r="K276" s="17"/>
      <c r="L276" s="39"/>
      <c r="M276" s="43">
        <v>794</v>
      </c>
      <c r="N276" s="45" t="s">
        <v>108</v>
      </c>
      <c r="O276" s="55">
        <v>5</v>
      </c>
      <c r="P276" s="56"/>
      <c r="Q276" s="74"/>
      <c r="R276" s="70">
        <v>0</v>
      </c>
      <c r="S276" s="19"/>
      <c r="T276" s="60"/>
      <c r="U276" s="59" t="s">
        <v>108</v>
      </c>
    </row>
    <row r="277" spans="1:21" ht="15" customHeight="1" x14ac:dyDescent="0.25">
      <c r="A277" s="1">
        <f t="shared" ca="1" si="18"/>
        <v>7205</v>
      </c>
      <c r="B277" s="29">
        <v>830</v>
      </c>
      <c r="C277" s="29">
        <v>30025</v>
      </c>
      <c r="D277" s="29">
        <v>264</v>
      </c>
      <c r="E277" s="29">
        <v>29761</v>
      </c>
      <c r="F277" s="29">
        <v>2984</v>
      </c>
      <c r="G277" s="39"/>
      <c r="H277" s="40"/>
      <c r="I277" s="52"/>
      <c r="J277" s="53"/>
      <c r="K277" s="17"/>
      <c r="L277" s="39"/>
      <c r="M277" s="43">
        <v>783</v>
      </c>
      <c r="N277" s="45" t="s">
        <v>108</v>
      </c>
      <c r="O277" s="55">
        <v>4</v>
      </c>
      <c r="P277" s="56"/>
      <c r="Q277" s="74"/>
      <c r="R277" s="70">
        <v>0</v>
      </c>
      <c r="S277" s="19"/>
      <c r="T277" s="60"/>
      <c r="U277" s="59" t="s">
        <v>108</v>
      </c>
    </row>
    <row r="278" spans="1:21" ht="15" customHeight="1" x14ac:dyDescent="0.25">
      <c r="A278" s="1">
        <f t="shared" ca="1" si="18"/>
        <v>7206</v>
      </c>
      <c r="B278" s="29">
        <v>830</v>
      </c>
      <c r="C278" s="29">
        <v>30020</v>
      </c>
      <c r="D278" s="29">
        <v>264</v>
      </c>
      <c r="E278" s="29">
        <v>29756</v>
      </c>
      <c r="F278" s="29">
        <v>2984</v>
      </c>
      <c r="G278" s="39"/>
      <c r="H278" s="40"/>
      <c r="I278" s="52"/>
      <c r="J278" s="53"/>
      <c r="K278" s="17"/>
      <c r="L278" s="39"/>
      <c r="M278" s="43">
        <v>788</v>
      </c>
      <c r="N278" s="45" t="s">
        <v>110</v>
      </c>
      <c r="O278" s="55">
        <v>12</v>
      </c>
      <c r="P278" s="56"/>
      <c r="Q278" s="74"/>
      <c r="R278" s="70">
        <v>0</v>
      </c>
      <c r="S278" s="19"/>
      <c r="T278" s="60"/>
      <c r="U278" s="59" t="s">
        <v>108</v>
      </c>
    </row>
    <row r="279" spans="1:21" ht="15" customHeight="1" x14ac:dyDescent="0.25">
      <c r="A279" s="1">
        <f t="shared" ca="1" si="18"/>
        <v>7207</v>
      </c>
      <c r="B279" s="29">
        <v>840</v>
      </c>
      <c r="C279" s="29">
        <v>30023</v>
      </c>
      <c r="D279" s="29">
        <v>267</v>
      </c>
      <c r="E279" s="29">
        <v>29756</v>
      </c>
      <c r="F279" s="29">
        <v>2984</v>
      </c>
      <c r="G279" s="39"/>
      <c r="H279" s="40"/>
      <c r="I279" s="52"/>
      <c r="J279" s="53"/>
      <c r="K279" s="17"/>
      <c r="L279" s="39"/>
      <c r="M279" s="43">
        <v>798</v>
      </c>
      <c r="N279" s="45" t="s">
        <v>108</v>
      </c>
      <c r="O279" s="55">
        <v>9</v>
      </c>
      <c r="P279" s="56"/>
      <c r="Q279" s="74"/>
      <c r="R279" s="70">
        <v>0</v>
      </c>
      <c r="S279" s="19"/>
      <c r="T279" s="60"/>
      <c r="U279" s="59" t="s">
        <v>108</v>
      </c>
    </row>
    <row r="280" spans="1:21" ht="15" customHeight="1" x14ac:dyDescent="0.25">
      <c r="A280" s="1">
        <f t="shared" ca="1" si="18"/>
        <v>7208</v>
      </c>
      <c r="B280" s="29">
        <v>840</v>
      </c>
      <c r="C280" s="29">
        <v>30050</v>
      </c>
      <c r="D280" s="29">
        <v>267</v>
      </c>
      <c r="E280" s="29">
        <v>29783</v>
      </c>
      <c r="F280" s="29">
        <v>2986</v>
      </c>
      <c r="G280" s="39"/>
      <c r="H280" s="40"/>
      <c r="I280" s="52"/>
      <c r="J280" s="53"/>
      <c r="K280" s="17"/>
      <c r="L280" s="39"/>
      <c r="M280" s="43">
        <v>788</v>
      </c>
      <c r="N280" s="45" t="s">
        <v>104</v>
      </c>
      <c r="O280" s="55"/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7209</v>
      </c>
      <c r="B281" s="29">
        <v>840</v>
      </c>
      <c r="C281" s="29">
        <v>30070</v>
      </c>
      <c r="D281" s="29">
        <v>267</v>
      </c>
      <c r="E281" s="29">
        <v>29803</v>
      </c>
      <c r="F281" s="29">
        <v>2988</v>
      </c>
      <c r="G281" s="39"/>
      <c r="H281" s="40"/>
      <c r="I281" s="52"/>
      <c r="J281" s="53"/>
      <c r="K281" s="17"/>
      <c r="L281" s="39"/>
      <c r="M281" s="43">
        <v>776</v>
      </c>
      <c r="N281" s="45" t="s">
        <v>104</v>
      </c>
      <c r="O281" s="55"/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7210</v>
      </c>
      <c r="B282" s="29">
        <v>840</v>
      </c>
      <c r="C282" s="29">
        <v>30063</v>
      </c>
      <c r="D282" s="29">
        <v>267</v>
      </c>
      <c r="E282" s="29">
        <v>29796</v>
      </c>
      <c r="F282" s="29">
        <v>2988</v>
      </c>
      <c r="G282" s="39"/>
      <c r="H282" s="40"/>
      <c r="I282" s="52"/>
      <c r="J282" s="53"/>
      <c r="K282" s="17"/>
      <c r="L282" s="39"/>
      <c r="M282" s="43">
        <v>792</v>
      </c>
      <c r="N282" s="45" t="s">
        <v>108</v>
      </c>
      <c r="O282" s="55">
        <v>7</v>
      </c>
      <c r="P282" s="56"/>
      <c r="Q282" s="74"/>
      <c r="R282" s="70">
        <v>0</v>
      </c>
      <c r="S282" s="19"/>
      <c r="T282" s="60"/>
      <c r="U282" s="59" t="s">
        <v>108</v>
      </c>
    </row>
    <row r="283" spans="1:21" ht="15" customHeight="1" x14ac:dyDescent="0.25">
      <c r="A283" s="1">
        <f t="shared" ca="1" si="18"/>
        <v>7211</v>
      </c>
      <c r="B283" s="29">
        <v>840</v>
      </c>
      <c r="C283" s="29">
        <v>30008</v>
      </c>
      <c r="D283" s="29">
        <v>264</v>
      </c>
      <c r="E283" s="29">
        <v>29841</v>
      </c>
      <c r="F283" s="29">
        <v>2982</v>
      </c>
      <c r="G283" s="39"/>
      <c r="H283" s="40"/>
      <c r="I283" s="52"/>
      <c r="J283" s="53"/>
      <c r="K283" s="17"/>
      <c r="L283" s="39"/>
      <c r="M283" s="43">
        <v>800</v>
      </c>
      <c r="N283" s="45" t="s">
        <v>108</v>
      </c>
      <c r="O283" s="55">
        <v>9</v>
      </c>
      <c r="P283" s="56"/>
      <c r="Q283" s="74"/>
      <c r="R283" s="70">
        <v>0</v>
      </c>
      <c r="S283" s="19"/>
      <c r="T283" s="60"/>
      <c r="U283" s="59" t="s">
        <v>108</v>
      </c>
    </row>
    <row r="284" spans="1:21" ht="15" customHeight="1" x14ac:dyDescent="0.25">
      <c r="A284" s="1">
        <f t="shared" ca="1" si="18"/>
        <v>7212</v>
      </c>
      <c r="B284" s="29">
        <v>830</v>
      </c>
      <c r="C284" s="29">
        <v>30030</v>
      </c>
      <c r="D284" s="29">
        <v>264</v>
      </c>
      <c r="E284" s="29">
        <v>29766</v>
      </c>
      <c r="F284" s="29">
        <v>2985</v>
      </c>
      <c r="G284" s="39"/>
      <c r="H284" s="40"/>
      <c r="I284" s="52"/>
      <c r="J284" s="53"/>
      <c r="K284" s="17"/>
      <c r="L284" s="39"/>
      <c r="M284" s="43">
        <v>789</v>
      </c>
      <c r="N284" s="45" t="s">
        <v>108</v>
      </c>
      <c r="O284" s="55">
        <v>8</v>
      </c>
      <c r="P284" s="56"/>
      <c r="Q284" s="74"/>
      <c r="R284" s="70">
        <v>0</v>
      </c>
      <c r="S284" s="19"/>
      <c r="T284" s="60"/>
      <c r="U284" s="59" t="s">
        <v>108</v>
      </c>
    </row>
    <row r="285" spans="1:21" ht="15" customHeight="1" x14ac:dyDescent="0.25">
      <c r="A285" s="1">
        <f t="shared" ca="1" si="18"/>
        <v>7213</v>
      </c>
      <c r="B285" s="29">
        <v>830</v>
      </c>
      <c r="C285" s="29">
        <v>30038</v>
      </c>
      <c r="D285" s="29">
        <v>264</v>
      </c>
      <c r="E285" s="29">
        <v>29774</v>
      </c>
      <c r="F285" s="29">
        <v>2985</v>
      </c>
      <c r="G285" s="39"/>
      <c r="H285" s="40"/>
      <c r="I285" s="52"/>
      <c r="J285" s="53"/>
      <c r="K285" s="17"/>
      <c r="L285" s="39"/>
      <c r="M285" s="43">
        <v>792</v>
      </c>
      <c r="N285" s="45" t="s">
        <v>108</v>
      </c>
      <c r="O285" s="55">
        <v>4</v>
      </c>
      <c r="P285" s="56"/>
      <c r="Q285" s="74"/>
      <c r="R285" s="70">
        <v>0</v>
      </c>
      <c r="S285" s="19"/>
      <c r="T285" s="60"/>
      <c r="U285" s="59" t="s">
        <v>108</v>
      </c>
    </row>
    <row r="286" spans="1:21" x14ac:dyDescent="0.25">
      <c r="A286" s="1" t="str">
        <f t="shared" ca="1" si="18"/>
        <v>Totaal</v>
      </c>
      <c r="B286" s="61">
        <f>IF(COUNT(B256:B285)&gt;0,AVERAGE(B256:B285)/10,"")</f>
        <v>83.38333333333334</v>
      </c>
      <c r="C286" s="62">
        <f>IF(COUNT(C256:C285)&gt;0,AVERAGE(C256:C285)/1000,"")</f>
        <v>30.018900000000002</v>
      </c>
      <c r="D286" s="62">
        <f>IF(COUNT(D256:D285)&gt;0,AVERAGE(D256:D285)/1000,"")</f>
        <v>0.26496666666666663</v>
      </c>
      <c r="E286" s="62">
        <f>IF(COUNT(E256:E285)&gt;0,AVERAGE(E256:E285)/1000,"")</f>
        <v>29.756900000000002</v>
      </c>
      <c r="F286" s="62">
        <f>IF(COUNT(F256:F285)&gt;0,AVERAGE(F256:F285)/100,"")</f>
        <v>29.833000000000002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>
        <f>IF(COUNT(M256:M285)&gt;0,AVERAGE(M256:M285)/10,"")</f>
        <v>78.72</v>
      </c>
      <c r="N286" s="46"/>
      <c r="O286" s="57">
        <f>IF(COUNT(O256:O285)&gt;0,AVERAGE(O256:O285),"")</f>
        <v>6.8928571428571432</v>
      </c>
      <c r="P286" s="58" t="str">
        <f>IF(COUNT(P256:P285)&gt;0,AVERAGE(P256:P285),"")</f>
        <v/>
      </c>
      <c r="Q286" s="47"/>
      <c r="R286" s="68">
        <f>IF(COUNT(R256:R285)&gt;0,SUM(R256:R285)/100,"")</f>
        <v>0.23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7214</v>
      </c>
      <c r="B287" s="29">
        <v>830</v>
      </c>
      <c r="C287" s="29">
        <v>30072</v>
      </c>
      <c r="D287" s="29">
        <v>264</v>
      </c>
      <c r="E287" s="29">
        <v>29808</v>
      </c>
      <c r="F287" s="29">
        <v>2989</v>
      </c>
      <c r="G287" s="39"/>
      <c r="H287" s="40"/>
      <c r="I287" s="52"/>
      <c r="J287" s="53"/>
      <c r="K287" s="17"/>
      <c r="L287" s="39"/>
      <c r="M287" s="43">
        <v>784</v>
      </c>
      <c r="N287" s="45" t="s">
        <v>108</v>
      </c>
      <c r="O287" s="55">
        <v>9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7215</v>
      </c>
      <c r="B288" s="29">
        <v>835</v>
      </c>
      <c r="C288" s="29">
        <v>30058</v>
      </c>
      <c r="D288" s="29">
        <v>266</v>
      </c>
      <c r="E288" s="29">
        <v>29792</v>
      </c>
      <c r="F288" s="29">
        <v>2987</v>
      </c>
      <c r="G288" s="39"/>
      <c r="H288" s="40"/>
      <c r="I288" s="52"/>
      <c r="J288" s="53"/>
      <c r="K288" s="17"/>
      <c r="L288" s="39"/>
      <c r="M288" s="43">
        <v>800</v>
      </c>
      <c r="N288" s="45" t="s">
        <v>108</v>
      </c>
      <c r="O288" s="55">
        <v>8</v>
      </c>
      <c r="P288" s="56"/>
      <c r="Q288" s="74"/>
      <c r="R288" s="70">
        <v>0</v>
      </c>
      <c r="S288" s="19"/>
      <c r="T288" s="60"/>
      <c r="U288" s="59" t="s">
        <v>108</v>
      </c>
    </row>
    <row r="289" spans="1:21" ht="15" customHeight="1" x14ac:dyDescent="0.25">
      <c r="A289" s="1">
        <f t="shared" ca="1" si="18"/>
        <v>7216</v>
      </c>
      <c r="B289" s="29">
        <v>835</v>
      </c>
      <c r="C289" s="29">
        <v>30052</v>
      </c>
      <c r="D289" s="29">
        <v>266</v>
      </c>
      <c r="E289" s="29">
        <v>29756</v>
      </c>
      <c r="F289" s="29">
        <v>2987</v>
      </c>
      <c r="G289" s="39"/>
      <c r="H289" s="40"/>
      <c r="I289" s="52"/>
      <c r="J289" s="53"/>
      <c r="K289" s="17"/>
      <c r="L289" s="39"/>
      <c r="M289" s="43">
        <v>800</v>
      </c>
      <c r="N289" s="45" t="s">
        <v>108</v>
      </c>
      <c r="O289" s="55">
        <v>8</v>
      </c>
      <c r="P289" s="56"/>
      <c r="Q289" s="74"/>
      <c r="R289" s="70">
        <v>0</v>
      </c>
      <c r="S289" s="19"/>
      <c r="T289" s="60"/>
      <c r="U289" s="59" t="s">
        <v>108</v>
      </c>
    </row>
    <row r="290" spans="1:21" ht="15" customHeight="1" x14ac:dyDescent="0.25">
      <c r="A290" s="1">
        <f t="shared" ca="1" si="18"/>
        <v>7217</v>
      </c>
      <c r="B290" s="29">
        <v>840</v>
      </c>
      <c r="C290" s="29">
        <v>30010</v>
      </c>
      <c r="D290" s="29">
        <v>267</v>
      </c>
      <c r="E290" s="29">
        <v>29743</v>
      </c>
      <c r="F290" s="29">
        <v>2982</v>
      </c>
      <c r="G290" s="39"/>
      <c r="H290" s="40"/>
      <c r="I290" s="52"/>
      <c r="J290" s="53"/>
      <c r="K290" s="17"/>
      <c r="L290" s="39"/>
      <c r="M290" s="43">
        <v>796</v>
      </c>
      <c r="N290" s="45" t="s">
        <v>108</v>
      </c>
      <c r="O290" s="55">
        <v>6</v>
      </c>
      <c r="P290" s="56"/>
      <c r="Q290" s="74"/>
      <c r="R290" s="70">
        <v>0</v>
      </c>
      <c r="S290" s="19"/>
      <c r="T290" s="60"/>
      <c r="U290" s="59" t="s">
        <v>108</v>
      </c>
    </row>
    <row r="291" spans="1:21" ht="15" customHeight="1" x14ac:dyDescent="0.25">
      <c r="A291" s="1">
        <f t="shared" ca="1" si="18"/>
        <v>7218</v>
      </c>
      <c r="B291" s="29">
        <v>840</v>
      </c>
      <c r="C291" s="29">
        <v>29972</v>
      </c>
      <c r="D291" s="29">
        <v>265</v>
      </c>
      <c r="E291" s="29">
        <v>29707</v>
      </c>
      <c r="F291" s="29">
        <v>2979</v>
      </c>
      <c r="G291" s="39"/>
      <c r="H291" s="40"/>
      <c r="I291" s="52"/>
      <c r="J291" s="53"/>
      <c r="K291" s="17"/>
      <c r="L291" s="39"/>
      <c r="M291" s="43">
        <v>799</v>
      </c>
      <c r="N291" s="45" t="s">
        <v>108</v>
      </c>
      <c r="O291" s="55">
        <v>6</v>
      </c>
      <c r="P291" s="56"/>
      <c r="Q291" s="74"/>
      <c r="R291" s="70">
        <v>0</v>
      </c>
      <c r="S291" s="19"/>
      <c r="T291" s="60"/>
      <c r="U291" s="59" t="s">
        <v>108</v>
      </c>
    </row>
    <row r="292" spans="1:21" ht="15" customHeight="1" x14ac:dyDescent="0.25">
      <c r="A292" s="1">
        <f t="shared" ca="1" si="18"/>
        <v>7219</v>
      </c>
      <c r="B292" s="29">
        <v>840</v>
      </c>
      <c r="C292" s="29">
        <v>30023</v>
      </c>
      <c r="D292" s="29">
        <v>267</v>
      </c>
      <c r="E292" s="29">
        <v>29756</v>
      </c>
      <c r="F292" s="29">
        <v>2984</v>
      </c>
      <c r="G292" s="39"/>
      <c r="H292" s="40"/>
      <c r="I292" s="52"/>
      <c r="J292" s="53"/>
      <c r="K292" s="17"/>
      <c r="L292" s="39"/>
      <c r="M292" s="43">
        <v>786</v>
      </c>
      <c r="N292" s="45" t="s">
        <v>108</v>
      </c>
      <c r="O292" s="55">
        <v>7</v>
      </c>
      <c r="P292" s="56"/>
      <c r="Q292" s="74"/>
      <c r="R292" s="70">
        <v>0</v>
      </c>
      <c r="S292" s="19"/>
      <c r="T292" s="60"/>
      <c r="U292" s="59" t="s">
        <v>108</v>
      </c>
    </row>
    <row r="293" spans="1:21" ht="15" customHeight="1" x14ac:dyDescent="0.25">
      <c r="A293" s="1">
        <f t="shared" ca="1" si="18"/>
        <v>7220</v>
      </c>
      <c r="B293" s="29">
        <v>835</v>
      </c>
      <c r="C293" s="29">
        <v>29985</v>
      </c>
      <c r="D293" s="29">
        <v>263</v>
      </c>
      <c r="E293" s="29">
        <v>29722</v>
      </c>
      <c r="F293" s="29">
        <v>2980</v>
      </c>
      <c r="G293" s="39"/>
      <c r="H293" s="40"/>
      <c r="I293" s="52"/>
      <c r="J293" s="53"/>
      <c r="K293" s="17"/>
      <c r="L293" s="39"/>
      <c r="M293" s="43">
        <v>796</v>
      </c>
      <c r="N293" s="45" t="s">
        <v>108</v>
      </c>
      <c r="O293" s="55">
        <v>8</v>
      </c>
      <c r="P293" s="56"/>
      <c r="Q293" s="74"/>
      <c r="R293" s="70">
        <v>0</v>
      </c>
      <c r="S293" s="19"/>
      <c r="T293" s="60"/>
      <c r="U293" s="59" t="s">
        <v>108</v>
      </c>
    </row>
    <row r="294" spans="1:21" ht="15" customHeight="1" x14ac:dyDescent="0.25">
      <c r="A294" s="1">
        <f t="shared" ca="1" si="18"/>
        <v>7221</v>
      </c>
      <c r="B294" s="29">
        <v>835</v>
      </c>
      <c r="C294" s="29">
        <v>30017</v>
      </c>
      <c r="D294" s="29">
        <v>266</v>
      </c>
      <c r="E294" s="29">
        <v>29751</v>
      </c>
      <c r="F294" s="29">
        <v>2983</v>
      </c>
      <c r="G294" s="39"/>
      <c r="H294" s="40"/>
      <c r="I294" s="52"/>
      <c r="J294" s="53"/>
      <c r="K294" s="17"/>
      <c r="L294" s="39"/>
      <c r="M294" s="43">
        <v>795</v>
      </c>
      <c r="N294" s="45" t="s">
        <v>108</v>
      </c>
      <c r="O294" s="55">
        <v>7</v>
      </c>
      <c r="P294" s="56"/>
      <c r="Q294" s="74"/>
      <c r="R294" s="70">
        <v>0</v>
      </c>
      <c r="S294" s="19"/>
      <c r="T294" s="60"/>
      <c r="U294" s="59" t="s">
        <v>108</v>
      </c>
    </row>
    <row r="295" spans="1:21" ht="15" customHeight="1" x14ac:dyDescent="0.25">
      <c r="A295" s="1">
        <f t="shared" ca="1" si="18"/>
        <v>7222</v>
      </c>
      <c r="B295" s="29">
        <v>830</v>
      </c>
      <c r="C295" s="29">
        <v>30006</v>
      </c>
      <c r="D295" s="29">
        <v>264</v>
      </c>
      <c r="E295" s="29">
        <v>29742</v>
      </c>
      <c r="F295" s="29">
        <v>2982</v>
      </c>
      <c r="G295" s="39"/>
      <c r="H295" s="40"/>
      <c r="I295" s="52"/>
      <c r="J295" s="53"/>
      <c r="K295" s="17"/>
      <c r="L295" s="39"/>
      <c r="M295" s="43">
        <v>792</v>
      </c>
      <c r="N295" s="45" t="s">
        <v>106</v>
      </c>
      <c r="O295" s="55">
        <v>6</v>
      </c>
      <c r="P295" s="56"/>
      <c r="Q295" s="74"/>
      <c r="R295" s="70">
        <v>0</v>
      </c>
      <c r="S295" s="19"/>
      <c r="T295" s="60"/>
      <c r="U295" s="59" t="s">
        <v>108</v>
      </c>
    </row>
    <row r="296" spans="1:21" ht="15" customHeight="1" x14ac:dyDescent="0.25">
      <c r="A296" s="1">
        <f t="shared" ca="1" si="18"/>
        <v>7223</v>
      </c>
      <c r="B296" s="29">
        <v>840</v>
      </c>
      <c r="C296" s="29">
        <v>30023</v>
      </c>
      <c r="D296" s="29">
        <v>267</v>
      </c>
      <c r="E296" s="29">
        <v>29756</v>
      </c>
      <c r="F296" s="29">
        <v>2984</v>
      </c>
      <c r="G296" s="39"/>
      <c r="H296" s="40"/>
      <c r="I296" s="52"/>
      <c r="J296" s="53"/>
      <c r="K296" s="17"/>
      <c r="L296" s="39"/>
      <c r="M296" s="43">
        <v>798</v>
      </c>
      <c r="N296" s="45" t="s">
        <v>108</v>
      </c>
      <c r="O296" s="55">
        <v>4</v>
      </c>
      <c r="P296" s="56"/>
      <c r="Q296" s="74"/>
      <c r="R296" s="70">
        <v>0</v>
      </c>
      <c r="S296" s="19"/>
      <c r="T296" s="60"/>
      <c r="U296" s="59" t="s">
        <v>108</v>
      </c>
    </row>
    <row r="297" spans="1:21" ht="15" customHeight="1" x14ac:dyDescent="0.25">
      <c r="A297" s="1">
        <f t="shared" ca="1" si="18"/>
        <v>7224</v>
      </c>
      <c r="B297" s="29">
        <v>835</v>
      </c>
      <c r="C297" s="29">
        <v>30018</v>
      </c>
      <c r="D297" s="29">
        <v>266</v>
      </c>
      <c r="E297" s="29">
        <v>29752</v>
      </c>
      <c r="F297" s="29">
        <v>2983</v>
      </c>
      <c r="G297" s="39"/>
      <c r="H297" s="40"/>
      <c r="I297" s="52"/>
      <c r="J297" s="53"/>
      <c r="K297" s="17"/>
      <c r="L297" s="39"/>
      <c r="M297" s="43">
        <v>783</v>
      </c>
      <c r="N297" s="45" t="s">
        <v>108</v>
      </c>
      <c r="O297" s="55">
        <v>3</v>
      </c>
      <c r="P297" s="56"/>
      <c r="Q297" s="74"/>
      <c r="R297" s="70">
        <v>3</v>
      </c>
      <c r="S297" s="19"/>
      <c r="T297" s="60"/>
      <c r="U297" s="59" t="s">
        <v>108</v>
      </c>
    </row>
    <row r="298" spans="1:21" ht="15" customHeight="1" x14ac:dyDescent="0.25">
      <c r="A298" s="1">
        <f t="shared" ca="1" si="18"/>
        <v>7225</v>
      </c>
      <c r="B298" s="29">
        <v>810</v>
      </c>
      <c r="C298" s="29">
        <v>29990</v>
      </c>
      <c r="D298" s="29">
        <v>257</v>
      </c>
      <c r="E298" s="29">
        <v>29733</v>
      </c>
      <c r="F298" s="29">
        <v>2981</v>
      </c>
      <c r="G298" s="39"/>
      <c r="H298" s="40"/>
      <c r="I298" s="52"/>
      <c r="J298" s="53"/>
      <c r="K298" s="17"/>
      <c r="L298" s="39"/>
      <c r="M298" s="43">
        <v>753</v>
      </c>
      <c r="N298" s="45" t="s">
        <v>110</v>
      </c>
      <c r="O298" s="55">
        <v>5</v>
      </c>
      <c r="P298" s="56"/>
      <c r="Q298" s="74"/>
      <c r="R298" s="70">
        <v>34</v>
      </c>
      <c r="S298" s="19"/>
      <c r="T298" s="60"/>
      <c r="U298" s="59" t="s">
        <v>108</v>
      </c>
    </row>
    <row r="299" spans="1:21" ht="15" customHeight="1" x14ac:dyDescent="0.25">
      <c r="A299" s="1">
        <f t="shared" ca="1" si="18"/>
        <v>7226</v>
      </c>
      <c r="B299" s="29">
        <v>820</v>
      </c>
      <c r="C299" s="29">
        <v>29973</v>
      </c>
      <c r="D299" s="29">
        <v>260</v>
      </c>
      <c r="E299" s="29">
        <v>29713</v>
      </c>
      <c r="F299" s="29">
        <v>2979</v>
      </c>
      <c r="G299" s="39"/>
      <c r="H299" s="40"/>
      <c r="I299" s="52"/>
      <c r="J299" s="53"/>
      <c r="K299" s="17"/>
      <c r="L299" s="39"/>
      <c r="M299" s="43">
        <v>770</v>
      </c>
      <c r="N299" s="45" t="s">
        <v>110</v>
      </c>
      <c r="O299" s="55">
        <v>4</v>
      </c>
      <c r="P299" s="56"/>
      <c r="Q299" s="74"/>
      <c r="R299" s="70">
        <v>2</v>
      </c>
      <c r="S299" s="19"/>
      <c r="T299" s="60"/>
      <c r="U299" s="59" t="s">
        <v>108</v>
      </c>
    </row>
    <row r="300" spans="1:21" ht="15" customHeight="1" x14ac:dyDescent="0.25">
      <c r="A300" s="1">
        <f t="shared" ca="1" si="18"/>
        <v>7227</v>
      </c>
      <c r="B300" s="29">
        <v>830</v>
      </c>
      <c r="C300" s="29">
        <v>29968</v>
      </c>
      <c r="D300" s="29">
        <v>262</v>
      </c>
      <c r="E300" s="29">
        <v>29706</v>
      </c>
      <c r="F300" s="29">
        <v>2979</v>
      </c>
      <c r="G300" s="39"/>
      <c r="H300" s="40"/>
      <c r="I300" s="52"/>
      <c r="J300" s="53"/>
      <c r="K300" s="17"/>
      <c r="L300" s="39"/>
      <c r="M300" s="43">
        <v>737</v>
      </c>
      <c r="N300" s="45" t="s">
        <v>106</v>
      </c>
      <c r="O300" s="55">
        <v>4</v>
      </c>
      <c r="P300" s="56"/>
      <c r="Q300" s="74"/>
      <c r="R300" s="70">
        <v>53</v>
      </c>
      <c r="S300" s="19"/>
      <c r="T300" s="60"/>
      <c r="U300" s="59" t="s">
        <v>108</v>
      </c>
    </row>
    <row r="301" spans="1:21" ht="15" customHeight="1" x14ac:dyDescent="0.25">
      <c r="A301" s="1">
        <f t="shared" ca="1" si="18"/>
        <v>7228</v>
      </c>
      <c r="B301" s="29">
        <v>830</v>
      </c>
      <c r="C301" s="29">
        <v>30052</v>
      </c>
      <c r="D301" s="29">
        <v>264</v>
      </c>
      <c r="E301" s="29">
        <v>29788</v>
      </c>
      <c r="F301" s="29">
        <v>2987</v>
      </c>
      <c r="G301" s="39"/>
      <c r="H301" s="40"/>
      <c r="I301" s="52"/>
      <c r="J301" s="53"/>
      <c r="K301" s="17"/>
      <c r="L301" s="39"/>
      <c r="M301" s="43">
        <v>787</v>
      </c>
      <c r="N301" s="45" t="s">
        <v>110</v>
      </c>
      <c r="O301" s="55">
        <v>8</v>
      </c>
      <c r="P301" s="56"/>
      <c r="Q301" s="74"/>
      <c r="R301" s="70">
        <v>0</v>
      </c>
      <c r="S301" s="19"/>
      <c r="T301" s="60"/>
      <c r="U301" s="59" t="s">
        <v>108</v>
      </c>
    </row>
    <row r="302" spans="1:21" ht="15" customHeight="1" x14ac:dyDescent="0.25">
      <c r="A302" s="1">
        <f t="shared" ca="1" si="18"/>
        <v>7229</v>
      </c>
      <c r="B302" s="29">
        <v>835</v>
      </c>
      <c r="C302" s="29">
        <v>30038</v>
      </c>
      <c r="D302" s="29">
        <v>265</v>
      </c>
      <c r="E302" s="29">
        <v>29773</v>
      </c>
      <c r="F302" s="29">
        <v>2985</v>
      </c>
      <c r="G302" s="39"/>
      <c r="H302" s="40"/>
      <c r="I302" s="52"/>
      <c r="J302" s="53"/>
      <c r="K302" s="17"/>
      <c r="L302" s="39"/>
      <c r="M302" s="43">
        <v>786</v>
      </c>
      <c r="N302" s="45" t="s">
        <v>108</v>
      </c>
      <c r="O302" s="55">
        <v>7</v>
      </c>
      <c r="P302" s="56"/>
      <c r="Q302" s="74"/>
      <c r="R302" s="70">
        <v>0</v>
      </c>
      <c r="S302" s="19"/>
      <c r="T302" s="60"/>
      <c r="U302" s="59" t="s">
        <v>108</v>
      </c>
    </row>
    <row r="303" spans="1:21" ht="15" customHeight="1" x14ac:dyDescent="0.25">
      <c r="A303" s="1">
        <f t="shared" ca="1" si="18"/>
        <v>7230</v>
      </c>
      <c r="B303" s="29">
        <v>840</v>
      </c>
      <c r="C303" s="29">
        <v>29988</v>
      </c>
      <c r="D303" s="29">
        <v>265</v>
      </c>
      <c r="E303" s="29">
        <v>29723</v>
      </c>
      <c r="F303" s="29">
        <v>2980</v>
      </c>
      <c r="G303" s="39"/>
      <c r="H303" s="40"/>
      <c r="I303" s="52"/>
      <c r="J303" s="53"/>
      <c r="K303" s="17"/>
      <c r="L303" s="39"/>
      <c r="M303" s="43">
        <v>802</v>
      </c>
      <c r="N303" s="45" t="s">
        <v>110</v>
      </c>
      <c r="O303" s="55">
        <v>8</v>
      </c>
      <c r="P303" s="56"/>
      <c r="Q303" s="74"/>
      <c r="R303" s="70">
        <v>0</v>
      </c>
      <c r="S303" s="19"/>
      <c r="T303" s="60"/>
      <c r="U303" s="59" t="s">
        <v>108</v>
      </c>
    </row>
    <row r="304" spans="1:21" ht="15" customHeight="1" x14ac:dyDescent="0.25">
      <c r="A304" s="1">
        <f t="shared" ca="1" si="18"/>
        <v>7231</v>
      </c>
      <c r="B304" s="29">
        <v>840</v>
      </c>
      <c r="C304" s="29">
        <v>30005</v>
      </c>
      <c r="D304" s="29">
        <v>267</v>
      </c>
      <c r="E304" s="29">
        <v>29738</v>
      </c>
      <c r="F304" s="29">
        <v>2982</v>
      </c>
      <c r="G304" s="39"/>
      <c r="H304" s="40"/>
      <c r="I304" s="52"/>
      <c r="J304" s="53"/>
      <c r="K304" s="17"/>
      <c r="L304" s="39"/>
      <c r="M304" s="43">
        <v>796</v>
      </c>
      <c r="N304" s="45" t="s">
        <v>108</v>
      </c>
      <c r="O304" s="55">
        <v>8</v>
      </c>
      <c r="P304" s="56"/>
      <c r="Q304" s="74"/>
      <c r="R304" s="70">
        <v>0</v>
      </c>
      <c r="S304" s="19"/>
      <c r="T304" s="60"/>
      <c r="U304" s="59" t="s">
        <v>110</v>
      </c>
    </row>
    <row r="305" spans="1:21" ht="15" customHeight="1" x14ac:dyDescent="0.25">
      <c r="A305" s="1">
        <f t="shared" ca="1" si="18"/>
        <v>7232</v>
      </c>
      <c r="B305" s="29">
        <v>835</v>
      </c>
      <c r="C305" s="29">
        <v>30048</v>
      </c>
      <c r="D305" s="29">
        <v>266</v>
      </c>
      <c r="E305" s="29">
        <v>29782</v>
      </c>
      <c r="F305" s="29">
        <v>2986</v>
      </c>
      <c r="G305" s="39"/>
      <c r="H305" s="40"/>
      <c r="I305" s="52"/>
      <c r="J305" s="53"/>
      <c r="K305" s="17"/>
      <c r="L305" s="39"/>
      <c r="M305" s="43">
        <v>793</v>
      </c>
      <c r="N305" s="45" t="s">
        <v>108</v>
      </c>
      <c r="O305" s="55">
        <v>6</v>
      </c>
      <c r="P305" s="56"/>
      <c r="Q305" s="74"/>
      <c r="R305" s="70">
        <v>0</v>
      </c>
      <c r="S305" s="19"/>
      <c r="T305" s="60"/>
      <c r="U305" s="59" t="s">
        <v>108</v>
      </c>
    </row>
    <row r="306" spans="1:21" ht="15" customHeight="1" x14ac:dyDescent="0.25">
      <c r="A306" s="1">
        <f t="shared" ca="1" si="18"/>
        <v>7233</v>
      </c>
      <c r="B306" s="29">
        <v>835</v>
      </c>
      <c r="C306" s="29">
        <v>30034</v>
      </c>
      <c r="D306" s="29">
        <v>266</v>
      </c>
      <c r="E306" s="29">
        <v>29768</v>
      </c>
      <c r="F306" s="29">
        <v>2985</v>
      </c>
      <c r="G306" s="39"/>
      <c r="H306" s="40"/>
      <c r="I306" s="52"/>
      <c r="J306" s="53"/>
      <c r="K306" s="17"/>
      <c r="L306" s="39"/>
      <c r="M306" s="43">
        <v>797</v>
      </c>
      <c r="N306" s="45" t="s">
        <v>108</v>
      </c>
      <c r="O306" s="55">
        <v>6</v>
      </c>
      <c r="P306" s="56"/>
      <c r="Q306" s="74"/>
      <c r="R306" s="70">
        <v>0</v>
      </c>
      <c r="S306" s="19"/>
      <c r="T306" s="60"/>
      <c r="U306" s="59" t="s">
        <v>108</v>
      </c>
    </row>
    <row r="307" spans="1:21" ht="15" customHeight="1" x14ac:dyDescent="0.25">
      <c r="A307" s="1">
        <f t="shared" ca="1" si="18"/>
        <v>7234</v>
      </c>
      <c r="B307" s="29">
        <v>835</v>
      </c>
      <c r="C307" s="29">
        <v>30040</v>
      </c>
      <c r="D307" s="29">
        <v>266</v>
      </c>
      <c r="E307" s="29">
        <v>29774</v>
      </c>
      <c r="F307" s="29">
        <v>2985</v>
      </c>
      <c r="G307" s="39"/>
      <c r="H307" s="40"/>
      <c r="I307" s="52"/>
      <c r="J307" s="53"/>
      <c r="K307" s="17"/>
      <c r="L307" s="39"/>
      <c r="M307" s="43">
        <v>797</v>
      </c>
      <c r="N307" s="45" t="s">
        <v>108</v>
      </c>
      <c r="O307" s="55">
        <v>10</v>
      </c>
      <c r="P307" s="56"/>
      <c r="Q307" s="74"/>
      <c r="R307" s="70">
        <v>0</v>
      </c>
      <c r="S307" s="19"/>
      <c r="T307" s="60"/>
      <c r="U307" s="59" t="s">
        <v>108</v>
      </c>
    </row>
    <row r="308" spans="1:21" ht="15" customHeight="1" x14ac:dyDescent="0.25">
      <c r="A308" s="1">
        <f t="shared" ca="1" si="18"/>
        <v>7235</v>
      </c>
      <c r="B308" s="29">
        <v>840</v>
      </c>
      <c r="C308" s="29">
        <v>30110</v>
      </c>
      <c r="D308" s="29">
        <v>267</v>
      </c>
      <c r="E308" s="29">
        <v>29843</v>
      </c>
      <c r="F308" s="29">
        <v>2992</v>
      </c>
      <c r="G308" s="39"/>
      <c r="H308" s="40"/>
      <c r="I308" s="52"/>
      <c r="J308" s="53"/>
      <c r="K308" s="17"/>
      <c r="L308" s="39"/>
      <c r="M308" s="43">
        <v>802</v>
      </c>
      <c r="N308" s="45" t="s">
        <v>108</v>
      </c>
      <c r="O308" s="55">
        <v>6</v>
      </c>
      <c r="P308" s="56"/>
      <c r="Q308" s="74"/>
      <c r="R308" s="70">
        <v>4</v>
      </c>
      <c r="S308" s="19"/>
      <c r="T308" s="60"/>
      <c r="U308" s="59" t="s">
        <v>108</v>
      </c>
    </row>
    <row r="309" spans="1:21" ht="15" customHeight="1" x14ac:dyDescent="0.25">
      <c r="A309" s="1">
        <f t="shared" ca="1" si="18"/>
        <v>7236</v>
      </c>
      <c r="B309" s="29">
        <v>840</v>
      </c>
      <c r="C309" s="29">
        <v>30078</v>
      </c>
      <c r="D309" s="29">
        <v>267</v>
      </c>
      <c r="E309" s="29">
        <v>29811</v>
      </c>
      <c r="F309" s="29">
        <v>2989</v>
      </c>
      <c r="G309" s="39"/>
      <c r="H309" s="40"/>
      <c r="I309" s="52"/>
      <c r="J309" s="53"/>
      <c r="K309" s="17"/>
      <c r="L309" s="39"/>
      <c r="M309" s="43">
        <v>803</v>
      </c>
      <c r="N309" s="45" t="s">
        <v>108</v>
      </c>
      <c r="O309" s="55">
        <v>8</v>
      </c>
      <c r="P309" s="56"/>
      <c r="Q309" s="74"/>
      <c r="R309" s="70">
        <v>0</v>
      </c>
      <c r="S309" s="19"/>
      <c r="T309" s="60"/>
      <c r="U309" s="59" t="s">
        <v>108</v>
      </c>
    </row>
    <row r="310" spans="1:21" ht="15" customHeight="1" x14ac:dyDescent="0.25">
      <c r="A310" s="1">
        <f t="shared" ca="1" si="18"/>
        <v>7237</v>
      </c>
      <c r="B310" s="29">
        <v>830</v>
      </c>
      <c r="C310" s="29">
        <v>30027</v>
      </c>
      <c r="D310" s="29">
        <v>264</v>
      </c>
      <c r="E310" s="29">
        <v>29763</v>
      </c>
      <c r="F310" s="29">
        <v>2984</v>
      </c>
      <c r="G310" s="39"/>
      <c r="H310" s="40"/>
      <c r="I310" s="52"/>
      <c r="J310" s="53"/>
      <c r="K310" s="17"/>
      <c r="L310" s="39"/>
      <c r="M310" s="43">
        <v>762</v>
      </c>
      <c r="N310" s="45" t="s">
        <v>108</v>
      </c>
      <c r="O310" s="55">
        <v>8</v>
      </c>
      <c r="P310" s="56"/>
      <c r="Q310" s="74"/>
      <c r="R310" s="70">
        <v>22</v>
      </c>
      <c r="S310" s="19"/>
      <c r="T310" s="60"/>
      <c r="U310" s="59" t="s">
        <v>108</v>
      </c>
    </row>
    <row r="311" spans="1:21" ht="15" customHeight="1" x14ac:dyDescent="0.25">
      <c r="A311" s="1">
        <f t="shared" ca="1" si="18"/>
        <v>7238</v>
      </c>
      <c r="B311" s="29">
        <v>830</v>
      </c>
      <c r="C311" s="29">
        <v>29996</v>
      </c>
      <c r="D311" s="29">
        <v>262</v>
      </c>
      <c r="E311" s="29">
        <v>29734</v>
      </c>
      <c r="F311" s="29">
        <v>2981</v>
      </c>
      <c r="G311" s="39"/>
      <c r="H311" s="40"/>
      <c r="I311" s="52"/>
      <c r="J311" s="53"/>
      <c r="K311" s="17"/>
      <c r="L311" s="39"/>
      <c r="M311" s="43">
        <v>788</v>
      </c>
      <c r="N311" s="45" t="s">
        <v>108</v>
      </c>
      <c r="O311" s="55">
        <v>5</v>
      </c>
      <c r="P311" s="56"/>
      <c r="Q311" s="74"/>
      <c r="R311" s="70">
        <v>0</v>
      </c>
      <c r="S311" s="19"/>
      <c r="T311" s="60"/>
      <c r="U311" s="59" t="s">
        <v>108</v>
      </c>
    </row>
    <row r="312" spans="1:21" ht="15" customHeight="1" x14ac:dyDescent="0.25">
      <c r="A312" s="1">
        <f t="shared" ca="1" si="18"/>
        <v>7239</v>
      </c>
      <c r="B312" s="29">
        <v>830</v>
      </c>
      <c r="C312" s="29">
        <v>30056</v>
      </c>
      <c r="D312" s="29">
        <v>264</v>
      </c>
      <c r="E312" s="29">
        <v>29792</v>
      </c>
      <c r="F312" s="29">
        <v>2987</v>
      </c>
      <c r="G312" s="39"/>
      <c r="H312" s="40"/>
      <c r="I312" s="52"/>
      <c r="J312" s="53"/>
      <c r="K312" s="17"/>
      <c r="L312" s="39"/>
      <c r="M312" s="43">
        <v>767</v>
      </c>
      <c r="N312" s="45" t="s">
        <v>108</v>
      </c>
      <c r="O312" s="55">
        <v>3</v>
      </c>
      <c r="P312" s="56"/>
      <c r="Q312" s="74"/>
      <c r="R312" s="70">
        <v>2</v>
      </c>
      <c r="S312" s="19"/>
      <c r="T312" s="60"/>
      <c r="U312" s="59" t="s">
        <v>108</v>
      </c>
    </row>
    <row r="313" spans="1:21" ht="15" customHeight="1" x14ac:dyDescent="0.25">
      <c r="A313" s="1">
        <f t="shared" ca="1" si="18"/>
        <v>7240</v>
      </c>
      <c r="B313" s="29">
        <v>820</v>
      </c>
      <c r="C313" s="29">
        <v>29996</v>
      </c>
      <c r="D313" s="29">
        <v>260</v>
      </c>
      <c r="E313" s="29">
        <v>29736</v>
      </c>
      <c r="F313" s="29">
        <v>2982</v>
      </c>
      <c r="G313" s="39"/>
      <c r="H313" s="40"/>
      <c r="I313" s="52"/>
      <c r="J313" s="53"/>
      <c r="K313" s="17"/>
      <c r="L313" s="39"/>
      <c r="M313" s="43">
        <v>752</v>
      </c>
      <c r="N313" s="45" t="s">
        <v>108</v>
      </c>
      <c r="O313" s="55">
        <v>3</v>
      </c>
      <c r="P313" s="56"/>
      <c r="Q313" s="74"/>
      <c r="R313" s="70">
        <v>3</v>
      </c>
      <c r="S313" s="19"/>
      <c r="T313" s="60"/>
      <c r="U313" s="59" t="s">
        <v>108</v>
      </c>
    </row>
    <row r="314" spans="1:21" ht="15" customHeight="1" x14ac:dyDescent="0.25">
      <c r="A314" s="1">
        <f t="shared" ca="1" si="18"/>
        <v>7241</v>
      </c>
      <c r="B314" s="29">
        <v>830</v>
      </c>
      <c r="C314" s="29">
        <v>29996</v>
      </c>
      <c r="D314" s="29">
        <v>262</v>
      </c>
      <c r="E314" s="29">
        <v>29734</v>
      </c>
      <c r="F314" s="29">
        <v>2981</v>
      </c>
      <c r="G314" s="39"/>
      <c r="H314" s="40"/>
      <c r="I314" s="52"/>
      <c r="J314" s="53"/>
      <c r="K314" s="17"/>
      <c r="L314" s="39"/>
      <c r="M314" s="43">
        <v>749</v>
      </c>
      <c r="N314" s="45" t="s">
        <v>110</v>
      </c>
      <c r="O314" s="55">
        <v>8</v>
      </c>
      <c r="P314" s="56"/>
      <c r="Q314" s="74"/>
      <c r="R314" s="70">
        <v>11</v>
      </c>
      <c r="S314" s="19"/>
      <c r="T314" s="60"/>
      <c r="U314" s="59" t="s">
        <v>108</v>
      </c>
    </row>
    <row r="315" spans="1:21" ht="15" customHeight="1" x14ac:dyDescent="0.25">
      <c r="A315" s="1">
        <f t="shared" ca="1" si="18"/>
        <v>7242</v>
      </c>
      <c r="B315" s="29">
        <v>835</v>
      </c>
      <c r="C315" s="29">
        <v>30048</v>
      </c>
      <c r="D315" s="29">
        <v>266</v>
      </c>
      <c r="E315" s="29">
        <v>29782</v>
      </c>
      <c r="F315" s="29">
        <v>2986</v>
      </c>
      <c r="G315" s="39"/>
      <c r="H315" s="40"/>
      <c r="I315" s="52"/>
      <c r="J315" s="53"/>
      <c r="K315" s="17"/>
      <c r="L315" s="39"/>
      <c r="M315" s="43">
        <v>742</v>
      </c>
      <c r="N315" s="45" t="s">
        <v>108</v>
      </c>
      <c r="O315" s="55">
        <v>8</v>
      </c>
      <c r="P315" s="56"/>
      <c r="Q315" s="74"/>
      <c r="R315" s="70">
        <v>1</v>
      </c>
      <c r="S315" s="19"/>
      <c r="T315" s="60"/>
      <c r="U315" s="59" t="s">
        <v>108</v>
      </c>
    </row>
    <row r="316" spans="1:21" ht="15" customHeight="1" x14ac:dyDescent="0.25">
      <c r="A316" s="1">
        <f t="shared" ca="1" si="18"/>
        <v>7243</v>
      </c>
      <c r="B316" s="29">
        <v>835</v>
      </c>
      <c r="C316" s="29">
        <v>30090</v>
      </c>
      <c r="D316" s="29">
        <v>266</v>
      </c>
      <c r="E316" s="29">
        <v>29824</v>
      </c>
      <c r="F316" s="29">
        <v>2990</v>
      </c>
      <c r="G316" s="39"/>
      <c r="H316" s="40"/>
      <c r="I316" s="52"/>
      <c r="J316" s="53"/>
      <c r="K316" s="17"/>
      <c r="L316" s="39"/>
      <c r="M316" s="43">
        <v>794</v>
      </c>
      <c r="N316" s="45" t="s">
        <v>108</v>
      </c>
      <c r="O316" s="55">
        <v>9</v>
      </c>
      <c r="P316" s="56"/>
      <c r="Q316" s="74"/>
      <c r="R316" s="70">
        <v>0</v>
      </c>
      <c r="S316" s="19"/>
      <c r="T316" s="60"/>
      <c r="U316" s="59" t="s">
        <v>108</v>
      </c>
    </row>
    <row r="317" spans="1:21" ht="15" customHeight="1" x14ac:dyDescent="0.25">
      <c r="A317" s="1">
        <f t="shared" ca="1" si="18"/>
        <v>7244</v>
      </c>
      <c r="B317" s="29">
        <v>830</v>
      </c>
      <c r="C317" s="29">
        <v>30046</v>
      </c>
      <c r="D317" s="29">
        <v>264</v>
      </c>
      <c r="E317" s="29">
        <v>29782</v>
      </c>
      <c r="F317" s="29">
        <v>2986</v>
      </c>
      <c r="G317" s="39"/>
      <c r="H317" s="40"/>
      <c r="I317" s="52"/>
      <c r="J317" s="53"/>
      <c r="K317" s="17"/>
      <c r="L317" s="39"/>
      <c r="M317" s="43">
        <v>778</v>
      </c>
      <c r="N317" s="45" t="s">
        <v>108</v>
      </c>
      <c r="O317" s="55">
        <v>4</v>
      </c>
      <c r="P317" s="56"/>
      <c r="Q317" s="74"/>
      <c r="R317" s="70">
        <v>0</v>
      </c>
      <c r="S317" s="19"/>
      <c r="T317" s="60"/>
      <c r="U317" s="59" t="s">
        <v>108</v>
      </c>
    </row>
    <row r="318" spans="1:21" x14ac:dyDescent="0.25">
      <c r="A318" s="1" t="str">
        <f t="shared" ca="1" si="18"/>
        <v>Totaal</v>
      </c>
      <c r="B318" s="61">
        <f>IF(COUNT(B287:B317)&gt;0,AVERAGE(B287:B317)/10,"")</f>
        <v>83.306451612903231</v>
      </c>
      <c r="C318" s="62">
        <f>IF(COUNT(C287:C317)&gt;0,AVERAGE(C287:C317)/1000,"")</f>
        <v>30.026290322580643</v>
      </c>
      <c r="D318" s="62">
        <f t="shared" ref="D318" si="19">IF(COUNT(D287:D317)&gt;0,AVERAGE(D287:D317)/1000,"")</f>
        <v>0.2645483870967742</v>
      </c>
      <c r="E318" s="62">
        <f t="shared" ref="E318" si="20">IF(COUNT(E287:E317)&gt;0,AVERAGE(E287:E317)/1000,"")</f>
        <v>29.760774193548386</v>
      </c>
      <c r="F318" s="62">
        <f>IF(COUNT(F287:F317)&gt;0,AVERAGE(F287:F317)/100,"")</f>
        <v>29.840967741935483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>
        <f>IF(COUNT(M287:M317)&gt;0,AVERAGE(M287:M317)/10,"")</f>
        <v>78.335483870967749</v>
      </c>
      <c r="N318" s="46"/>
      <c r="O318" s="57">
        <f>IF(COUNT(O287:O317)&gt;0,AVERAGE(O287:O317),"")</f>
        <v>6.4516129032258061</v>
      </c>
      <c r="P318" s="58" t="str">
        <f>IF(COUNT(P287:P317)&gt;0,AVERAGE(P287:P317),"")</f>
        <v/>
      </c>
      <c r="Q318" s="47"/>
      <c r="R318" s="68">
        <f>IF(COUNT(R287:R317)&gt;0,SUM(R287:R317)/100,"")</f>
        <v>1.35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7245</v>
      </c>
      <c r="B319" s="29">
        <v>830</v>
      </c>
      <c r="C319" s="29">
        <v>30067</v>
      </c>
      <c r="D319" s="29">
        <v>264</v>
      </c>
      <c r="E319" s="29">
        <v>29803</v>
      </c>
      <c r="F319" s="29">
        <v>2988</v>
      </c>
      <c r="G319" s="39"/>
      <c r="H319" s="40"/>
      <c r="I319" s="52"/>
      <c r="J319" s="53"/>
      <c r="K319" s="17"/>
      <c r="L319" s="39"/>
      <c r="M319" s="43">
        <v>773</v>
      </c>
      <c r="N319" s="45" t="s">
        <v>108</v>
      </c>
      <c r="O319" s="55">
        <v>6</v>
      </c>
      <c r="P319" s="56"/>
      <c r="Q319" s="74"/>
      <c r="R319" s="70">
        <v>3</v>
      </c>
      <c r="S319" s="19"/>
      <c r="T319" s="60"/>
      <c r="U319" s="59" t="s">
        <v>108</v>
      </c>
    </row>
    <row r="320" spans="1:21" ht="15" customHeight="1" x14ac:dyDescent="0.25">
      <c r="A320" s="1">
        <f t="shared" ca="1" si="18"/>
        <v>7246</v>
      </c>
      <c r="B320" s="29">
        <v>825</v>
      </c>
      <c r="C320" s="29">
        <v>30082</v>
      </c>
      <c r="D320" s="29">
        <v>263</v>
      </c>
      <c r="E320" s="29">
        <v>29819</v>
      </c>
      <c r="F320" s="29">
        <v>2990</v>
      </c>
      <c r="G320" s="39"/>
      <c r="H320" s="40"/>
      <c r="I320" s="52"/>
      <c r="J320" s="53"/>
      <c r="K320" s="17"/>
      <c r="L320" s="39"/>
      <c r="M320" s="43">
        <v>780</v>
      </c>
      <c r="N320" s="45" t="s">
        <v>108</v>
      </c>
      <c r="O320" s="55">
        <v>6</v>
      </c>
      <c r="P320" s="56"/>
      <c r="Q320" s="74"/>
      <c r="R320" s="70">
        <v>6</v>
      </c>
      <c r="S320" s="19"/>
      <c r="T320" s="60"/>
      <c r="U320" s="59" t="s">
        <v>108</v>
      </c>
    </row>
    <row r="321" spans="1:21" ht="15" customHeight="1" x14ac:dyDescent="0.25">
      <c r="A321" s="1">
        <f t="shared" ca="1" si="18"/>
        <v>7247</v>
      </c>
      <c r="B321" s="29">
        <v>830</v>
      </c>
      <c r="C321" s="29">
        <v>30090</v>
      </c>
      <c r="D321" s="29">
        <v>264</v>
      </c>
      <c r="E321" s="29">
        <v>29826</v>
      </c>
      <c r="F321" s="29">
        <v>2991</v>
      </c>
      <c r="G321" s="39"/>
      <c r="H321" s="40"/>
      <c r="I321" s="52"/>
      <c r="J321" s="53"/>
      <c r="K321" s="17"/>
      <c r="L321" s="39"/>
      <c r="M321" s="43">
        <v>741</v>
      </c>
      <c r="N321" s="45" t="s">
        <v>110</v>
      </c>
      <c r="O321" s="55">
        <v>8</v>
      </c>
      <c r="P321" s="56"/>
      <c r="Q321" s="74"/>
      <c r="R321" s="70">
        <v>12</v>
      </c>
      <c r="S321" s="19"/>
      <c r="T321" s="60"/>
      <c r="U321" s="59" t="s">
        <v>108</v>
      </c>
    </row>
    <row r="322" spans="1:21" ht="15" customHeight="1" x14ac:dyDescent="0.25">
      <c r="A322" s="1">
        <f t="shared" ca="1" si="18"/>
        <v>7248</v>
      </c>
      <c r="B322" s="29">
        <v>830</v>
      </c>
      <c r="C322" s="29">
        <v>30065</v>
      </c>
      <c r="D322" s="29">
        <v>264</v>
      </c>
      <c r="E322" s="29">
        <v>29801</v>
      </c>
      <c r="F322" s="29">
        <v>2988</v>
      </c>
      <c r="G322" s="39"/>
      <c r="H322" s="40"/>
      <c r="I322" s="52"/>
      <c r="J322" s="53"/>
      <c r="K322" s="17"/>
      <c r="L322" s="39"/>
      <c r="M322" s="43">
        <v>785</v>
      </c>
      <c r="N322" s="45" t="s">
        <v>108</v>
      </c>
      <c r="O322" s="55">
        <v>9</v>
      </c>
      <c r="P322" s="56"/>
      <c r="Q322" s="74"/>
      <c r="R322" s="70">
        <v>0</v>
      </c>
      <c r="S322" s="19"/>
      <c r="T322" s="60"/>
      <c r="U322" s="59" t="s">
        <v>108</v>
      </c>
    </row>
    <row r="323" spans="1:21" ht="15" customHeight="1" x14ac:dyDescent="0.25">
      <c r="A323" s="1">
        <f t="shared" ca="1" si="18"/>
        <v>7249</v>
      </c>
      <c r="B323" s="29">
        <v>830</v>
      </c>
      <c r="C323" s="29">
        <v>30065</v>
      </c>
      <c r="D323" s="29">
        <v>264</v>
      </c>
      <c r="E323" s="29">
        <v>29801</v>
      </c>
      <c r="F323" s="29">
        <v>2988</v>
      </c>
      <c r="G323" s="39"/>
      <c r="H323" s="40"/>
      <c r="I323" s="52"/>
      <c r="J323" s="53"/>
      <c r="K323" s="17"/>
      <c r="L323" s="39"/>
      <c r="M323" s="43">
        <v>796</v>
      </c>
      <c r="N323" s="45" t="s">
        <v>108</v>
      </c>
      <c r="O323" s="55">
        <v>10</v>
      </c>
      <c r="P323" s="56"/>
      <c r="Q323" s="74"/>
      <c r="R323" s="70">
        <v>0</v>
      </c>
      <c r="S323" s="19"/>
      <c r="T323" s="60"/>
      <c r="U323" s="59" t="s">
        <v>108</v>
      </c>
    </row>
    <row r="324" spans="1:21" ht="15" customHeight="1" x14ac:dyDescent="0.25">
      <c r="A324" s="1">
        <f t="shared" ca="1" si="18"/>
        <v>7250</v>
      </c>
      <c r="B324" s="29">
        <v>830</v>
      </c>
      <c r="C324" s="29">
        <v>30060</v>
      </c>
      <c r="D324" s="29">
        <v>264</v>
      </c>
      <c r="E324" s="29">
        <v>29796</v>
      </c>
      <c r="F324" s="29">
        <v>2988</v>
      </c>
      <c r="G324" s="39"/>
      <c r="H324" s="40"/>
      <c r="I324" s="52"/>
      <c r="J324" s="53"/>
      <c r="K324" s="17"/>
      <c r="L324" s="39"/>
      <c r="M324" s="43">
        <v>780</v>
      </c>
      <c r="N324" s="45" t="s">
        <v>108</v>
      </c>
      <c r="O324" s="55">
        <v>6</v>
      </c>
      <c r="P324" s="56"/>
      <c r="Q324" s="74"/>
      <c r="R324" s="70">
        <v>0</v>
      </c>
      <c r="S324" s="19"/>
      <c r="T324" s="60"/>
      <c r="U324" s="59" t="s">
        <v>108</v>
      </c>
    </row>
    <row r="325" spans="1:21" ht="15" customHeight="1" x14ac:dyDescent="0.25">
      <c r="A325" s="1">
        <f t="shared" ca="1" si="18"/>
        <v>7251</v>
      </c>
      <c r="B325" s="29">
        <v>825</v>
      </c>
      <c r="C325" s="29">
        <v>30015</v>
      </c>
      <c r="D325" s="29">
        <v>263</v>
      </c>
      <c r="E325" s="29">
        <v>29752</v>
      </c>
      <c r="F325" s="29">
        <v>2983</v>
      </c>
      <c r="G325" s="39"/>
      <c r="H325" s="40"/>
      <c r="I325" s="52"/>
      <c r="J325" s="53"/>
      <c r="K325" s="17"/>
      <c r="L325" s="39"/>
      <c r="M325" s="43">
        <v>780</v>
      </c>
      <c r="N325" s="45" t="s">
        <v>108</v>
      </c>
      <c r="O325" s="55">
        <v>5</v>
      </c>
      <c r="P325" s="56"/>
      <c r="Q325" s="74"/>
      <c r="R325" s="70">
        <v>0</v>
      </c>
      <c r="S325" s="19"/>
      <c r="T325" s="60"/>
      <c r="U325" s="59" t="s">
        <v>108</v>
      </c>
    </row>
    <row r="326" spans="1:21" ht="15" customHeight="1" x14ac:dyDescent="0.25">
      <c r="A326" s="1">
        <f t="shared" ca="1" si="18"/>
        <v>7252</v>
      </c>
      <c r="B326" s="29">
        <v>825</v>
      </c>
      <c r="C326" s="29">
        <v>30024</v>
      </c>
      <c r="D326" s="29">
        <v>263</v>
      </c>
      <c r="E326" s="29">
        <v>29761</v>
      </c>
      <c r="F326" s="29">
        <v>2984</v>
      </c>
      <c r="G326" s="39"/>
      <c r="H326" s="40"/>
      <c r="I326" s="52"/>
      <c r="J326" s="53"/>
      <c r="K326" s="17"/>
      <c r="L326" s="39"/>
      <c r="M326" s="43">
        <v>780</v>
      </c>
      <c r="N326" s="45" t="s">
        <v>106</v>
      </c>
      <c r="O326" s="55">
        <v>5</v>
      </c>
      <c r="P326" s="56"/>
      <c r="Q326" s="74"/>
      <c r="R326" s="70">
        <v>0</v>
      </c>
      <c r="S326" s="19"/>
      <c r="T326" s="60"/>
      <c r="U326" s="59" t="s">
        <v>108</v>
      </c>
    </row>
    <row r="327" spans="1:21" ht="15" customHeight="1" x14ac:dyDescent="0.25">
      <c r="A327" s="1">
        <f t="shared" ref="A327:A381" ca="1" si="22">IF(ISTEXT(A326),A325+1,IF(MONTH(A326+1)=MONTH(A326),A326+1,"Totaal"))</f>
        <v>7253</v>
      </c>
      <c r="B327" s="29">
        <v>820</v>
      </c>
      <c r="C327" s="29">
        <v>30015</v>
      </c>
      <c r="D327" s="29">
        <v>262</v>
      </c>
      <c r="E327" s="29">
        <v>29753</v>
      </c>
      <c r="F327" s="29">
        <v>2983</v>
      </c>
      <c r="G327" s="39"/>
      <c r="H327" s="40"/>
      <c r="I327" s="52"/>
      <c r="J327" s="53"/>
      <c r="K327" s="17"/>
      <c r="L327" s="39"/>
      <c r="M327" s="43">
        <v>776</v>
      </c>
      <c r="N327" s="45" t="s">
        <v>108</v>
      </c>
      <c r="O327" s="55">
        <v>5</v>
      </c>
      <c r="P327" s="56"/>
      <c r="Q327" s="74"/>
      <c r="R327" s="70">
        <v>0</v>
      </c>
      <c r="S327" s="19"/>
      <c r="T327" s="60"/>
      <c r="U327" s="59" t="s">
        <v>108</v>
      </c>
    </row>
    <row r="328" spans="1:21" ht="15" customHeight="1" x14ac:dyDescent="0.25">
      <c r="A328" s="1">
        <f t="shared" ca="1" si="22"/>
        <v>7254</v>
      </c>
      <c r="B328" s="29">
        <v>830</v>
      </c>
      <c r="C328" s="29">
        <v>30012</v>
      </c>
      <c r="D328" s="29">
        <v>264</v>
      </c>
      <c r="E328" s="29">
        <v>29748</v>
      </c>
      <c r="F328" s="29">
        <v>2983</v>
      </c>
      <c r="G328" s="39"/>
      <c r="H328" s="40"/>
      <c r="I328" s="52"/>
      <c r="J328" s="53"/>
      <c r="K328" s="17"/>
      <c r="L328" s="39"/>
      <c r="M328" s="43">
        <v>774</v>
      </c>
      <c r="N328" s="45" t="s">
        <v>108</v>
      </c>
      <c r="O328" s="55">
        <v>5</v>
      </c>
      <c r="P328" s="56"/>
      <c r="Q328" s="74"/>
      <c r="R328" s="70">
        <v>0</v>
      </c>
      <c r="S328" s="19"/>
      <c r="T328" s="60"/>
      <c r="U328" s="59" t="s">
        <v>108</v>
      </c>
    </row>
    <row r="329" spans="1:21" ht="15" customHeight="1" x14ac:dyDescent="0.25">
      <c r="A329" s="1">
        <f t="shared" ca="1" si="22"/>
        <v>7255</v>
      </c>
      <c r="B329" s="29">
        <v>820</v>
      </c>
      <c r="C329" s="29">
        <v>30006</v>
      </c>
      <c r="D329" s="29">
        <v>262</v>
      </c>
      <c r="E329" s="29">
        <v>29744</v>
      </c>
      <c r="F329" s="29">
        <v>2982</v>
      </c>
      <c r="G329" s="39"/>
      <c r="H329" s="40"/>
      <c r="I329" s="52"/>
      <c r="J329" s="53"/>
      <c r="K329" s="17"/>
      <c r="L329" s="39"/>
      <c r="M329" s="43">
        <v>782</v>
      </c>
      <c r="N329" s="45" t="s">
        <v>108</v>
      </c>
      <c r="O329" s="55">
        <v>3</v>
      </c>
      <c r="P329" s="56"/>
      <c r="Q329" s="74"/>
      <c r="R329" s="70">
        <v>0</v>
      </c>
      <c r="S329" s="19"/>
      <c r="T329" s="60"/>
      <c r="U329" s="59" t="s">
        <v>108</v>
      </c>
    </row>
    <row r="330" spans="1:21" ht="15" customHeight="1" x14ac:dyDescent="0.25">
      <c r="A330" s="1">
        <f t="shared" ca="1" si="22"/>
        <v>7256</v>
      </c>
      <c r="B330" s="29">
        <v>805</v>
      </c>
      <c r="C330" s="29">
        <v>29984</v>
      </c>
      <c r="D330" s="29">
        <v>261</v>
      </c>
      <c r="E330" s="29">
        <v>29723</v>
      </c>
      <c r="F330" s="29">
        <v>2980</v>
      </c>
      <c r="G330" s="39"/>
      <c r="H330" s="40"/>
      <c r="I330" s="52"/>
      <c r="J330" s="53"/>
      <c r="K330" s="17"/>
      <c r="L330" s="39"/>
      <c r="M330" s="43">
        <v>751</v>
      </c>
      <c r="N330" s="45" t="s">
        <v>106</v>
      </c>
      <c r="O330" s="55">
        <v>7</v>
      </c>
      <c r="P330" s="56"/>
      <c r="Q330" s="74"/>
      <c r="R330" s="70">
        <v>10</v>
      </c>
      <c r="S330" s="19"/>
      <c r="T330" s="60"/>
      <c r="U330" s="59" t="s">
        <v>108</v>
      </c>
    </row>
    <row r="331" spans="1:21" ht="15" customHeight="1" x14ac:dyDescent="0.25">
      <c r="A331" s="1">
        <f t="shared" ca="1" si="22"/>
        <v>7257</v>
      </c>
      <c r="B331" s="29">
        <v>810</v>
      </c>
      <c r="C331" s="29">
        <v>29968</v>
      </c>
      <c r="D331" s="29">
        <v>257</v>
      </c>
      <c r="E331" s="29">
        <v>29711</v>
      </c>
      <c r="F331" s="29">
        <v>2979</v>
      </c>
      <c r="G331" s="39"/>
      <c r="H331" s="40"/>
      <c r="I331" s="52"/>
      <c r="J331" s="53"/>
      <c r="K331" s="17"/>
      <c r="L331" s="39"/>
      <c r="M331" s="43">
        <v>742</v>
      </c>
      <c r="N331" s="45" t="s">
        <v>108</v>
      </c>
      <c r="O331" s="55">
        <v>3</v>
      </c>
      <c r="P331" s="56"/>
      <c r="Q331" s="74"/>
      <c r="R331" s="70">
        <v>0</v>
      </c>
      <c r="S331" s="19"/>
      <c r="T331" s="60"/>
      <c r="U331" s="59" t="s">
        <v>108</v>
      </c>
    </row>
    <row r="332" spans="1:21" ht="15" customHeight="1" x14ac:dyDescent="0.25">
      <c r="A332" s="1">
        <f t="shared" ca="1" si="22"/>
        <v>7258</v>
      </c>
      <c r="B332" s="29">
        <v>805</v>
      </c>
      <c r="C332" s="29">
        <v>29992</v>
      </c>
      <c r="D332" s="29">
        <v>255</v>
      </c>
      <c r="E332" s="29">
        <v>29737</v>
      </c>
      <c r="F332" s="29">
        <v>2982</v>
      </c>
      <c r="G332" s="39"/>
      <c r="H332" s="40"/>
      <c r="I332" s="52"/>
      <c r="J332" s="53"/>
      <c r="K332" s="17"/>
      <c r="L332" s="39"/>
      <c r="M332" s="43">
        <v>773</v>
      </c>
      <c r="N332" s="45" t="s">
        <v>108</v>
      </c>
      <c r="O332" s="55">
        <v>5</v>
      </c>
      <c r="P332" s="56"/>
      <c r="Q332" s="74"/>
      <c r="R332" s="70">
        <v>0</v>
      </c>
      <c r="S332" s="19"/>
      <c r="T332" s="60"/>
      <c r="U332" s="59" t="s">
        <v>108</v>
      </c>
    </row>
    <row r="333" spans="1:21" ht="15" customHeight="1" x14ac:dyDescent="0.25">
      <c r="A333" s="1">
        <f t="shared" ca="1" si="22"/>
        <v>7259</v>
      </c>
      <c r="B333" s="29">
        <v>810</v>
      </c>
      <c r="C333" s="29">
        <v>30072</v>
      </c>
      <c r="D333" s="29">
        <v>259</v>
      </c>
      <c r="E333" s="29">
        <v>29813</v>
      </c>
      <c r="F333" s="29">
        <v>2989</v>
      </c>
      <c r="G333" s="39"/>
      <c r="H333" s="40"/>
      <c r="I333" s="52"/>
      <c r="J333" s="53"/>
      <c r="K333" s="17"/>
      <c r="L333" s="39"/>
      <c r="M333" s="43">
        <v>762</v>
      </c>
      <c r="N333" s="45" t="s">
        <v>108</v>
      </c>
      <c r="O333" s="55">
        <v>4</v>
      </c>
      <c r="P333" s="56"/>
      <c r="Q333" s="74"/>
      <c r="R333" s="70">
        <v>3</v>
      </c>
      <c r="S333" s="19"/>
      <c r="T333" s="60"/>
      <c r="U333" s="59" t="s">
        <v>108</v>
      </c>
    </row>
    <row r="334" spans="1:21" ht="15" customHeight="1" x14ac:dyDescent="0.25">
      <c r="A334" s="1">
        <f t="shared" ca="1" si="22"/>
        <v>7260</v>
      </c>
      <c r="B334" s="29">
        <v>810</v>
      </c>
      <c r="C334" s="29">
        <v>30040</v>
      </c>
      <c r="D334" s="29">
        <v>259</v>
      </c>
      <c r="E334" s="29">
        <v>29781</v>
      </c>
      <c r="F334" s="29">
        <v>2986</v>
      </c>
      <c r="G334" s="39"/>
      <c r="H334" s="40"/>
      <c r="I334" s="52"/>
      <c r="J334" s="53"/>
      <c r="K334" s="17"/>
      <c r="L334" s="39"/>
      <c r="M334" s="43">
        <v>772</v>
      </c>
      <c r="N334" s="45" t="s">
        <v>108</v>
      </c>
      <c r="O334" s="55">
        <v>8</v>
      </c>
      <c r="P334" s="56"/>
      <c r="Q334" s="74"/>
      <c r="R334" s="70">
        <v>0</v>
      </c>
      <c r="S334" s="19"/>
      <c r="T334" s="60"/>
      <c r="U334" s="59" t="s">
        <v>108</v>
      </c>
    </row>
    <row r="335" spans="1:21" ht="15" customHeight="1" x14ac:dyDescent="0.25">
      <c r="A335" s="1">
        <f t="shared" ca="1" si="22"/>
        <v>7261</v>
      </c>
      <c r="B335" s="29">
        <v>820</v>
      </c>
      <c r="C335" s="29">
        <v>30016</v>
      </c>
      <c r="D335" s="29">
        <v>262</v>
      </c>
      <c r="E335" s="29">
        <v>29754</v>
      </c>
      <c r="F335" s="29">
        <v>2983</v>
      </c>
      <c r="G335" s="39"/>
      <c r="H335" s="40"/>
      <c r="I335" s="52"/>
      <c r="J335" s="53"/>
      <c r="K335" s="17"/>
      <c r="L335" s="39"/>
      <c r="M335" s="43">
        <v>782</v>
      </c>
      <c r="N335" s="45" t="s">
        <v>108</v>
      </c>
      <c r="O335" s="55">
        <v>7</v>
      </c>
      <c r="P335" s="56"/>
      <c r="Q335" s="74"/>
      <c r="R335" s="70">
        <v>2</v>
      </c>
      <c r="S335" s="19"/>
      <c r="T335" s="60"/>
      <c r="U335" s="59" t="s">
        <v>108</v>
      </c>
    </row>
    <row r="336" spans="1:21" ht="15" customHeight="1" x14ac:dyDescent="0.25">
      <c r="A336" s="1">
        <f t="shared" ca="1" si="22"/>
        <v>7262</v>
      </c>
      <c r="B336" s="29">
        <v>815</v>
      </c>
      <c r="C336" s="29">
        <v>29992</v>
      </c>
      <c r="D336" s="29">
        <v>258</v>
      </c>
      <c r="E336" s="29">
        <v>29734</v>
      </c>
      <c r="F336" s="29">
        <v>2981</v>
      </c>
      <c r="G336" s="39"/>
      <c r="H336" s="40"/>
      <c r="I336" s="52"/>
      <c r="J336" s="53"/>
      <c r="K336" s="17"/>
      <c r="L336" s="39"/>
      <c r="M336" s="43">
        <v>780</v>
      </c>
      <c r="N336" s="45" t="s">
        <v>108</v>
      </c>
      <c r="O336" s="55">
        <v>2</v>
      </c>
      <c r="P336" s="56"/>
      <c r="Q336" s="74"/>
      <c r="R336" s="70">
        <v>0</v>
      </c>
      <c r="S336" s="19"/>
      <c r="T336" s="60"/>
      <c r="U336" s="59" t="s">
        <v>108</v>
      </c>
    </row>
    <row r="337" spans="1:21" ht="15" customHeight="1" x14ac:dyDescent="0.25">
      <c r="A337" s="1">
        <f t="shared" ca="1" si="22"/>
        <v>7263</v>
      </c>
      <c r="B337" s="29">
        <v>820</v>
      </c>
      <c r="C337" s="29">
        <v>30018</v>
      </c>
      <c r="D337" s="29">
        <v>262</v>
      </c>
      <c r="E337" s="29">
        <v>29756</v>
      </c>
      <c r="F337" s="29">
        <v>2984</v>
      </c>
      <c r="G337" s="39"/>
      <c r="H337" s="40"/>
      <c r="I337" s="52"/>
      <c r="J337" s="53"/>
      <c r="K337" s="17"/>
      <c r="L337" s="39"/>
      <c r="M337" s="43">
        <v>775</v>
      </c>
      <c r="N337" s="45" t="s">
        <v>108</v>
      </c>
      <c r="O337" s="55">
        <v>2</v>
      </c>
      <c r="P337" s="56"/>
      <c r="Q337" s="74"/>
      <c r="R337" s="70">
        <v>0</v>
      </c>
      <c r="S337" s="19"/>
      <c r="T337" s="60"/>
      <c r="U337" s="59" t="s">
        <v>108</v>
      </c>
    </row>
    <row r="338" spans="1:21" ht="15" customHeight="1" x14ac:dyDescent="0.25">
      <c r="A338" s="1">
        <f t="shared" ca="1" si="22"/>
        <v>7264</v>
      </c>
      <c r="B338" s="29">
        <v>825</v>
      </c>
      <c r="C338" s="29">
        <v>30065</v>
      </c>
      <c r="D338" s="29">
        <v>263</v>
      </c>
      <c r="E338" s="29">
        <v>29802</v>
      </c>
      <c r="F338" s="29">
        <v>2988</v>
      </c>
      <c r="G338" s="39"/>
      <c r="H338" s="40"/>
      <c r="I338" s="52"/>
      <c r="J338" s="53"/>
      <c r="K338" s="17"/>
      <c r="L338" s="39"/>
      <c r="M338" s="43">
        <v>796</v>
      </c>
      <c r="N338" s="45" t="s">
        <v>108</v>
      </c>
      <c r="O338" s="55">
        <v>8</v>
      </c>
      <c r="P338" s="56"/>
      <c r="Q338" s="74"/>
      <c r="R338" s="70">
        <v>0</v>
      </c>
      <c r="S338" s="19"/>
      <c r="T338" s="60"/>
      <c r="U338" s="59" t="s">
        <v>108</v>
      </c>
    </row>
    <row r="339" spans="1:21" ht="15" customHeight="1" x14ac:dyDescent="0.25">
      <c r="A339" s="1">
        <f t="shared" ca="1" si="22"/>
        <v>7265</v>
      </c>
      <c r="B339" s="29">
        <v>825</v>
      </c>
      <c r="C339" s="29">
        <v>30065</v>
      </c>
      <c r="D339" s="29">
        <v>263</v>
      </c>
      <c r="E339" s="29">
        <v>29802</v>
      </c>
      <c r="F339" s="29">
        <v>2988</v>
      </c>
      <c r="G339" s="39"/>
      <c r="H339" s="40"/>
      <c r="I339" s="52"/>
      <c r="J339" s="53"/>
      <c r="K339" s="17"/>
      <c r="L339" s="39"/>
      <c r="M339" s="43">
        <v>770</v>
      </c>
      <c r="N339" s="45" t="s">
        <v>108</v>
      </c>
      <c r="O339" s="55">
        <v>7</v>
      </c>
      <c r="P339" s="56"/>
      <c r="Q339" s="74"/>
      <c r="R339" s="70">
        <v>6</v>
      </c>
      <c r="S339" s="19"/>
      <c r="T339" s="60"/>
      <c r="U339" s="59" t="s">
        <v>108</v>
      </c>
    </row>
    <row r="340" spans="1:21" ht="15" customHeight="1" x14ac:dyDescent="0.25">
      <c r="A340" s="1">
        <f t="shared" ca="1" si="22"/>
        <v>7266</v>
      </c>
      <c r="B340" s="29">
        <v>820</v>
      </c>
      <c r="C340" s="29">
        <v>30038</v>
      </c>
      <c r="D340" s="29">
        <v>262</v>
      </c>
      <c r="E340" s="29">
        <v>29776</v>
      </c>
      <c r="F340" s="29">
        <v>2986</v>
      </c>
      <c r="G340" s="39"/>
      <c r="H340" s="40"/>
      <c r="I340" s="52"/>
      <c r="J340" s="53"/>
      <c r="K340" s="17"/>
      <c r="L340" s="39"/>
      <c r="M340" s="43">
        <v>788</v>
      </c>
      <c r="N340" s="45" t="s">
        <v>106</v>
      </c>
      <c r="O340" s="55">
        <v>2</v>
      </c>
      <c r="P340" s="56"/>
      <c r="Q340" s="74"/>
      <c r="R340" s="70">
        <v>4</v>
      </c>
      <c r="S340" s="19"/>
      <c r="T340" s="60"/>
      <c r="U340" s="59" t="s">
        <v>106</v>
      </c>
    </row>
    <row r="341" spans="1:21" ht="15" customHeight="1" x14ac:dyDescent="0.25">
      <c r="A341" s="1">
        <f t="shared" ca="1" si="22"/>
        <v>7267</v>
      </c>
      <c r="B341" s="29">
        <v>810</v>
      </c>
      <c r="C341" s="29">
        <v>30022</v>
      </c>
      <c r="D341" s="29">
        <v>270</v>
      </c>
      <c r="E341" s="29">
        <v>29752</v>
      </c>
      <c r="F341" s="29">
        <v>2983</v>
      </c>
      <c r="G341" s="39"/>
      <c r="H341" s="40"/>
      <c r="I341" s="52"/>
      <c r="J341" s="53"/>
      <c r="K341" s="17"/>
      <c r="L341" s="39"/>
      <c r="M341" s="43">
        <v>746</v>
      </c>
      <c r="N341" s="45" t="s">
        <v>108</v>
      </c>
      <c r="O341" s="55">
        <v>2</v>
      </c>
      <c r="P341" s="56"/>
      <c r="Q341" s="74"/>
      <c r="R341" s="70">
        <v>3</v>
      </c>
      <c r="S341" s="19"/>
      <c r="T341" s="60"/>
      <c r="U341" s="59" t="s">
        <v>108</v>
      </c>
    </row>
    <row r="342" spans="1:21" ht="15" customHeight="1" x14ac:dyDescent="0.25">
      <c r="A342" s="1">
        <f t="shared" ca="1" si="22"/>
        <v>7268</v>
      </c>
      <c r="B342" s="29">
        <v>810</v>
      </c>
      <c r="C342" s="29">
        <v>30010</v>
      </c>
      <c r="D342" s="29">
        <v>259</v>
      </c>
      <c r="E342" s="29">
        <v>29751</v>
      </c>
      <c r="F342" s="29">
        <v>2983</v>
      </c>
      <c r="G342" s="39"/>
      <c r="H342" s="40"/>
      <c r="I342" s="52"/>
      <c r="J342" s="53"/>
      <c r="K342" s="17"/>
      <c r="L342" s="39"/>
      <c r="M342" s="43">
        <v>775</v>
      </c>
      <c r="N342" s="45" t="s">
        <v>108</v>
      </c>
      <c r="O342" s="55">
        <v>4</v>
      </c>
      <c r="P342" s="56"/>
      <c r="Q342" s="74"/>
      <c r="R342" s="70">
        <v>0</v>
      </c>
      <c r="S342" s="19"/>
      <c r="T342" s="60"/>
      <c r="U342" s="59" t="s">
        <v>108</v>
      </c>
    </row>
    <row r="343" spans="1:21" ht="15" customHeight="1" x14ac:dyDescent="0.25">
      <c r="A343" s="1">
        <f t="shared" ca="1" si="22"/>
        <v>7269</v>
      </c>
      <c r="B343" s="29">
        <v>820</v>
      </c>
      <c r="C343" s="29">
        <v>30046</v>
      </c>
      <c r="D343" s="29">
        <v>262</v>
      </c>
      <c r="E343" s="29">
        <v>29784</v>
      </c>
      <c r="F343" s="29">
        <v>2986</v>
      </c>
      <c r="G343" s="39"/>
      <c r="H343" s="40"/>
      <c r="I343" s="52"/>
      <c r="J343" s="53"/>
      <c r="K343" s="17"/>
      <c r="L343" s="39"/>
      <c r="M343" s="43">
        <v>790</v>
      </c>
      <c r="N343" s="45" t="s">
        <v>108</v>
      </c>
      <c r="O343" s="55">
        <v>8</v>
      </c>
      <c r="P343" s="56"/>
      <c r="Q343" s="74"/>
      <c r="R343" s="70">
        <v>0</v>
      </c>
      <c r="S343" s="19"/>
      <c r="T343" s="60"/>
      <c r="U343" s="59" t="s">
        <v>108</v>
      </c>
    </row>
    <row r="344" spans="1:21" ht="15" customHeight="1" x14ac:dyDescent="0.25">
      <c r="A344" s="1">
        <f t="shared" ca="1" si="22"/>
        <v>7270</v>
      </c>
      <c r="B344" s="29">
        <v>815</v>
      </c>
      <c r="C344" s="29">
        <v>30043</v>
      </c>
      <c r="D344" s="29">
        <v>260</v>
      </c>
      <c r="E344" s="29">
        <v>29783</v>
      </c>
      <c r="F344" s="29">
        <v>2986</v>
      </c>
      <c r="G344" s="39"/>
      <c r="H344" s="40"/>
      <c r="I344" s="52"/>
      <c r="J344" s="53"/>
      <c r="K344" s="17"/>
      <c r="L344" s="39"/>
      <c r="M344" s="43">
        <v>753</v>
      </c>
      <c r="N344" s="45" t="s">
        <v>108</v>
      </c>
      <c r="O344" s="55">
        <v>5</v>
      </c>
      <c r="P344" s="56"/>
      <c r="Q344" s="74"/>
      <c r="R344" s="70">
        <v>24</v>
      </c>
      <c r="S344" s="19"/>
      <c r="T344" s="60"/>
      <c r="U344" s="59" t="s">
        <v>108</v>
      </c>
    </row>
    <row r="345" spans="1:21" ht="15" customHeight="1" x14ac:dyDescent="0.25">
      <c r="A345" s="1">
        <f t="shared" ca="1" si="22"/>
        <v>7271</v>
      </c>
      <c r="B345" s="29">
        <v>800</v>
      </c>
      <c r="C345" s="29">
        <v>29960</v>
      </c>
      <c r="D345" s="29">
        <v>254</v>
      </c>
      <c r="E345" s="29">
        <v>29706</v>
      </c>
      <c r="F345" s="29">
        <v>2979</v>
      </c>
      <c r="G345" s="39"/>
      <c r="H345" s="40"/>
      <c r="I345" s="52"/>
      <c r="J345" s="53"/>
      <c r="K345" s="17"/>
      <c r="L345" s="39"/>
      <c r="M345" s="43">
        <v>741</v>
      </c>
      <c r="N345" s="45" t="s">
        <v>108</v>
      </c>
      <c r="O345" s="55">
        <v>5</v>
      </c>
      <c r="P345" s="56"/>
      <c r="Q345" s="74"/>
      <c r="R345" s="70">
        <v>3</v>
      </c>
      <c r="S345" s="19"/>
      <c r="T345" s="60"/>
      <c r="U345" s="59" t="s">
        <v>108</v>
      </c>
    </row>
    <row r="346" spans="1:21" ht="15" customHeight="1" x14ac:dyDescent="0.25">
      <c r="A346" s="1">
        <f t="shared" ca="1" si="22"/>
        <v>7272</v>
      </c>
      <c r="B346" s="29">
        <v>840</v>
      </c>
      <c r="C346" s="29">
        <v>29948</v>
      </c>
      <c r="D346" s="29">
        <v>265</v>
      </c>
      <c r="E346" s="29">
        <v>29683</v>
      </c>
      <c r="F346" s="29">
        <v>2976</v>
      </c>
      <c r="G346" s="39"/>
      <c r="H346" s="40"/>
      <c r="I346" s="52"/>
      <c r="J346" s="53"/>
      <c r="K346" s="17"/>
      <c r="L346" s="39"/>
      <c r="M346" s="43">
        <v>718</v>
      </c>
      <c r="N346" s="45" t="s">
        <v>108</v>
      </c>
      <c r="O346" s="55">
        <v>7</v>
      </c>
      <c r="P346" s="56"/>
      <c r="Q346" s="74"/>
      <c r="R346" s="70">
        <v>106</v>
      </c>
      <c r="S346" s="19"/>
      <c r="T346" s="60"/>
      <c r="U346" s="59" t="s">
        <v>108</v>
      </c>
    </row>
    <row r="347" spans="1:21" ht="15" customHeight="1" x14ac:dyDescent="0.25">
      <c r="A347" s="1">
        <f t="shared" ca="1" si="22"/>
        <v>7273</v>
      </c>
      <c r="B347" s="29">
        <v>810</v>
      </c>
      <c r="C347" s="29">
        <v>29941</v>
      </c>
      <c r="D347" s="29">
        <v>257</v>
      </c>
      <c r="E347" s="29">
        <v>29684</v>
      </c>
      <c r="F347" s="29">
        <v>2976</v>
      </c>
      <c r="G347" s="39"/>
      <c r="H347" s="40"/>
      <c r="I347" s="52"/>
      <c r="J347" s="53"/>
      <c r="K347" s="17"/>
      <c r="L347" s="39"/>
      <c r="M347" s="43">
        <v>723</v>
      </c>
      <c r="N347" s="45" t="s">
        <v>108</v>
      </c>
      <c r="O347" s="55">
        <v>3</v>
      </c>
      <c r="P347" s="56"/>
      <c r="Q347" s="74"/>
      <c r="R347" s="70">
        <v>0</v>
      </c>
      <c r="S347" s="19"/>
      <c r="T347" s="60"/>
      <c r="U347" s="59" t="s">
        <v>108</v>
      </c>
    </row>
    <row r="348" spans="1:21" ht="15" customHeight="1" x14ac:dyDescent="0.25">
      <c r="A348" s="1">
        <f t="shared" ca="1" si="22"/>
        <v>7274</v>
      </c>
      <c r="B348" s="29">
        <v>810</v>
      </c>
      <c r="C348" s="29">
        <v>29941</v>
      </c>
      <c r="D348" s="29">
        <v>257</v>
      </c>
      <c r="E348" s="29">
        <v>29654</v>
      </c>
      <c r="F348" s="29">
        <v>2976</v>
      </c>
      <c r="G348" s="39"/>
      <c r="H348" s="40"/>
      <c r="I348" s="52"/>
      <c r="J348" s="53"/>
      <c r="K348" s="17"/>
      <c r="L348" s="39"/>
      <c r="M348" s="43">
        <v>741</v>
      </c>
      <c r="N348" s="45" t="s">
        <v>108</v>
      </c>
      <c r="O348" s="55">
        <v>8</v>
      </c>
      <c r="P348" s="56"/>
      <c r="Q348" s="74"/>
      <c r="R348" s="70">
        <v>32</v>
      </c>
      <c r="S348" s="19"/>
      <c r="T348" s="60"/>
      <c r="U348" s="59" t="s">
        <v>108</v>
      </c>
    </row>
    <row r="349" spans="1:21" x14ac:dyDescent="0.25">
      <c r="A349" s="1" t="str">
        <f t="shared" ca="1" si="22"/>
        <v>Totaal</v>
      </c>
      <c r="B349" s="61">
        <f>IF(COUNT(B319:B348)&gt;0,AVERAGE(B319:B348)/10,"")</f>
        <v>81.916666666666657</v>
      </c>
      <c r="C349" s="62">
        <f>IF(COUNT(C319:C348)&gt;0,AVERAGE(C319:C348)/1000,"")</f>
        <v>30.022066666666667</v>
      </c>
      <c r="D349" s="62">
        <f>IF(COUNT(D319:D348)&gt;0,AVERAGE(D319:D348)/1000,"")</f>
        <v>0.26139999999999997</v>
      </c>
      <c r="E349" s="62">
        <f>IF(COUNT(E319:E348)&gt;0,AVERAGE(E319:E348)/1000,"")</f>
        <v>29.759666666666668</v>
      </c>
      <c r="F349" s="62">
        <f>IF(COUNT(F319:F348)&gt;0,AVERAGE(F319:F348)/100,"")</f>
        <v>29.839666666666666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>
        <f>IF(COUNT(M319:M348)&gt;0,AVERAGE(M319:M348)/10,"")</f>
        <v>76.75</v>
      </c>
      <c r="N349" s="46"/>
      <c r="O349" s="57">
        <f>IF(COUNT(O319:O348)&gt;0,AVERAGE(O319:O348),"")</f>
        <v>5.5</v>
      </c>
      <c r="P349" s="58" t="str">
        <f>IF(COUNT(P319:P348)&gt;0,AVERAGE(P319:P348),"")</f>
        <v/>
      </c>
      <c r="Q349" s="47"/>
      <c r="R349" s="68">
        <f>IF(COUNT(R319:R348)&gt;0,SUM(R319:R348)/100,"")</f>
        <v>2.14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7275</v>
      </c>
      <c r="B350" s="29">
        <v>815</v>
      </c>
      <c r="C350" s="29">
        <v>30053</v>
      </c>
      <c r="D350" s="29">
        <v>260</v>
      </c>
      <c r="E350" s="29">
        <v>29793</v>
      </c>
      <c r="F350" s="29">
        <v>2987</v>
      </c>
      <c r="G350" s="39"/>
      <c r="H350" s="40"/>
      <c r="I350" s="52"/>
      <c r="J350" s="53"/>
      <c r="K350" s="17"/>
      <c r="L350" s="39">
        <v>800</v>
      </c>
      <c r="M350" s="43">
        <v>761</v>
      </c>
      <c r="N350" s="45" t="s">
        <v>108</v>
      </c>
      <c r="O350" s="55">
        <v>6</v>
      </c>
      <c r="P350" s="56"/>
      <c r="Q350" s="74"/>
      <c r="R350" s="70">
        <v>4</v>
      </c>
      <c r="S350" s="19"/>
      <c r="T350" s="60"/>
      <c r="U350" s="59" t="s">
        <v>108</v>
      </c>
    </row>
    <row r="351" spans="1:21" ht="15" customHeight="1" x14ac:dyDescent="0.25">
      <c r="A351" s="1">
        <f t="shared" ca="1" si="22"/>
        <v>7276</v>
      </c>
      <c r="B351" s="29">
        <v>815</v>
      </c>
      <c r="C351" s="29">
        <v>30060</v>
      </c>
      <c r="D351" s="29">
        <v>260</v>
      </c>
      <c r="E351" s="29">
        <v>29800</v>
      </c>
      <c r="F351" s="29">
        <v>2988</v>
      </c>
      <c r="G351" s="39"/>
      <c r="H351" s="40"/>
      <c r="I351" s="52"/>
      <c r="J351" s="53"/>
      <c r="K351" s="17"/>
      <c r="L351" s="39">
        <v>867</v>
      </c>
      <c r="M351" s="43">
        <v>778</v>
      </c>
      <c r="N351" s="45" t="s">
        <v>108</v>
      </c>
      <c r="O351" s="55">
        <v>6</v>
      </c>
      <c r="P351" s="56"/>
      <c r="Q351" s="74"/>
      <c r="R351" s="70">
        <v>0</v>
      </c>
      <c r="S351" s="19"/>
      <c r="T351" s="60"/>
      <c r="U351" s="59" t="s">
        <v>108</v>
      </c>
    </row>
    <row r="352" spans="1:21" ht="15" customHeight="1" x14ac:dyDescent="0.25">
      <c r="A352" s="1">
        <f t="shared" ca="1" si="22"/>
        <v>7277</v>
      </c>
      <c r="B352" s="29">
        <v>810</v>
      </c>
      <c r="C352" s="29">
        <v>30037</v>
      </c>
      <c r="D352" s="29">
        <v>259</v>
      </c>
      <c r="E352" s="29">
        <v>29778</v>
      </c>
      <c r="F352" s="29">
        <v>2986</v>
      </c>
      <c r="G352" s="39"/>
      <c r="H352" s="40"/>
      <c r="I352" s="52"/>
      <c r="J352" s="53"/>
      <c r="K352" s="17"/>
      <c r="L352" s="39">
        <v>860</v>
      </c>
      <c r="M352" s="43">
        <v>757</v>
      </c>
      <c r="N352" s="45" t="s">
        <v>108</v>
      </c>
      <c r="O352" s="55">
        <v>6</v>
      </c>
      <c r="P352" s="56"/>
      <c r="Q352" s="74"/>
      <c r="R352" s="70">
        <v>4</v>
      </c>
      <c r="S352" s="19"/>
      <c r="T352" s="60"/>
      <c r="U352" s="59" t="s">
        <v>108</v>
      </c>
    </row>
    <row r="353" spans="1:21" ht="15" customHeight="1" x14ac:dyDescent="0.25">
      <c r="A353" s="1">
        <f t="shared" ca="1" si="22"/>
        <v>7278</v>
      </c>
      <c r="B353" s="29">
        <v>810</v>
      </c>
      <c r="C353" s="29">
        <v>30061</v>
      </c>
      <c r="D353" s="29">
        <v>259</v>
      </c>
      <c r="E353" s="29">
        <v>29802</v>
      </c>
      <c r="F353" s="29">
        <v>2988</v>
      </c>
      <c r="G353" s="39"/>
      <c r="H353" s="40"/>
      <c r="I353" s="52"/>
      <c r="J353" s="53"/>
      <c r="K353" s="17"/>
      <c r="L353" s="39">
        <v>859</v>
      </c>
      <c r="M353" s="43">
        <v>776</v>
      </c>
      <c r="N353" s="45" t="s">
        <v>106</v>
      </c>
      <c r="O353" s="55">
        <v>8</v>
      </c>
      <c r="P353" s="56"/>
      <c r="Q353" s="74"/>
      <c r="R353" s="70">
        <v>0</v>
      </c>
      <c r="S353" s="19"/>
      <c r="T353" s="60"/>
      <c r="U353" s="59" t="s">
        <v>108</v>
      </c>
    </row>
    <row r="354" spans="1:21" ht="15" customHeight="1" x14ac:dyDescent="0.25">
      <c r="A354" s="1">
        <f t="shared" ca="1" si="22"/>
        <v>7279</v>
      </c>
      <c r="B354" s="29">
        <v>805</v>
      </c>
      <c r="C354" s="29">
        <v>30092</v>
      </c>
      <c r="D354" s="29">
        <v>258</v>
      </c>
      <c r="E354" s="29">
        <v>29834</v>
      </c>
      <c r="F354" s="29">
        <v>2991</v>
      </c>
      <c r="G354" s="39"/>
      <c r="H354" s="40"/>
      <c r="I354" s="52"/>
      <c r="J354" s="53"/>
      <c r="K354" s="17"/>
      <c r="L354" s="39">
        <v>851</v>
      </c>
      <c r="M354" s="43">
        <v>768</v>
      </c>
      <c r="N354" s="45" t="s">
        <v>108</v>
      </c>
      <c r="O354" s="55">
        <v>8</v>
      </c>
      <c r="P354" s="56"/>
      <c r="Q354" s="74"/>
      <c r="R354" s="70">
        <v>0</v>
      </c>
      <c r="S354" s="19"/>
      <c r="T354" s="60"/>
      <c r="U354" s="59" t="s">
        <v>108</v>
      </c>
    </row>
    <row r="355" spans="1:21" ht="15" customHeight="1" x14ac:dyDescent="0.25">
      <c r="A355" s="1">
        <f t="shared" ca="1" si="22"/>
        <v>7280</v>
      </c>
      <c r="B355" s="29">
        <v>810</v>
      </c>
      <c r="C355" s="29">
        <v>30093</v>
      </c>
      <c r="D355" s="29">
        <v>259</v>
      </c>
      <c r="E355" s="29">
        <v>29834</v>
      </c>
      <c r="F355" s="29">
        <v>2991</v>
      </c>
      <c r="G355" s="39"/>
      <c r="H355" s="40"/>
      <c r="I355" s="52"/>
      <c r="J355" s="53"/>
      <c r="K355" s="17"/>
      <c r="L355" s="39">
        <v>852</v>
      </c>
      <c r="M355" s="43">
        <v>776</v>
      </c>
      <c r="N355" s="45" t="s">
        <v>106</v>
      </c>
      <c r="O355" s="55">
        <v>12</v>
      </c>
      <c r="P355" s="56"/>
      <c r="Q355" s="74"/>
      <c r="R355" s="70">
        <v>0</v>
      </c>
      <c r="S355" s="19"/>
      <c r="T355" s="60"/>
      <c r="U355" s="59" t="s">
        <v>108</v>
      </c>
    </row>
    <row r="356" spans="1:21" ht="15" customHeight="1" x14ac:dyDescent="0.25">
      <c r="A356" s="1">
        <f t="shared" ca="1" si="22"/>
        <v>7281</v>
      </c>
      <c r="B356" s="29">
        <v>800</v>
      </c>
      <c r="C356" s="29">
        <v>30056</v>
      </c>
      <c r="D356" s="29">
        <v>256</v>
      </c>
      <c r="E356" s="29">
        <v>29800</v>
      </c>
      <c r="F356" s="29">
        <v>2988</v>
      </c>
      <c r="G356" s="39"/>
      <c r="H356" s="40"/>
      <c r="I356" s="52"/>
      <c r="J356" s="53"/>
      <c r="K356" s="17"/>
      <c r="L356" s="39">
        <v>822</v>
      </c>
      <c r="M356" s="43">
        <v>743</v>
      </c>
      <c r="N356" s="45" t="s">
        <v>108</v>
      </c>
      <c r="O356" s="55">
        <v>9</v>
      </c>
      <c r="P356" s="56"/>
      <c r="Q356" s="74"/>
      <c r="R356" s="70">
        <v>54</v>
      </c>
      <c r="S356" s="19"/>
      <c r="T356" s="60"/>
      <c r="U356" s="59" t="s">
        <v>108</v>
      </c>
    </row>
    <row r="357" spans="1:21" ht="15" customHeight="1" x14ac:dyDescent="0.25">
      <c r="A357" s="1">
        <f t="shared" ca="1" si="22"/>
        <v>7282</v>
      </c>
      <c r="B357" s="29">
        <v>805</v>
      </c>
      <c r="C357" s="29">
        <v>30082</v>
      </c>
      <c r="D357" s="29">
        <v>258</v>
      </c>
      <c r="E357" s="29">
        <v>29824</v>
      </c>
      <c r="F357" s="29">
        <v>2990</v>
      </c>
      <c r="G357" s="39"/>
      <c r="H357" s="40"/>
      <c r="I357" s="52"/>
      <c r="J357" s="53"/>
      <c r="K357" s="17"/>
      <c r="L357" s="39">
        <v>849</v>
      </c>
      <c r="M357" s="43">
        <v>776</v>
      </c>
      <c r="N357" s="45" t="s">
        <v>108</v>
      </c>
      <c r="O357" s="55">
        <v>8</v>
      </c>
      <c r="P357" s="56"/>
      <c r="Q357" s="74"/>
      <c r="R357" s="70">
        <v>0</v>
      </c>
      <c r="S357" s="19"/>
      <c r="T357" s="60"/>
      <c r="U357" s="59" t="s">
        <v>108</v>
      </c>
    </row>
    <row r="358" spans="1:21" ht="15" customHeight="1" x14ac:dyDescent="0.25">
      <c r="A358" s="1">
        <f t="shared" ca="1" si="22"/>
        <v>7283</v>
      </c>
      <c r="B358" s="29">
        <v>805</v>
      </c>
      <c r="C358" s="29">
        <v>30102</v>
      </c>
      <c r="D358" s="29">
        <v>258</v>
      </c>
      <c r="E358" s="29">
        <v>29844</v>
      </c>
      <c r="F358" s="29">
        <v>2992</v>
      </c>
      <c r="G358" s="39"/>
      <c r="H358" s="40"/>
      <c r="I358" s="52"/>
      <c r="J358" s="53"/>
      <c r="K358" s="17"/>
      <c r="L358" s="39">
        <v>854</v>
      </c>
      <c r="M358" s="43">
        <v>765</v>
      </c>
      <c r="N358" s="45" t="s">
        <v>108</v>
      </c>
      <c r="O358" s="55">
        <v>8</v>
      </c>
      <c r="P358" s="56"/>
      <c r="Q358" s="74"/>
      <c r="R358" s="70">
        <v>0</v>
      </c>
      <c r="S358" s="19"/>
      <c r="T358" s="60"/>
      <c r="U358" s="59" t="s">
        <v>108</v>
      </c>
    </row>
    <row r="359" spans="1:21" ht="15" customHeight="1" x14ac:dyDescent="0.25">
      <c r="A359" s="1">
        <f t="shared" ca="1" si="22"/>
        <v>7284</v>
      </c>
      <c r="B359" s="29">
        <v>790</v>
      </c>
      <c r="C359" s="29">
        <v>30072</v>
      </c>
      <c r="D359" s="29">
        <v>254</v>
      </c>
      <c r="E359" s="29">
        <v>29818</v>
      </c>
      <c r="F359" s="29">
        <v>2990</v>
      </c>
      <c r="G359" s="39"/>
      <c r="H359" s="40"/>
      <c r="I359" s="52"/>
      <c r="J359" s="53"/>
      <c r="K359" s="17"/>
      <c r="L359" s="39">
        <v>841</v>
      </c>
      <c r="M359" s="43">
        <v>725</v>
      </c>
      <c r="N359" s="45" t="s">
        <v>108</v>
      </c>
      <c r="O359" s="55">
        <v>2</v>
      </c>
      <c r="P359" s="56"/>
      <c r="Q359" s="74"/>
      <c r="R359" s="70">
        <v>64</v>
      </c>
      <c r="S359" s="19"/>
      <c r="T359" s="60"/>
      <c r="U359" s="59" t="s">
        <v>108</v>
      </c>
    </row>
    <row r="360" spans="1:21" ht="15" customHeight="1" x14ac:dyDescent="0.25">
      <c r="A360" s="1">
        <f t="shared" ca="1" si="22"/>
        <v>7285</v>
      </c>
      <c r="B360" s="29">
        <v>775</v>
      </c>
      <c r="C360" s="29">
        <v>30018</v>
      </c>
      <c r="D360" s="29">
        <v>250</v>
      </c>
      <c r="E360" s="29">
        <v>29768</v>
      </c>
      <c r="F360" s="29">
        <v>2985</v>
      </c>
      <c r="G360" s="39"/>
      <c r="H360" s="40"/>
      <c r="I360" s="52"/>
      <c r="J360" s="53"/>
      <c r="K360" s="17"/>
      <c r="L360" s="39">
        <v>820</v>
      </c>
      <c r="M360" s="43">
        <v>724</v>
      </c>
      <c r="N360" s="45" t="s">
        <v>108</v>
      </c>
      <c r="O360" s="55">
        <v>2</v>
      </c>
      <c r="P360" s="56"/>
      <c r="Q360" s="74"/>
      <c r="R360" s="70">
        <v>48</v>
      </c>
      <c r="S360" s="19"/>
      <c r="T360" s="60"/>
      <c r="U360" s="59" t="s">
        <v>108</v>
      </c>
    </row>
    <row r="361" spans="1:21" ht="15" customHeight="1" x14ac:dyDescent="0.25">
      <c r="A361" s="1">
        <f t="shared" ca="1" si="22"/>
        <v>7286</v>
      </c>
      <c r="B361" s="29">
        <v>790</v>
      </c>
      <c r="C361" s="29">
        <v>30047</v>
      </c>
      <c r="D361" s="29">
        <v>254</v>
      </c>
      <c r="E361" s="29">
        <v>29793</v>
      </c>
      <c r="F361" s="29">
        <v>2987</v>
      </c>
      <c r="G361" s="39"/>
      <c r="H361" s="40"/>
      <c r="I361" s="52"/>
      <c r="J361" s="53"/>
      <c r="K361" s="17"/>
      <c r="L361" s="39">
        <v>823</v>
      </c>
      <c r="M361" s="43">
        <v>746</v>
      </c>
      <c r="N361" s="45" t="s">
        <v>108</v>
      </c>
      <c r="O361" s="55">
        <v>5</v>
      </c>
      <c r="P361" s="56"/>
      <c r="Q361" s="74"/>
      <c r="R361" s="70">
        <v>1</v>
      </c>
      <c r="S361" s="19"/>
      <c r="T361" s="60"/>
      <c r="U361" s="59" t="s">
        <v>108</v>
      </c>
    </row>
    <row r="362" spans="1:21" ht="15" customHeight="1" x14ac:dyDescent="0.25">
      <c r="A362" s="1">
        <f t="shared" ca="1" si="22"/>
        <v>7287</v>
      </c>
      <c r="B362" s="29">
        <v>805</v>
      </c>
      <c r="C362" s="29">
        <v>30100</v>
      </c>
      <c r="D362" s="29">
        <v>258</v>
      </c>
      <c r="E362" s="29">
        <v>29842</v>
      </c>
      <c r="F362" s="29">
        <v>2992</v>
      </c>
      <c r="G362" s="39"/>
      <c r="H362" s="40"/>
      <c r="I362" s="52"/>
      <c r="J362" s="53"/>
      <c r="K362" s="17"/>
      <c r="L362" s="39">
        <v>853</v>
      </c>
      <c r="M362" s="43">
        <v>776</v>
      </c>
      <c r="N362" s="45" t="s">
        <v>108</v>
      </c>
      <c r="O362" s="55">
        <v>8</v>
      </c>
      <c r="P362" s="56"/>
      <c r="Q362" s="74"/>
      <c r="R362" s="70">
        <v>0</v>
      </c>
      <c r="S362" s="19"/>
      <c r="T362" s="60"/>
      <c r="U362" s="59" t="s">
        <v>108</v>
      </c>
    </row>
    <row r="363" spans="1:21" ht="15" customHeight="1" x14ac:dyDescent="0.25">
      <c r="A363" s="1">
        <f t="shared" ca="1" si="22"/>
        <v>7288</v>
      </c>
      <c r="B363" s="29">
        <v>800</v>
      </c>
      <c r="C363" s="29">
        <v>30120</v>
      </c>
      <c r="D363" s="29">
        <v>256</v>
      </c>
      <c r="E363" s="29">
        <v>29864</v>
      </c>
      <c r="F363" s="29">
        <v>2994</v>
      </c>
      <c r="G363" s="39"/>
      <c r="H363" s="40"/>
      <c r="I363" s="52"/>
      <c r="J363" s="53"/>
      <c r="K363" s="17"/>
      <c r="L363" s="39">
        <v>856</v>
      </c>
      <c r="M363" s="43">
        <v>740</v>
      </c>
      <c r="N363" s="45" t="s">
        <v>108</v>
      </c>
      <c r="O363" s="55">
        <v>8</v>
      </c>
      <c r="P363" s="56"/>
      <c r="Q363" s="74"/>
      <c r="R363" s="70">
        <v>9</v>
      </c>
      <c r="S363" s="19"/>
      <c r="T363" s="60"/>
      <c r="U363" s="59" t="s">
        <v>108</v>
      </c>
    </row>
    <row r="364" spans="1:21" ht="15" customHeight="1" x14ac:dyDescent="0.25">
      <c r="A364" s="1">
        <f t="shared" ca="1" si="22"/>
        <v>7289</v>
      </c>
      <c r="B364" s="29">
        <v>810</v>
      </c>
      <c r="C364" s="29">
        <v>30109</v>
      </c>
      <c r="D364" s="29">
        <v>259</v>
      </c>
      <c r="E364" s="29">
        <v>29850</v>
      </c>
      <c r="F364" s="29">
        <v>2993</v>
      </c>
      <c r="G364" s="39"/>
      <c r="H364" s="40"/>
      <c r="I364" s="52"/>
      <c r="J364" s="53"/>
      <c r="K364" s="17"/>
      <c r="L364" s="39">
        <v>849</v>
      </c>
      <c r="M364" s="43">
        <v>777</v>
      </c>
      <c r="N364" s="45" t="s">
        <v>108</v>
      </c>
      <c r="O364" s="55">
        <v>8</v>
      </c>
      <c r="P364" s="56"/>
      <c r="Q364" s="74"/>
      <c r="R364" s="70">
        <v>0</v>
      </c>
      <c r="S364" s="19"/>
      <c r="T364" s="60"/>
      <c r="U364" s="59" t="s">
        <v>108</v>
      </c>
    </row>
    <row r="365" spans="1:21" ht="15" customHeight="1" x14ac:dyDescent="0.25">
      <c r="A365" s="1">
        <f t="shared" ca="1" si="22"/>
        <v>7290</v>
      </c>
      <c r="B365" s="29">
        <v>805</v>
      </c>
      <c r="C365" s="29">
        <v>30118</v>
      </c>
      <c r="D365" s="29">
        <v>258</v>
      </c>
      <c r="E365" s="29">
        <v>29860</v>
      </c>
      <c r="F365" s="29">
        <v>2994</v>
      </c>
      <c r="G365" s="39"/>
      <c r="H365" s="40"/>
      <c r="I365" s="52"/>
      <c r="J365" s="53"/>
      <c r="K365" s="17"/>
      <c r="L365" s="39">
        <v>851</v>
      </c>
      <c r="M365" s="43">
        <v>772</v>
      </c>
      <c r="N365" s="45" t="s">
        <v>108</v>
      </c>
      <c r="O365" s="55">
        <v>7</v>
      </c>
      <c r="P365" s="56"/>
      <c r="Q365" s="74"/>
      <c r="R365" s="70">
        <v>3</v>
      </c>
      <c r="S365" s="19"/>
      <c r="T365" s="60"/>
      <c r="U365" s="59" t="s">
        <v>108</v>
      </c>
    </row>
    <row r="366" spans="1:21" ht="15" customHeight="1" x14ac:dyDescent="0.25">
      <c r="A366" s="1">
        <f t="shared" ca="1" si="22"/>
        <v>7291</v>
      </c>
      <c r="B366" s="29">
        <v>800</v>
      </c>
      <c r="C366" s="29">
        <v>30127</v>
      </c>
      <c r="D366" s="29">
        <v>256</v>
      </c>
      <c r="E366" s="29">
        <v>29871</v>
      </c>
      <c r="F366" s="29">
        <v>2995</v>
      </c>
      <c r="G366" s="39"/>
      <c r="H366" s="40"/>
      <c r="I366" s="52"/>
      <c r="J366" s="53"/>
      <c r="K366" s="17"/>
      <c r="L366" s="39">
        <v>850</v>
      </c>
      <c r="M366" s="43">
        <v>760</v>
      </c>
      <c r="N366" s="45" t="s">
        <v>110</v>
      </c>
      <c r="O366" s="55">
        <v>5</v>
      </c>
      <c r="P366" s="56"/>
      <c r="Q366" s="74"/>
      <c r="R366" s="70">
        <v>0</v>
      </c>
      <c r="S366" s="19"/>
      <c r="T366" s="60"/>
      <c r="U366" s="59" t="s">
        <v>108</v>
      </c>
    </row>
    <row r="367" spans="1:21" ht="15" customHeight="1" x14ac:dyDescent="0.25">
      <c r="A367" s="1">
        <f t="shared" ca="1" si="22"/>
        <v>7292</v>
      </c>
      <c r="B367" s="29">
        <v>805</v>
      </c>
      <c r="C367" s="29">
        <v>30128</v>
      </c>
      <c r="D367" s="29">
        <v>258</v>
      </c>
      <c r="E367" s="29">
        <v>29870</v>
      </c>
      <c r="F367" s="29">
        <v>2995</v>
      </c>
      <c r="G367" s="39"/>
      <c r="H367" s="40"/>
      <c r="I367" s="52"/>
      <c r="J367" s="53"/>
      <c r="K367" s="17"/>
      <c r="L367" s="39">
        <v>851</v>
      </c>
      <c r="M367" s="43">
        <v>762</v>
      </c>
      <c r="N367" s="45" t="s">
        <v>108</v>
      </c>
      <c r="O367" s="55">
        <v>7</v>
      </c>
      <c r="P367" s="56"/>
      <c r="Q367" s="74"/>
      <c r="R367" s="70">
        <v>0</v>
      </c>
      <c r="S367" s="19"/>
      <c r="T367" s="60"/>
      <c r="U367" s="59" t="s">
        <v>108</v>
      </c>
    </row>
    <row r="368" spans="1:21" ht="15" customHeight="1" x14ac:dyDescent="0.25">
      <c r="A368" s="1">
        <f t="shared" ca="1" si="22"/>
        <v>7293</v>
      </c>
      <c r="B368" s="29">
        <v>800</v>
      </c>
      <c r="C368" s="29">
        <v>30120</v>
      </c>
      <c r="D368" s="29">
        <v>256</v>
      </c>
      <c r="E368" s="29">
        <v>29864</v>
      </c>
      <c r="F368" s="29">
        <v>2994</v>
      </c>
      <c r="G368" s="39"/>
      <c r="H368" s="40"/>
      <c r="I368" s="52"/>
      <c r="J368" s="53"/>
      <c r="K368" s="17"/>
      <c r="L368" s="39">
        <v>854</v>
      </c>
      <c r="M368" s="43">
        <v>762</v>
      </c>
      <c r="N368" s="45" t="s">
        <v>106</v>
      </c>
      <c r="O368" s="55">
        <v>5</v>
      </c>
      <c r="P368" s="56"/>
      <c r="Q368" s="74"/>
      <c r="R368" s="70">
        <v>0</v>
      </c>
      <c r="S368" s="19"/>
      <c r="T368" s="60"/>
      <c r="U368" s="59" t="s">
        <v>108</v>
      </c>
    </row>
    <row r="369" spans="1:21" ht="15" customHeight="1" x14ac:dyDescent="0.25">
      <c r="A369" s="1">
        <f t="shared" ca="1" si="22"/>
        <v>7294</v>
      </c>
      <c r="B369" s="29">
        <v>810</v>
      </c>
      <c r="C369" s="29">
        <v>30118</v>
      </c>
      <c r="D369" s="29">
        <v>259</v>
      </c>
      <c r="E369" s="29">
        <v>29859</v>
      </c>
      <c r="F369" s="29">
        <v>2994</v>
      </c>
      <c r="G369" s="39"/>
      <c r="H369" s="40"/>
      <c r="I369" s="52"/>
      <c r="J369" s="53"/>
      <c r="K369" s="17"/>
      <c r="L369" s="39">
        <v>860</v>
      </c>
      <c r="M369" s="43">
        <v>762</v>
      </c>
      <c r="N369" s="45" t="s">
        <v>108</v>
      </c>
      <c r="O369" s="55">
        <v>6</v>
      </c>
      <c r="P369" s="56"/>
      <c r="Q369" s="74"/>
      <c r="R369" s="70">
        <v>0</v>
      </c>
      <c r="S369" s="19"/>
      <c r="T369" s="60"/>
      <c r="U369" s="59" t="s">
        <v>108</v>
      </c>
    </row>
    <row r="370" spans="1:21" ht="15" customHeight="1" x14ac:dyDescent="0.25">
      <c r="A370" s="1">
        <f t="shared" ca="1" si="22"/>
        <v>7295</v>
      </c>
      <c r="B370" s="29">
        <v>805</v>
      </c>
      <c r="C370" s="29">
        <v>30119</v>
      </c>
      <c r="D370" s="29">
        <v>258</v>
      </c>
      <c r="E370" s="29">
        <v>29861</v>
      </c>
      <c r="F370" s="29">
        <v>2994</v>
      </c>
      <c r="G370" s="39"/>
      <c r="H370" s="40"/>
      <c r="I370" s="52"/>
      <c r="J370" s="53"/>
      <c r="K370" s="17"/>
      <c r="L370" s="39">
        <v>850</v>
      </c>
      <c r="M370" s="43">
        <v>754</v>
      </c>
      <c r="N370" s="45" t="s">
        <v>108</v>
      </c>
      <c r="O370" s="55">
        <v>4</v>
      </c>
      <c r="P370" s="56"/>
      <c r="Q370" s="74"/>
      <c r="R370" s="70">
        <v>0</v>
      </c>
      <c r="S370" s="19"/>
      <c r="T370" s="60"/>
      <c r="U370" s="59" t="s">
        <v>108</v>
      </c>
    </row>
    <row r="371" spans="1:21" ht="15" customHeight="1" x14ac:dyDescent="0.25">
      <c r="A371" s="1">
        <f t="shared" ca="1" si="22"/>
        <v>7296</v>
      </c>
      <c r="B371" s="29">
        <v>795</v>
      </c>
      <c r="C371" s="29">
        <v>30089</v>
      </c>
      <c r="D371" s="29">
        <v>255</v>
      </c>
      <c r="E371" s="29">
        <v>29834</v>
      </c>
      <c r="F371" s="29">
        <v>2991</v>
      </c>
      <c r="G371" s="39"/>
      <c r="H371" s="40"/>
      <c r="I371" s="52"/>
      <c r="J371" s="53"/>
      <c r="K371" s="17"/>
      <c r="L371" s="39">
        <v>849</v>
      </c>
      <c r="M371" s="43">
        <v>728</v>
      </c>
      <c r="N371" s="45" t="s">
        <v>108</v>
      </c>
      <c r="O371" s="55">
        <v>8</v>
      </c>
      <c r="P371" s="56"/>
      <c r="Q371" s="74"/>
      <c r="R371" s="70">
        <v>74</v>
      </c>
      <c r="S371" s="19"/>
      <c r="T371" s="60"/>
      <c r="U371" s="59" t="s">
        <v>108</v>
      </c>
    </row>
    <row r="372" spans="1:21" ht="15" customHeight="1" x14ac:dyDescent="0.25">
      <c r="A372" s="1">
        <f t="shared" ca="1" si="22"/>
        <v>7297</v>
      </c>
      <c r="B372" s="29">
        <v>800</v>
      </c>
      <c r="C372" s="29">
        <v>30100</v>
      </c>
      <c r="D372" s="29">
        <v>256</v>
      </c>
      <c r="E372" s="29">
        <v>29844</v>
      </c>
      <c r="F372" s="29">
        <v>2992</v>
      </c>
      <c r="G372" s="39"/>
      <c r="H372" s="40"/>
      <c r="I372" s="52"/>
      <c r="J372" s="53"/>
      <c r="K372" s="17"/>
      <c r="L372" s="39">
        <v>831</v>
      </c>
      <c r="M372" s="43">
        <v>742</v>
      </c>
      <c r="N372" s="45" t="s">
        <v>108</v>
      </c>
      <c r="O372" s="55">
        <v>5</v>
      </c>
      <c r="P372" s="56"/>
      <c r="Q372" s="74"/>
      <c r="R372" s="70">
        <v>0</v>
      </c>
      <c r="S372" s="19"/>
      <c r="T372" s="60"/>
      <c r="U372" s="59" t="s">
        <v>108</v>
      </c>
    </row>
    <row r="373" spans="1:21" ht="15" customHeight="1" x14ac:dyDescent="0.25">
      <c r="A373" s="1">
        <f t="shared" ca="1" si="22"/>
        <v>7298</v>
      </c>
      <c r="B373" s="29">
        <v>800</v>
      </c>
      <c r="C373" s="29">
        <v>30097</v>
      </c>
      <c r="D373" s="29">
        <v>256</v>
      </c>
      <c r="E373" s="29">
        <v>29841</v>
      </c>
      <c r="F373" s="29">
        <v>2992</v>
      </c>
      <c r="G373" s="39"/>
      <c r="H373" s="40"/>
      <c r="I373" s="52"/>
      <c r="J373" s="53"/>
      <c r="K373" s="17"/>
      <c r="L373" s="39">
        <v>836</v>
      </c>
      <c r="M373" s="43">
        <v>756</v>
      </c>
      <c r="N373" s="45" t="s">
        <v>108</v>
      </c>
      <c r="O373" s="55">
        <v>5</v>
      </c>
      <c r="P373" s="56"/>
      <c r="Q373" s="74"/>
      <c r="R373" s="70">
        <v>2</v>
      </c>
      <c r="S373" s="19"/>
      <c r="T373" s="60"/>
      <c r="U373" s="59" t="s">
        <v>108</v>
      </c>
    </row>
    <row r="374" spans="1:21" ht="15" customHeight="1" x14ac:dyDescent="0.25">
      <c r="A374" s="1">
        <f t="shared" ca="1" si="22"/>
        <v>7299</v>
      </c>
      <c r="B374" s="29">
        <v>800</v>
      </c>
      <c r="C374" s="29">
        <v>30138</v>
      </c>
      <c r="D374" s="29">
        <v>256</v>
      </c>
      <c r="E374" s="29">
        <v>29882</v>
      </c>
      <c r="F374" s="29">
        <v>2996</v>
      </c>
      <c r="G374" s="39"/>
      <c r="H374" s="40"/>
      <c r="I374" s="52"/>
      <c r="J374" s="53"/>
      <c r="K374" s="17"/>
      <c r="L374" s="39">
        <v>834</v>
      </c>
      <c r="M374" s="43">
        <v>750</v>
      </c>
      <c r="N374" s="45" t="s">
        <v>108</v>
      </c>
      <c r="O374" s="55">
        <v>5</v>
      </c>
      <c r="P374" s="56"/>
      <c r="Q374" s="74"/>
      <c r="R374" s="70">
        <v>0</v>
      </c>
      <c r="S374" s="19"/>
      <c r="T374" s="60"/>
      <c r="U374" s="59" t="s">
        <v>108</v>
      </c>
    </row>
    <row r="375" spans="1:21" ht="15" customHeight="1" x14ac:dyDescent="0.25">
      <c r="A375" s="1">
        <f t="shared" ca="1" si="22"/>
        <v>7300</v>
      </c>
      <c r="B375" s="29">
        <v>800</v>
      </c>
      <c r="C375" s="29">
        <v>30131</v>
      </c>
      <c r="D375" s="29">
        <v>256</v>
      </c>
      <c r="E375" s="29">
        <v>29875</v>
      </c>
      <c r="F375" s="29">
        <v>2996</v>
      </c>
      <c r="G375" s="39"/>
      <c r="H375" s="40"/>
      <c r="I375" s="52"/>
      <c r="J375" s="53"/>
      <c r="K375" s="17"/>
      <c r="L375" s="39">
        <v>831</v>
      </c>
      <c r="M375" s="43">
        <v>742</v>
      </c>
      <c r="N375" s="45" t="s">
        <v>110</v>
      </c>
      <c r="O375" s="55">
        <v>5</v>
      </c>
      <c r="P375" s="56"/>
      <c r="Q375" s="74"/>
      <c r="R375" s="70">
        <v>0</v>
      </c>
      <c r="S375" s="19"/>
      <c r="T375" s="60"/>
      <c r="U375" s="59" t="s">
        <v>110</v>
      </c>
    </row>
    <row r="376" spans="1:21" ht="15" customHeight="1" x14ac:dyDescent="0.25">
      <c r="A376" s="1">
        <f t="shared" ca="1" si="22"/>
        <v>7301</v>
      </c>
      <c r="B376" s="29">
        <v>805</v>
      </c>
      <c r="C376" s="29">
        <v>30118</v>
      </c>
      <c r="D376" s="29">
        <v>258</v>
      </c>
      <c r="E376" s="29">
        <v>29860</v>
      </c>
      <c r="F376" s="29">
        <v>2994</v>
      </c>
      <c r="G376" s="39"/>
      <c r="H376" s="40"/>
      <c r="I376" s="52"/>
      <c r="J376" s="53"/>
      <c r="K376" s="17"/>
      <c r="L376" s="39">
        <v>831</v>
      </c>
      <c r="M376" s="43">
        <v>761</v>
      </c>
      <c r="N376" s="45" t="s">
        <v>110</v>
      </c>
      <c r="O376" s="55">
        <v>6</v>
      </c>
      <c r="P376" s="56"/>
      <c r="Q376" s="74"/>
      <c r="R376" s="70">
        <v>0</v>
      </c>
      <c r="S376" s="19"/>
      <c r="T376" s="60"/>
      <c r="U376" s="59" t="s">
        <v>108</v>
      </c>
    </row>
    <row r="377" spans="1:21" ht="15" customHeight="1" x14ac:dyDescent="0.25">
      <c r="A377" s="1">
        <f t="shared" ca="1" si="22"/>
        <v>7302</v>
      </c>
      <c r="B377" s="29">
        <v>805</v>
      </c>
      <c r="C377" s="29">
        <v>30142</v>
      </c>
      <c r="D377" s="29">
        <v>258</v>
      </c>
      <c r="E377" s="29">
        <v>29884</v>
      </c>
      <c r="F377" s="29">
        <v>2996</v>
      </c>
      <c r="G377" s="39"/>
      <c r="H377" s="40"/>
      <c r="I377" s="52"/>
      <c r="J377" s="53"/>
      <c r="K377" s="17"/>
      <c r="L377" s="39">
        <v>849</v>
      </c>
      <c r="M377" s="43">
        <v>768</v>
      </c>
      <c r="N377" s="45" t="s">
        <v>108</v>
      </c>
      <c r="O377" s="55">
        <v>9</v>
      </c>
      <c r="P377" s="56"/>
      <c r="Q377" s="74"/>
      <c r="R377" s="70">
        <v>0</v>
      </c>
      <c r="S377" s="19"/>
      <c r="T377" s="60"/>
      <c r="U377" s="59" t="s">
        <v>108</v>
      </c>
    </row>
    <row r="378" spans="1:21" ht="15" customHeight="1" x14ac:dyDescent="0.25">
      <c r="A378" s="1">
        <f t="shared" ca="1" si="22"/>
        <v>7303</v>
      </c>
      <c r="B378" s="29">
        <v>810</v>
      </c>
      <c r="C378" s="29">
        <v>30171</v>
      </c>
      <c r="D378" s="29">
        <v>259</v>
      </c>
      <c r="E378" s="29">
        <v>29912</v>
      </c>
      <c r="F378" s="29">
        <v>2999</v>
      </c>
      <c r="G378" s="39"/>
      <c r="H378" s="40"/>
      <c r="I378" s="52"/>
      <c r="J378" s="53"/>
      <c r="K378" s="17"/>
      <c r="L378" s="39">
        <v>849</v>
      </c>
      <c r="M378" s="43">
        <v>764</v>
      </c>
      <c r="N378" s="45" t="s">
        <v>108</v>
      </c>
      <c r="O378" s="55">
        <v>10</v>
      </c>
      <c r="P378" s="56"/>
      <c r="Q378" s="74"/>
      <c r="R378" s="70">
        <v>2</v>
      </c>
      <c r="S378" s="19"/>
      <c r="T378" s="60"/>
      <c r="U378" s="59" t="s">
        <v>108</v>
      </c>
    </row>
    <row r="379" spans="1:21" ht="15" customHeight="1" x14ac:dyDescent="0.25">
      <c r="A379" s="1">
        <f t="shared" ca="1" si="22"/>
        <v>7304</v>
      </c>
      <c r="B379" s="29">
        <v>805</v>
      </c>
      <c r="C379" s="29">
        <v>30170</v>
      </c>
      <c r="D379" s="29">
        <v>258</v>
      </c>
      <c r="E379" s="29">
        <v>29912</v>
      </c>
      <c r="F379" s="29">
        <v>2999</v>
      </c>
      <c r="G379" s="39"/>
      <c r="H379" s="40"/>
      <c r="I379" s="52"/>
      <c r="J379" s="53"/>
      <c r="K379" s="17"/>
      <c r="L379" s="39">
        <v>859</v>
      </c>
      <c r="M379" s="43">
        <v>759</v>
      </c>
      <c r="N379" s="45" t="s">
        <v>108</v>
      </c>
      <c r="O379" s="55">
        <v>5</v>
      </c>
      <c r="P379" s="56"/>
      <c r="Q379" s="74"/>
      <c r="R379" s="70">
        <v>0</v>
      </c>
      <c r="S379" s="19"/>
      <c r="T379" s="60"/>
      <c r="U379" s="59" t="s">
        <v>108</v>
      </c>
    </row>
    <row r="380" spans="1:21" ht="15" customHeight="1" x14ac:dyDescent="0.25">
      <c r="A380" s="1">
        <f t="shared" ca="1" si="22"/>
        <v>7305</v>
      </c>
      <c r="B380" s="29">
        <v>805</v>
      </c>
      <c r="C380" s="29">
        <v>30128</v>
      </c>
      <c r="D380" s="29">
        <v>258</v>
      </c>
      <c r="E380" s="29">
        <v>29870</v>
      </c>
      <c r="F380" s="29">
        <v>2995</v>
      </c>
      <c r="G380" s="39"/>
      <c r="H380" s="40"/>
      <c r="I380" s="52"/>
      <c r="J380" s="53"/>
      <c r="K380" s="17"/>
      <c r="L380" s="39">
        <v>856</v>
      </c>
      <c r="M380" s="43">
        <v>795</v>
      </c>
      <c r="N380" s="45" t="s">
        <v>106</v>
      </c>
      <c r="O380" s="55">
        <v>5</v>
      </c>
      <c r="P380" s="56"/>
      <c r="Q380" s="74"/>
      <c r="R380" s="70">
        <v>5</v>
      </c>
      <c r="S380" s="19"/>
      <c r="T380" s="60"/>
      <c r="U380" s="59" t="s">
        <v>108</v>
      </c>
    </row>
    <row r="381" spans="1:21" x14ac:dyDescent="0.25">
      <c r="A381" s="1" t="str">
        <f t="shared" ca="1" si="22"/>
        <v>Totaal</v>
      </c>
      <c r="B381" s="61">
        <f>IF(COUNT(B350:B380)&gt;0,AVERAGE(B350:B380)/10,"")</f>
        <v>80.306451612903231</v>
      </c>
      <c r="C381" s="62">
        <f>IF(COUNT(C350:C380)&gt;0,AVERAGE(C350:C380)/1000,"")</f>
        <v>30.100516129032258</v>
      </c>
      <c r="D381" s="62">
        <f t="shared" ref="D381" si="23">IF(COUNT(D350:D380)&gt;0,AVERAGE(D350:D380)/1000,"")</f>
        <v>0.25719354838709679</v>
      </c>
      <c r="E381" s="62">
        <f t="shared" ref="E381" si="24">IF(COUNT(E350:E380)&gt;0,AVERAGE(E350:E380)/1000,"")</f>
        <v>29.843322580645165</v>
      </c>
      <c r="F381" s="62">
        <f>IF(COUNT(F350:F380)&gt;0,AVERAGE(F350:F380)/100,"")</f>
        <v>29.921935483870968</v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>
        <f>IF(COUNT(L350:L380)&gt;0,AVERAGE(L350:L380)/10,"")</f>
        <v>84.506451612903234</v>
      </c>
      <c r="M381" s="44">
        <f>IF(COUNT(M350:M380)&gt;0,AVERAGE(M350:M380)/10,"")</f>
        <v>75.887096774193552</v>
      </c>
      <c r="N381" s="46"/>
      <c r="O381" s="57">
        <f>IF(COUNT(O350:O380)&gt;0,AVERAGE(O350:O380),"")</f>
        <v>6.4838709677419351</v>
      </c>
      <c r="P381" s="58" t="str">
        <f>IF(COUNT(P350:P380)&gt;0,AVERAGE(P350:P380),"")</f>
        <v/>
      </c>
      <c r="Q381" s="47"/>
      <c r="R381" s="68">
        <f>IF(COUNT(R350:R380)&gt;0,SUM(R350:R380)/100,"")</f>
        <v>2.7</v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700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19190101</v>
      </c>
      <c r="C2" s="5">
        <v>1</v>
      </c>
      <c r="D2" s="69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16.5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0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19190102</v>
      </c>
      <c r="C3" s="5">
        <v>1</v>
      </c>
      <c r="D3" s="69">
        <f t="shared" ca="1" si="0"/>
        <v>1</v>
      </c>
      <c r="E3" s="10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19190103</v>
      </c>
      <c r="C4" s="5">
        <v>1</v>
      </c>
      <c r="D4" s="69">
        <f t="shared" ca="1" si="0"/>
        <v>12.2</v>
      </c>
      <c r="E4" s="10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19190104</v>
      </c>
      <c r="C5" s="5">
        <v>1</v>
      </c>
      <c r="D5" s="69">
        <f t="shared" ca="1" si="0"/>
        <v>0.3</v>
      </c>
      <c r="E5" s="10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19190105</v>
      </c>
      <c r="C6" s="5">
        <v>1</v>
      </c>
      <c r="D6" s="69">
        <f t="shared" ca="1" si="0"/>
        <v>0</v>
      </c>
      <c r="E6" s="10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19190106</v>
      </c>
      <c r="C7" s="5">
        <v>1</v>
      </c>
      <c r="D7" s="69">
        <f t="shared" ca="1" si="0"/>
        <v>0</v>
      </c>
      <c r="E7" s="10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19190107</v>
      </c>
      <c r="C8" s="5">
        <v>1</v>
      </c>
      <c r="D8" s="69">
        <f t="shared" ca="1" si="0"/>
        <v>0</v>
      </c>
      <c r="E8" s="10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19190108</v>
      </c>
      <c r="C9" s="5">
        <v>1</v>
      </c>
      <c r="D9" s="69">
        <f t="shared" ca="1" si="0"/>
        <v>0</v>
      </c>
      <c r="E9" s="10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19190109</v>
      </c>
      <c r="C10" s="5">
        <v>1</v>
      </c>
      <c r="D10" s="69">
        <f t="shared" ca="1" si="0"/>
        <v>0</v>
      </c>
      <c r="E10" s="10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19190110</v>
      </c>
      <c r="C11" s="5">
        <v>1</v>
      </c>
      <c r="D11" s="69">
        <f t="shared" ca="1" si="0"/>
        <v>0.8</v>
      </c>
      <c r="E11" s="10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19190111</v>
      </c>
      <c r="C12" s="5">
        <v>1</v>
      </c>
      <c r="D12" s="69">
        <f t="shared" ca="1" si="0"/>
        <v>0</v>
      </c>
      <c r="E12" s="10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19190112</v>
      </c>
      <c r="C13" s="5">
        <v>1</v>
      </c>
      <c r="D13" s="69">
        <f t="shared" ca="1" si="0"/>
        <v>0</v>
      </c>
      <c r="E13" s="10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19190113</v>
      </c>
      <c r="C14" s="5">
        <v>1</v>
      </c>
      <c r="D14" s="69">
        <f t="shared" ca="1" si="0"/>
        <v>0</v>
      </c>
      <c r="E14" s="10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19190114</v>
      </c>
      <c r="C15" s="5">
        <v>1</v>
      </c>
      <c r="D15" s="69">
        <f t="shared" ca="1" si="0"/>
        <v>0</v>
      </c>
      <c r="E15" s="10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19190115</v>
      </c>
      <c r="C16" s="5">
        <v>1</v>
      </c>
      <c r="D16" s="69">
        <f t="shared" ca="1" si="0"/>
        <v>0</v>
      </c>
      <c r="E16" s="10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19190116</v>
      </c>
      <c r="C17" s="5">
        <v>1</v>
      </c>
      <c r="D17" s="69">
        <f t="shared" ca="1" si="0"/>
        <v>0</v>
      </c>
      <c r="E17" s="10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19190117</v>
      </c>
      <c r="C18" s="5">
        <v>1</v>
      </c>
      <c r="D18" s="69">
        <f t="shared" ca="1" si="0"/>
        <v>0</v>
      </c>
      <c r="E18" s="10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19190118</v>
      </c>
      <c r="C19" s="5">
        <v>1</v>
      </c>
      <c r="D19" s="69">
        <f t="shared" ca="1" si="0"/>
        <v>0.5</v>
      </c>
      <c r="E19" s="10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19190119</v>
      </c>
      <c r="C20" s="5">
        <v>1</v>
      </c>
      <c r="D20" s="69">
        <f t="shared" ca="1" si="0"/>
        <v>0</v>
      </c>
      <c r="E20" s="10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19190120</v>
      </c>
      <c r="C21" s="5">
        <v>1</v>
      </c>
      <c r="D21" s="69">
        <f t="shared" ca="1" si="0"/>
        <v>2</v>
      </c>
      <c r="E21" s="10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19190121</v>
      </c>
      <c r="C22" s="5">
        <v>1</v>
      </c>
      <c r="D22" s="69">
        <f t="shared" ca="1" si="0"/>
        <v>0</v>
      </c>
      <c r="E22" s="10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19190122</v>
      </c>
      <c r="C23" s="5">
        <v>1</v>
      </c>
      <c r="D23" s="69">
        <f t="shared" ca="1" si="0"/>
        <v>0</v>
      </c>
      <c r="E23" s="10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19190123</v>
      </c>
      <c r="C24" s="5">
        <v>1</v>
      </c>
      <c r="D24" s="69">
        <f t="shared" ca="1" si="0"/>
        <v>0</v>
      </c>
      <c r="E24" s="10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19190124</v>
      </c>
      <c r="C25" s="5">
        <v>1</v>
      </c>
      <c r="D25" s="69">
        <f t="shared" ca="1" si="0"/>
        <v>0</v>
      </c>
      <c r="E25" s="10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19190125</v>
      </c>
      <c r="C26" s="5">
        <v>1</v>
      </c>
      <c r="D26" s="69">
        <f t="shared" ca="1" si="0"/>
        <v>0</v>
      </c>
      <c r="E26" s="10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19190126</v>
      </c>
      <c r="C27" s="5">
        <v>1</v>
      </c>
      <c r="D27" s="69">
        <f t="shared" ca="1" si="0"/>
        <v>0</v>
      </c>
      <c r="E27" s="10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19190127</v>
      </c>
      <c r="C28" s="5">
        <v>1</v>
      </c>
      <c r="D28" s="69">
        <f t="shared" ca="1" si="0"/>
        <v>1</v>
      </c>
      <c r="E28" s="10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19190128</v>
      </c>
      <c r="C29" s="5">
        <v>1</v>
      </c>
      <c r="D29" s="69">
        <f t="shared" ca="1" si="0"/>
        <v>0.8</v>
      </c>
      <c r="E29" s="10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19190129</v>
      </c>
      <c r="C30" s="5">
        <v>1</v>
      </c>
      <c r="D30" s="69">
        <f t="shared" ca="1" si="0"/>
        <v>0</v>
      </c>
      <c r="E30" s="10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19190130</v>
      </c>
      <c r="C31" s="5">
        <v>1</v>
      </c>
      <c r="D31" s="69">
        <f t="shared" ca="1" si="0"/>
        <v>0</v>
      </c>
      <c r="E31" s="10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19190131</v>
      </c>
      <c r="C32" s="5">
        <v>1</v>
      </c>
      <c r="D32" s="69">
        <f t="shared" ca="1" si="0"/>
        <v>0</v>
      </c>
      <c r="E32" s="10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19190201</v>
      </c>
      <c r="C33" s="5">
        <v>1</v>
      </c>
      <c r="D33" s="69">
        <f t="shared" ca="1" si="0"/>
        <v>0</v>
      </c>
      <c r="E33" s="10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19190202</v>
      </c>
      <c r="C34" s="5">
        <v>1</v>
      </c>
      <c r="D34" s="69">
        <f t="shared" ca="1" si="0"/>
        <v>0</v>
      </c>
      <c r="E34" s="10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19190203</v>
      </c>
      <c r="C35" s="5">
        <v>1</v>
      </c>
      <c r="D35" s="69">
        <f t="shared" ca="1" si="0"/>
        <v>0</v>
      </c>
      <c r="E35" s="10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19190204</v>
      </c>
      <c r="C36" s="5">
        <v>1</v>
      </c>
      <c r="D36" s="69">
        <f t="shared" ca="1" si="0"/>
        <v>0</v>
      </c>
      <c r="E36" s="10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19190205</v>
      </c>
      <c r="C37" s="5">
        <v>1</v>
      </c>
      <c r="D37" s="69">
        <f t="shared" ca="1" si="0"/>
        <v>0</v>
      </c>
      <c r="E37" s="10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19190206</v>
      </c>
      <c r="C38" s="5">
        <v>1</v>
      </c>
      <c r="D38" s="69">
        <f t="shared" ca="1" si="0"/>
        <v>0</v>
      </c>
      <c r="E38" s="10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19190207</v>
      </c>
      <c r="C39" s="5">
        <v>1</v>
      </c>
      <c r="D39" s="69">
        <f t="shared" ca="1" si="0"/>
        <v>0</v>
      </c>
      <c r="E39" s="10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19190208</v>
      </c>
      <c r="C40" s="5">
        <v>1</v>
      </c>
      <c r="D40" s="69">
        <f t="shared" ca="1" si="0"/>
        <v>0</v>
      </c>
      <c r="E40" s="10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19190209</v>
      </c>
      <c r="C41" s="5">
        <v>1</v>
      </c>
      <c r="D41" s="69">
        <f t="shared" ca="1" si="0"/>
        <v>0.3</v>
      </c>
      <c r="E41" s="10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19190210</v>
      </c>
      <c r="C42" s="5">
        <v>1</v>
      </c>
      <c r="D42" s="69">
        <f t="shared" ca="1" si="0"/>
        <v>1.3</v>
      </c>
      <c r="E42" s="10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19190211</v>
      </c>
      <c r="C43" s="5">
        <v>1</v>
      </c>
      <c r="D43" s="69">
        <f t="shared" ca="1" si="0"/>
        <v>0</v>
      </c>
      <c r="E43" s="10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19190212</v>
      </c>
      <c r="C44" s="5">
        <v>1</v>
      </c>
      <c r="D44" s="69">
        <f t="shared" ca="1" si="0"/>
        <v>0</v>
      </c>
      <c r="E44" s="10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19190213</v>
      </c>
      <c r="C45" s="5">
        <v>1</v>
      </c>
      <c r="D45" s="69">
        <f t="shared" ca="1" si="0"/>
        <v>14.2</v>
      </c>
      <c r="E45" s="10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19190214</v>
      </c>
      <c r="C46" s="5">
        <v>1</v>
      </c>
      <c r="D46" s="69">
        <f t="shared" ca="1" si="0"/>
        <v>0.3</v>
      </c>
      <c r="E46" s="10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19190215</v>
      </c>
      <c r="C47" s="5">
        <v>1</v>
      </c>
      <c r="D47" s="69">
        <f t="shared" ca="1" si="0"/>
        <v>0</v>
      </c>
      <c r="E47" s="10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19190216</v>
      </c>
      <c r="C48" s="5">
        <v>1</v>
      </c>
      <c r="D48" s="69">
        <f t="shared" ca="1" si="0"/>
        <v>4.0999999999999996</v>
      </c>
      <c r="E48" s="10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19190217</v>
      </c>
      <c r="C49" s="5">
        <v>1</v>
      </c>
      <c r="D49" s="69">
        <f t="shared" ca="1" si="0"/>
        <v>0.5</v>
      </c>
      <c r="E49" s="10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19190218</v>
      </c>
      <c r="C50" s="5">
        <v>1</v>
      </c>
      <c r="D50" s="69">
        <f t="shared" ca="1" si="0"/>
        <v>0</v>
      </c>
      <c r="E50" s="10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19190219</v>
      </c>
      <c r="C51" s="5">
        <v>1</v>
      </c>
      <c r="D51" s="69">
        <f t="shared" ca="1" si="0"/>
        <v>0</v>
      </c>
      <c r="E51" s="10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19190220</v>
      </c>
      <c r="C52" s="5">
        <v>1</v>
      </c>
      <c r="D52" s="69">
        <f t="shared" ca="1" si="0"/>
        <v>0</v>
      </c>
      <c r="E52" s="10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19190221</v>
      </c>
      <c r="C53" s="5">
        <v>1</v>
      </c>
      <c r="D53" s="69">
        <f t="shared" ca="1" si="0"/>
        <v>1</v>
      </c>
      <c r="E53" s="10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19190222</v>
      </c>
      <c r="C54" s="5">
        <v>1</v>
      </c>
      <c r="D54" s="69">
        <f t="shared" ca="1" si="0"/>
        <v>0</v>
      </c>
      <c r="E54" s="10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19190223</v>
      </c>
      <c r="C55" s="5">
        <v>1</v>
      </c>
      <c r="D55" s="69">
        <f t="shared" ca="1" si="0"/>
        <v>0</v>
      </c>
      <c r="E55" s="10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19190224</v>
      </c>
      <c r="C56" s="5">
        <v>1</v>
      </c>
      <c r="D56" s="69">
        <f t="shared" ca="1" si="0"/>
        <v>0</v>
      </c>
      <c r="E56" s="10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19190225</v>
      </c>
      <c r="C57" s="5">
        <v>1</v>
      </c>
      <c r="D57" s="69">
        <f t="shared" ca="1" si="0"/>
        <v>0</v>
      </c>
      <c r="E57" s="10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19190226</v>
      </c>
      <c r="C58" s="5">
        <v>1</v>
      </c>
      <c r="D58" s="69">
        <f t="shared" ca="1" si="0"/>
        <v>0</v>
      </c>
      <c r="E58" s="10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19190227</v>
      </c>
      <c r="C59" s="5">
        <v>1</v>
      </c>
      <c r="D59" s="69">
        <f t="shared" ca="1" si="0"/>
        <v>0</v>
      </c>
      <c r="E59" s="10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19190228</v>
      </c>
      <c r="C60" s="5">
        <v>1</v>
      </c>
      <c r="D60" s="69">
        <f t="shared" ca="1" si="0"/>
        <v>0</v>
      </c>
      <c r="E60" s="10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19190301</v>
      </c>
      <c r="C61" s="5">
        <v>1</v>
      </c>
      <c r="D61" s="69">
        <f t="shared" ca="1" si="0"/>
        <v>0</v>
      </c>
      <c r="E61" s="10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19190302</v>
      </c>
      <c r="C62" s="5">
        <v>1</v>
      </c>
      <c r="D62" s="69">
        <f t="shared" ca="1" si="0"/>
        <v>0</v>
      </c>
      <c r="E62" s="10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19190303</v>
      </c>
      <c r="C63" s="5">
        <v>1</v>
      </c>
      <c r="D63" s="69">
        <f t="shared" ca="1" si="0"/>
        <v>0</v>
      </c>
      <c r="E63" s="10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19190304</v>
      </c>
      <c r="C64" s="5">
        <v>1</v>
      </c>
      <c r="D64" s="69">
        <f t="shared" ca="1" si="0"/>
        <v>0</v>
      </c>
      <c r="E64" s="10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19190305</v>
      </c>
      <c r="C65" s="5">
        <v>1</v>
      </c>
      <c r="D65" s="69">
        <f t="shared" ca="1" si="0"/>
        <v>0</v>
      </c>
      <c r="E65" s="10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19190306</v>
      </c>
      <c r="C66" s="5">
        <v>1</v>
      </c>
      <c r="D66" s="69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0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0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19190307</v>
      </c>
      <c r="C67" s="5">
        <v>1</v>
      </c>
      <c r="D67" s="69">
        <f t="shared" ca="1" si="2"/>
        <v>0</v>
      </c>
      <c r="E67" s="10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19190308</v>
      </c>
      <c r="C68" s="5">
        <v>1</v>
      </c>
      <c r="D68" s="69">
        <f t="shared" ca="1" si="2"/>
        <v>0</v>
      </c>
      <c r="E68" s="10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19190309</v>
      </c>
      <c r="C69" s="5">
        <v>1</v>
      </c>
      <c r="D69" s="69">
        <f t="shared" ca="1" si="2"/>
        <v>0</v>
      </c>
      <c r="E69" s="10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19190310</v>
      </c>
      <c r="C70" s="5">
        <v>1</v>
      </c>
      <c r="D70" s="69">
        <f t="shared" ca="1" si="2"/>
        <v>0.5</v>
      </c>
      <c r="E70" s="10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19190311</v>
      </c>
      <c r="C71" s="5">
        <v>1</v>
      </c>
      <c r="D71" s="69">
        <f t="shared" ca="1" si="2"/>
        <v>0.5</v>
      </c>
      <c r="E71" s="10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19190312</v>
      </c>
      <c r="C72" s="5">
        <v>1</v>
      </c>
      <c r="D72" s="69">
        <f t="shared" ca="1" si="2"/>
        <v>0</v>
      </c>
      <c r="E72" s="10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19190313</v>
      </c>
      <c r="C73" s="5">
        <v>1</v>
      </c>
      <c r="D73" s="69">
        <f t="shared" ca="1" si="2"/>
        <v>0</v>
      </c>
      <c r="E73" s="10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19190314</v>
      </c>
      <c r="C74" s="5">
        <v>1</v>
      </c>
      <c r="D74" s="69">
        <f t="shared" ca="1" si="2"/>
        <v>0</v>
      </c>
      <c r="E74" s="10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19190315</v>
      </c>
      <c r="C75" s="5">
        <v>1</v>
      </c>
      <c r="D75" s="69">
        <f t="shared" ca="1" si="2"/>
        <v>1.5</v>
      </c>
      <c r="E75" s="10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19190316</v>
      </c>
      <c r="C76" s="5">
        <v>1</v>
      </c>
      <c r="D76" s="69">
        <f t="shared" ca="1" si="2"/>
        <v>5.3</v>
      </c>
      <c r="E76" s="10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19190317</v>
      </c>
      <c r="C77" s="5">
        <v>1</v>
      </c>
      <c r="D77" s="69">
        <f t="shared" ca="1" si="2"/>
        <v>0.5</v>
      </c>
      <c r="E77" s="10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19190318</v>
      </c>
      <c r="C78" s="5">
        <v>1</v>
      </c>
      <c r="D78" s="69">
        <f t="shared" ca="1" si="2"/>
        <v>0</v>
      </c>
      <c r="E78" s="10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19190319</v>
      </c>
      <c r="C79" s="5">
        <v>1</v>
      </c>
      <c r="D79" s="69">
        <f t="shared" ca="1" si="2"/>
        <v>0.5</v>
      </c>
      <c r="E79" s="10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19190320</v>
      </c>
      <c r="C80" s="5">
        <v>1</v>
      </c>
      <c r="D80" s="69">
        <f t="shared" ca="1" si="2"/>
        <v>0</v>
      </c>
      <c r="E80" s="10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19190321</v>
      </c>
      <c r="C81" s="5">
        <v>1</v>
      </c>
      <c r="D81" s="69">
        <f t="shared" ca="1" si="2"/>
        <v>0</v>
      </c>
      <c r="E81" s="10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19190322</v>
      </c>
      <c r="C82" s="5">
        <v>1</v>
      </c>
      <c r="D82" s="69">
        <f t="shared" ca="1" si="2"/>
        <v>0</v>
      </c>
      <c r="E82" s="10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19190323</v>
      </c>
      <c r="C83" s="5">
        <v>1</v>
      </c>
      <c r="D83" s="69">
        <f t="shared" ca="1" si="2"/>
        <v>0</v>
      </c>
      <c r="E83" s="10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19190324</v>
      </c>
      <c r="C84" s="5">
        <v>1</v>
      </c>
      <c r="D84" s="69">
        <f t="shared" ca="1" si="2"/>
        <v>0</v>
      </c>
      <c r="E84" s="10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19190325</v>
      </c>
      <c r="C85" s="5">
        <v>1</v>
      </c>
      <c r="D85" s="69">
        <f t="shared" ca="1" si="2"/>
        <v>0.3</v>
      </c>
      <c r="E85" s="10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19190326</v>
      </c>
      <c r="C86" s="5">
        <v>1</v>
      </c>
      <c r="D86" s="69">
        <f t="shared" ca="1" si="2"/>
        <v>0</v>
      </c>
      <c r="E86" s="10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19190327</v>
      </c>
      <c r="C87" s="5">
        <v>1</v>
      </c>
      <c r="D87" s="69">
        <f t="shared" ca="1" si="2"/>
        <v>0.5</v>
      </c>
      <c r="E87" s="10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19190328</v>
      </c>
      <c r="C88" s="5">
        <v>1</v>
      </c>
      <c r="D88" s="69">
        <f t="shared" ca="1" si="2"/>
        <v>1.5</v>
      </c>
      <c r="E88" s="10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19190329</v>
      </c>
      <c r="C89" s="5">
        <v>1</v>
      </c>
      <c r="D89" s="69">
        <f t="shared" ca="1" si="2"/>
        <v>1</v>
      </c>
      <c r="E89" s="10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19190330</v>
      </c>
      <c r="C90" s="5">
        <v>1</v>
      </c>
      <c r="D90" s="69">
        <f t="shared" ca="1" si="2"/>
        <v>0</v>
      </c>
      <c r="E90" s="10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19190331</v>
      </c>
      <c r="C91" s="5">
        <v>1</v>
      </c>
      <c r="D91" s="69">
        <f t="shared" ca="1" si="2"/>
        <v>0.5</v>
      </c>
      <c r="E91" s="10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19190401</v>
      </c>
      <c r="C92" s="5">
        <v>1</v>
      </c>
      <c r="D92" s="69">
        <f t="shared" ca="1" si="2"/>
        <v>0</v>
      </c>
      <c r="E92" s="10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19190402</v>
      </c>
      <c r="C93" s="5">
        <v>1</v>
      </c>
      <c r="D93" s="69">
        <f t="shared" ca="1" si="2"/>
        <v>0</v>
      </c>
      <c r="E93" s="10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19190403</v>
      </c>
      <c r="C94" s="5">
        <v>1</v>
      </c>
      <c r="D94" s="69">
        <f t="shared" ca="1" si="2"/>
        <v>0</v>
      </c>
      <c r="E94" s="10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19190404</v>
      </c>
      <c r="C95" s="5">
        <v>1</v>
      </c>
      <c r="D95" s="69">
        <f t="shared" ca="1" si="2"/>
        <v>0</v>
      </c>
      <c r="E95" s="10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19190405</v>
      </c>
      <c r="C96" s="5">
        <v>1</v>
      </c>
      <c r="D96" s="69">
        <f t="shared" ca="1" si="2"/>
        <v>0</v>
      </c>
      <c r="E96" s="10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19190406</v>
      </c>
      <c r="C97" s="5">
        <v>1</v>
      </c>
      <c r="D97" s="69">
        <f t="shared" ca="1" si="2"/>
        <v>0</v>
      </c>
      <c r="E97" s="10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19190407</v>
      </c>
      <c r="C98" s="5">
        <v>1</v>
      </c>
      <c r="D98" s="69">
        <f t="shared" ca="1" si="2"/>
        <v>0</v>
      </c>
      <c r="E98" s="10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19190408</v>
      </c>
      <c r="C99" s="5">
        <v>1</v>
      </c>
      <c r="D99" s="69">
        <f t="shared" ca="1" si="2"/>
        <v>0</v>
      </c>
      <c r="E99" s="10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19190409</v>
      </c>
      <c r="C100" s="5">
        <v>1</v>
      </c>
      <c r="D100" s="69">
        <f t="shared" ca="1" si="2"/>
        <v>0</v>
      </c>
      <c r="E100" s="10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19190410</v>
      </c>
      <c r="C101" s="5">
        <v>1</v>
      </c>
      <c r="D101" s="69">
        <f t="shared" ca="1" si="2"/>
        <v>1</v>
      </c>
      <c r="E101" s="10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19190411</v>
      </c>
      <c r="C102" s="5">
        <v>1</v>
      </c>
      <c r="D102" s="69">
        <f t="shared" ca="1" si="2"/>
        <v>7.4</v>
      </c>
      <c r="E102" s="10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19190412</v>
      </c>
      <c r="C103" s="5">
        <v>1</v>
      </c>
      <c r="D103" s="69">
        <f t="shared" ca="1" si="2"/>
        <v>0</v>
      </c>
      <c r="E103" s="10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19190413</v>
      </c>
      <c r="C104" s="5">
        <v>1</v>
      </c>
      <c r="D104" s="69">
        <f t="shared" ca="1" si="2"/>
        <v>0</v>
      </c>
      <c r="E104" s="10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19190414</v>
      </c>
      <c r="C105" s="5">
        <v>1</v>
      </c>
      <c r="D105" s="69">
        <f t="shared" ca="1" si="2"/>
        <v>0</v>
      </c>
      <c r="E105" s="10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19190415</v>
      </c>
      <c r="C106" s="5">
        <v>1</v>
      </c>
      <c r="D106" s="69">
        <f t="shared" ca="1" si="2"/>
        <v>0</v>
      </c>
      <c r="E106" s="10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19190416</v>
      </c>
      <c r="C107" s="5">
        <v>1</v>
      </c>
      <c r="D107" s="69">
        <f t="shared" ca="1" si="2"/>
        <v>0</v>
      </c>
      <c r="E107" s="10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19190417</v>
      </c>
      <c r="C108" s="5">
        <v>1</v>
      </c>
      <c r="D108" s="69">
        <f t="shared" ca="1" si="2"/>
        <v>0</v>
      </c>
      <c r="E108" s="10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19190418</v>
      </c>
      <c r="C109" s="5">
        <v>1</v>
      </c>
      <c r="D109" s="69">
        <f t="shared" ca="1" si="2"/>
        <v>0</v>
      </c>
      <c r="E109" s="10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19190419</v>
      </c>
      <c r="C110" s="5">
        <v>1</v>
      </c>
      <c r="D110" s="69">
        <f t="shared" ca="1" si="2"/>
        <v>0</v>
      </c>
      <c r="E110" s="10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19190420</v>
      </c>
      <c r="C111" s="5">
        <v>1</v>
      </c>
      <c r="D111" s="69">
        <f t="shared" ca="1" si="2"/>
        <v>0</v>
      </c>
      <c r="E111" s="10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19190421</v>
      </c>
      <c r="C112" s="5">
        <v>1</v>
      </c>
      <c r="D112" s="69">
        <f t="shared" ca="1" si="2"/>
        <v>0</v>
      </c>
      <c r="E112" s="10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19190422</v>
      </c>
      <c r="C113" s="5">
        <v>1</v>
      </c>
      <c r="D113" s="69">
        <f t="shared" ca="1" si="2"/>
        <v>0</v>
      </c>
      <c r="E113" s="10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19190423</v>
      </c>
      <c r="C114" s="5">
        <v>1</v>
      </c>
      <c r="D114" s="69">
        <f t="shared" ca="1" si="2"/>
        <v>0</v>
      </c>
      <c r="E114" s="10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19190424</v>
      </c>
      <c r="C115" s="5">
        <v>1</v>
      </c>
      <c r="D115" s="69">
        <f t="shared" ca="1" si="2"/>
        <v>0.3</v>
      </c>
      <c r="E115" s="10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19190425</v>
      </c>
      <c r="C116" s="5">
        <v>1</v>
      </c>
      <c r="D116" s="69">
        <f t="shared" ca="1" si="2"/>
        <v>0</v>
      </c>
      <c r="E116" s="10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19190426</v>
      </c>
      <c r="C117" s="5">
        <v>1</v>
      </c>
      <c r="D117" s="69">
        <f t="shared" ca="1" si="2"/>
        <v>22.9</v>
      </c>
      <c r="E117" s="10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19190427</v>
      </c>
      <c r="C118" s="5">
        <v>1</v>
      </c>
      <c r="D118" s="69">
        <f t="shared" ca="1" si="2"/>
        <v>2.2999999999999998</v>
      </c>
      <c r="E118" s="10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19190428</v>
      </c>
      <c r="C119" s="5">
        <v>1</v>
      </c>
      <c r="D119" s="69">
        <f t="shared" ca="1" si="2"/>
        <v>0.5</v>
      </c>
      <c r="E119" s="10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19190429</v>
      </c>
      <c r="C120" s="5">
        <v>1</v>
      </c>
      <c r="D120" s="69">
        <f t="shared" ca="1" si="2"/>
        <v>0</v>
      </c>
      <c r="E120" s="10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19190430</v>
      </c>
      <c r="C121" s="5">
        <v>1</v>
      </c>
      <c r="D121" s="69">
        <f t="shared" ca="1" si="2"/>
        <v>2.2999999999999998</v>
      </c>
      <c r="E121" s="10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19190501</v>
      </c>
      <c r="C122" s="5">
        <v>1</v>
      </c>
      <c r="D122" s="69">
        <f t="shared" ca="1" si="2"/>
        <v>0</v>
      </c>
      <c r="E122" s="10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19190502</v>
      </c>
      <c r="C123" s="5">
        <v>1</v>
      </c>
      <c r="D123" s="69">
        <f t="shared" ca="1" si="2"/>
        <v>0</v>
      </c>
      <c r="E123" s="10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19190503</v>
      </c>
      <c r="C124" s="5">
        <v>1</v>
      </c>
      <c r="D124" s="69">
        <f t="shared" ca="1" si="2"/>
        <v>0</v>
      </c>
      <c r="E124" s="10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19190504</v>
      </c>
      <c r="C125" s="5">
        <v>1</v>
      </c>
      <c r="D125" s="69">
        <f t="shared" ca="1" si="2"/>
        <v>0.5</v>
      </c>
      <c r="E125" s="10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19190505</v>
      </c>
      <c r="C126" s="5">
        <v>1</v>
      </c>
      <c r="D126" s="69">
        <f t="shared" ca="1" si="2"/>
        <v>0</v>
      </c>
      <c r="E126" s="10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19190506</v>
      </c>
      <c r="C127" s="5">
        <v>1</v>
      </c>
      <c r="D127" s="69">
        <f t="shared" ca="1" si="2"/>
        <v>0</v>
      </c>
      <c r="E127" s="10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19190507</v>
      </c>
      <c r="C128" s="5">
        <v>1</v>
      </c>
      <c r="D128" s="69">
        <f t="shared" ca="1" si="2"/>
        <v>0</v>
      </c>
      <c r="E128" s="10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19190508</v>
      </c>
      <c r="C129" s="5">
        <v>1</v>
      </c>
      <c r="D129" s="69">
        <f t="shared" ca="1" si="2"/>
        <v>0</v>
      </c>
      <c r="E129" s="10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19190509</v>
      </c>
      <c r="C130" s="5">
        <v>1</v>
      </c>
      <c r="D130" s="69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0.8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19190510</v>
      </c>
      <c r="C131" s="5">
        <v>1</v>
      </c>
      <c r="D131" s="69">
        <f t="shared" ca="1" si="4"/>
        <v>0</v>
      </c>
      <c r="E131" s="10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19190511</v>
      </c>
      <c r="C132" s="5">
        <v>1</v>
      </c>
      <c r="D132" s="69">
        <f t="shared" ca="1" si="4"/>
        <v>1</v>
      </c>
      <c r="E132" s="10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19190512</v>
      </c>
      <c r="C133" s="5">
        <v>1</v>
      </c>
      <c r="D133" s="69">
        <f t="shared" ca="1" si="4"/>
        <v>2</v>
      </c>
      <c r="E133" s="10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19190513</v>
      </c>
      <c r="C134" s="5">
        <v>1</v>
      </c>
      <c r="D134" s="69">
        <f t="shared" ca="1" si="4"/>
        <v>0</v>
      </c>
      <c r="E134" s="10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19190514</v>
      </c>
      <c r="C135" s="5">
        <v>1</v>
      </c>
      <c r="D135" s="69">
        <f t="shared" ca="1" si="4"/>
        <v>0</v>
      </c>
      <c r="E135" s="10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19190515</v>
      </c>
      <c r="C136" s="5">
        <v>1</v>
      </c>
      <c r="D136" s="69">
        <f t="shared" ca="1" si="4"/>
        <v>0</v>
      </c>
      <c r="E136" s="10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19190516</v>
      </c>
      <c r="C137" s="5">
        <v>1</v>
      </c>
      <c r="D137" s="69">
        <f t="shared" ca="1" si="4"/>
        <v>0</v>
      </c>
      <c r="E137" s="10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19190517</v>
      </c>
      <c r="C138" s="5">
        <v>1</v>
      </c>
      <c r="D138" s="69">
        <f t="shared" ca="1" si="4"/>
        <v>3.6</v>
      </c>
      <c r="E138" s="10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19190518</v>
      </c>
      <c r="C139" s="5">
        <v>1</v>
      </c>
      <c r="D139" s="69">
        <f t="shared" ca="1" si="4"/>
        <v>6.9</v>
      </c>
      <c r="E139" s="10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19190519</v>
      </c>
      <c r="C140" s="5">
        <v>1</v>
      </c>
      <c r="D140" s="69">
        <f t="shared" ca="1" si="4"/>
        <v>0</v>
      </c>
      <c r="E140" s="10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19190520</v>
      </c>
      <c r="C141" s="5">
        <v>1</v>
      </c>
      <c r="D141" s="69">
        <f t="shared" ca="1" si="4"/>
        <v>0</v>
      </c>
      <c r="E141" s="10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19190521</v>
      </c>
      <c r="C142" s="5">
        <v>1</v>
      </c>
      <c r="D142" s="69">
        <f t="shared" ca="1" si="4"/>
        <v>0</v>
      </c>
      <c r="E142" s="10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19190522</v>
      </c>
      <c r="C143" s="5">
        <v>1</v>
      </c>
      <c r="D143" s="69">
        <f t="shared" ca="1" si="4"/>
        <v>0</v>
      </c>
      <c r="E143" s="10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19190523</v>
      </c>
      <c r="C144" s="5">
        <v>1</v>
      </c>
      <c r="D144" s="69">
        <f t="shared" ca="1" si="4"/>
        <v>0.5</v>
      </c>
      <c r="E144" s="10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19190524</v>
      </c>
      <c r="C145" s="5">
        <v>1</v>
      </c>
      <c r="D145" s="69">
        <f t="shared" ca="1" si="4"/>
        <v>0.8</v>
      </c>
      <c r="E145" s="10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19190525</v>
      </c>
      <c r="C146" s="5">
        <v>1</v>
      </c>
      <c r="D146" s="69">
        <f t="shared" ca="1" si="4"/>
        <v>0</v>
      </c>
      <c r="E146" s="10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19190526</v>
      </c>
      <c r="C147" s="5">
        <v>1</v>
      </c>
      <c r="D147" s="69">
        <f t="shared" ca="1" si="4"/>
        <v>0</v>
      </c>
      <c r="E147" s="10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19190527</v>
      </c>
      <c r="C148" s="5">
        <v>1</v>
      </c>
      <c r="D148" s="69">
        <f t="shared" ca="1" si="4"/>
        <v>0</v>
      </c>
      <c r="E148" s="10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19190528</v>
      </c>
      <c r="C149" s="5">
        <v>1</v>
      </c>
      <c r="D149" s="69">
        <f t="shared" ca="1" si="4"/>
        <v>0.3</v>
      </c>
      <c r="E149" s="10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19190529</v>
      </c>
      <c r="C150" s="5">
        <v>1</v>
      </c>
      <c r="D150" s="69">
        <f t="shared" ca="1" si="4"/>
        <v>0</v>
      </c>
      <c r="E150" s="10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19190530</v>
      </c>
      <c r="C151" s="5">
        <v>1</v>
      </c>
      <c r="D151" s="69">
        <f t="shared" ca="1" si="4"/>
        <v>0</v>
      </c>
      <c r="E151" s="10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19190531</v>
      </c>
      <c r="C152" s="5">
        <v>1</v>
      </c>
      <c r="D152" s="69">
        <f t="shared" ca="1" si="4"/>
        <v>0</v>
      </c>
      <c r="E152" s="10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19190601</v>
      </c>
      <c r="C153" s="5">
        <v>1</v>
      </c>
      <c r="D153" s="69">
        <f t="shared" ca="1" si="4"/>
        <v>0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19190602</v>
      </c>
      <c r="C154" s="5">
        <v>1</v>
      </c>
      <c r="D154" s="69">
        <f t="shared" ca="1" si="4"/>
        <v>0</v>
      </c>
      <c r="E154" s="10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19190603</v>
      </c>
      <c r="C155" s="5">
        <v>1</v>
      </c>
      <c r="D155" s="69">
        <f t="shared" ca="1" si="4"/>
        <v>0</v>
      </c>
      <c r="E155" s="10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19190604</v>
      </c>
      <c r="C156" s="5">
        <v>1</v>
      </c>
      <c r="D156" s="69">
        <f t="shared" ca="1" si="4"/>
        <v>1.5</v>
      </c>
      <c r="E156" s="10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19190605</v>
      </c>
      <c r="C157" s="5">
        <v>1</v>
      </c>
      <c r="D157" s="69">
        <f t="shared" ca="1" si="4"/>
        <v>1.5</v>
      </c>
      <c r="E157" s="10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19190606</v>
      </c>
      <c r="C158" s="5">
        <v>1</v>
      </c>
      <c r="D158" s="69">
        <f t="shared" ca="1" si="4"/>
        <v>0.5</v>
      </c>
      <c r="E158" s="10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19190607</v>
      </c>
      <c r="C159" s="5">
        <v>1</v>
      </c>
      <c r="D159" s="69">
        <f t="shared" ca="1" si="4"/>
        <v>0</v>
      </c>
      <c r="E159" s="10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19190608</v>
      </c>
      <c r="C160" s="5">
        <v>1</v>
      </c>
      <c r="D160" s="69">
        <f t="shared" ca="1" si="4"/>
        <v>0.3</v>
      </c>
      <c r="E160" s="10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19190609</v>
      </c>
      <c r="C161" s="5">
        <v>1</v>
      </c>
      <c r="D161" s="69">
        <f t="shared" ca="1" si="4"/>
        <v>1.5</v>
      </c>
      <c r="E161" s="10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19190610</v>
      </c>
      <c r="C162" s="5">
        <v>1</v>
      </c>
      <c r="D162" s="69">
        <f t="shared" ca="1" si="4"/>
        <v>1</v>
      </c>
      <c r="E162" s="10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19190611</v>
      </c>
      <c r="C163" s="5">
        <v>1</v>
      </c>
      <c r="D163" s="69">
        <f t="shared" ca="1" si="4"/>
        <v>0.3</v>
      </c>
      <c r="E163" s="10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19190612</v>
      </c>
      <c r="C164" s="5">
        <v>1</v>
      </c>
      <c r="D164" s="69">
        <f t="shared" ca="1" si="4"/>
        <v>0</v>
      </c>
      <c r="E164" s="10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19190613</v>
      </c>
      <c r="C165" s="5">
        <v>1</v>
      </c>
      <c r="D165" s="69">
        <f t="shared" ca="1" si="4"/>
        <v>0</v>
      </c>
      <c r="E165" s="10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19190614</v>
      </c>
      <c r="C166" s="5">
        <v>1</v>
      </c>
      <c r="D166" s="69">
        <f t="shared" ca="1" si="4"/>
        <v>0</v>
      </c>
      <c r="E166" s="10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19190615</v>
      </c>
      <c r="C167" s="5">
        <v>1</v>
      </c>
      <c r="D167" s="69">
        <f t="shared" ca="1" si="4"/>
        <v>0</v>
      </c>
      <c r="E167" s="10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19190616</v>
      </c>
      <c r="C168" s="5">
        <v>1</v>
      </c>
      <c r="D168" s="69">
        <f t="shared" ca="1" si="4"/>
        <v>0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19190617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19190618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19190619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19190620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19190621</v>
      </c>
      <c r="C173" s="5">
        <v>1</v>
      </c>
      <c r="D173" s="69">
        <f t="shared" ca="1" si="4"/>
        <v>0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19190622</v>
      </c>
      <c r="C174" s="5">
        <v>1</v>
      </c>
      <c r="D174" s="69">
        <f t="shared" ca="1" si="4"/>
        <v>0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19190623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19190624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19190625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19190626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19190627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19190628</v>
      </c>
      <c r="C180" s="5">
        <v>1</v>
      </c>
      <c r="D180" s="69">
        <f t="shared" ca="1" si="4"/>
        <v>0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19190629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19190630</v>
      </c>
      <c r="C182" s="5">
        <v>1</v>
      </c>
      <c r="D182" s="69">
        <f t="shared" ca="1" si="4"/>
        <v>0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19190701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19190702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19190703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19190704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19190705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19190706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19190707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19190708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19190709</v>
      </c>
      <c r="C191" s="5">
        <v>1</v>
      </c>
      <c r="D191" s="69">
        <f t="shared" ca="1" si="4"/>
        <v>0.3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19190710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19190711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19190712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19190713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19190714</v>
      </c>
      <c r="C196" s="5">
        <v>1</v>
      </c>
      <c r="D196" s="69">
        <f t="shared" ca="1" si="6"/>
        <v>0.5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19190715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19190716</v>
      </c>
      <c r="C198" s="5">
        <v>1</v>
      </c>
      <c r="D198" s="69">
        <f t="shared" ca="1" si="6"/>
        <v>1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19190717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19190718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19190719</v>
      </c>
      <c r="C201" s="5">
        <v>1</v>
      </c>
      <c r="D201" s="69">
        <f t="shared" ca="1" si="6"/>
        <v>0.3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19190720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19190721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19190722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19190723</v>
      </c>
      <c r="C205" s="5">
        <v>1</v>
      </c>
      <c r="D205" s="69">
        <f t="shared" ca="1" si="6"/>
        <v>1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19190724</v>
      </c>
      <c r="C206" s="5">
        <v>1</v>
      </c>
      <c r="D206" s="69">
        <f t="shared" ca="1" si="6"/>
        <v>0.5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19190725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19190726</v>
      </c>
      <c r="C208" s="5">
        <v>1</v>
      </c>
      <c r="D208" s="69">
        <f t="shared" ca="1" si="6"/>
        <v>0.8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19190727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19190728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19190729</v>
      </c>
      <c r="C211" s="5">
        <v>1</v>
      </c>
      <c r="D211" s="69">
        <f t="shared" ca="1" si="6"/>
        <v>4.8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19190730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19190731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19190801</v>
      </c>
      <c r="C214" s="5">
        <v>1</v>
      </c>
      <c r="D214" s="69">
        <f t="shared" ca="1" si="6"/>
        <v>1.5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19190802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19190803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19190804</v>
      </c>
      <c r="C217" s="5">
        <v>1</v>
      </c>
      <c r="D217" s="69">
        <f t="shared" ca="1" si="6"/>
        <v>3.6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19190805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19190806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19190807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19190808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19190809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19190810</v>
      </c>
      <c r="C223" s="5">
        <v>1</v>
      </c>
      <c r="D223" s="69">
        <f t="shared" ca="1" si="6"/>
        <v>0.5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19190811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19190812</v>
      </c>
      <c r="C225" s="5">
        <v>1</v>
      </c>
      <c r="D225" s="69">
        <f t="shared" ca="1" si="6"/>
        <v>0.8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19190813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19190814</v>
      </c>
      <c r="C227" s="5">
        <v>1</v>
      </c>
      <c r="D227" s="69">
        <f t="shared" ca="1" si="6"/>
        <v>0.5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19190815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19190816</v>
      </c>
      <c r="C229" s="5">
        <v>1</v>
      </c>
      <c r="D229" s="69">
        <f t="shared" ca="1" si="6"/>
        <v>0.8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19190817</v>
      </c>
      <c r="C230" s="5">
        <v>1</v>
      </c>
      <c r="D230" s="69">
        <f t="shared" ca="1" si="6"/>
        <v>9.6999999999999993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19190818</v>
      </c>
      <c r="C231" s="5">
        <v>1</v>
      </c>
      <c r="D231" s="69">
        <f t="shared" ca="1" si="6"/>
        <v>0.5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19190819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19190820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19190821</v>
      </c>
      <c r="C234" s="5">
        <v>1</v>
      </c>
      <c r="D234" s="69">
        <f t="shared" ca="1" si="6"/>
        <v>0.8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19190822</v>
      </c>
      <c r="C235" s="5">
        <v>1</v>
      </c>
      <c r="D235" s="69">
        <f t="shared" ca="1" si="6"/>
        <v>0.5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19190823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19190824</v>
      </c>
      <c r="C237" s="5">
        <v>1</v>
      </c>
      <c r="D237" s="69">
        <f t="shared" ca="1" si="6"/>
        <v>2.2999999999999998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19190825</v>
      </c>
      <c r="C238" s="5">
        <v>1</v>
      </c>
      <c r="D238" s="69">
        <f t="shared" ca="1" si="6"/>
        <v>1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19190826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19190827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19190828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19190829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19190830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19190831</v>
      </c>
      <c r="C244" s="5">
        <v>1</v>
      </c>
      <c r="D244" s="69">
        <f t="shared" ca="1" si="6"/>
        <v>4.0999999999999996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19190901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19190902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19190903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19190904</v>
      </c>
      <c r="C248" s="5">
        <v>1</v>
      </c>
      <c r="D248" s="69">
        <f t="shared" ca="1" si="6"/>
        <v>2.2999999999999998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19190905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19190906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19190907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19190908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19190909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19190910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19190911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19190912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19190913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19190914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19190915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19190916</v>
      </c>
      <c r="C260" s="5">
        <v>1</v>
      </c>
      <c r="D260" s="69">
        <f t="shared" ca="1" si="8"/>
        <v>3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19190917</v>
      </c>
      <c r="C261" s="5">
        <v>1</v>
      </c>
      <c r="D261" s="69">
        <f t="shared" ca="1" si="8"/>
        <v>0.5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19190918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19190919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19190920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19190921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19190922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19190923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19190924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19190925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19190926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19190927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19190928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19190929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19190930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19191001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19191002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19191003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19191004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19191005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19191006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19191007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19191008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19191009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19191010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19191011</v>
      </c>
      <c r="C285" s="5">
        <v>1</v>
      </c>
      <c r="D285" s="69">
        <f t="shared" ca="1" si="8"/>
        <v>0.8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19191012</v>
      </c>
      <c r="C286" s="5">
        <v>1</v>
      </c>
      <c r="D286" s="69">
        <f t="shared" ca="1" si="8"/>
        <v>8.6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19191013</v>
      </c>
      <c r="C287" s="5">
        <v>1</v>
      </c>
      <c r="D287" s="69">
        <f t="shared" ca="1" si="8"/>
        <v>0.5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19191014</v>
      </c>
      <c r="C288" s="5">
        <v>1</v>
      </c>
      <c r="D288" s="69">
        <f t="shared" ca="1" si="8"/>
        <v>13.5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19191015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19191016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19191017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19191018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19191019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19191020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19191021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19191022</v>
      </c>
      <c r="C296" s="5">
        <v>1</v>
      </c>
      <c r="D296" s="69">
        <f t="shared" ca="1" si="8"/>
        <v>1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19191023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19191024</v>
      </c>
      <c r="C298" s="5">
        <v>1</v>
      </c>
      <c r="D298" s="69">
        <f t="shared" ca="1" si="8"/>
        <v>5.6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19191025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19191026</v>
      </c>
      <c r="C300" s="5">
        <v>1</v>
      </c>
      <c r="D300" s="69">
        <f t="shared" ca="1" si="8"/>
        <v>0.5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19191027</v>
      </c>
      <c r="C301" s="5">
        <v>1</v>
      </c>
      <c r="D301" s="69">
        <f t="shared" ca="1" si="8"/>
        <v>0.8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19191028</v>
      </c>
      <c r="C302" s="5">
        <v>1</v>
      </c>
      <c r="D302" s="69">
        <f t="shared" ca="1" si="8"/>
        <v>2.8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19191029</v>
      </c>
      <c r="C303" s="5">
        <v>1</v>
      </c>
      <c r="D303" s="69">
        <f t="shared" ca="1" si="8"/>
        <v>0.3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19191030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19191031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19191101</v>
      </c>
      <c r="C306" s="5">
        <v>1</v>
      </c>
      <c r="D306" s="69">
        <f t="shared" ca="1" si="8"/>
        <v>0.8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19191102</v>
      </c>
      <c r="C307" s="5">
        <v>1</v>
      </c>
      <c r="D307" s="69">
        <f t="shared" ca="1" si="8"/>
        <v>1.5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19191103</v>
      </c>
      <c r="C308" s="5">
        <v>1</v>
      </c>
      <c r="D308" s="69">
        <f t="shared" ca="1" si="8"/>
        <v>3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19191104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19191105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19191106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19191107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19191108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19191109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19191110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19191111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19191112</v>
      </c>
      <c r="C317" s="5">
        <v>1</v>
      </c>
      <c r="D317" s="69">
        <f t="shared" ca="1" si="8"/>
        <v>2.5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19191113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19191114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19191115</v>
      </c>
      <c r="C320" s="5">
        <v>1</v>
      </c>
      <c r="D320" s="69">
        <f t="shared" ca="1" si="8"/>
        <v>0.8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19191116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19191117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0.5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19191118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19191119</v>
      </c>
      <c r="C324" s="5">
        <v>1</v>
      </c>
      <c r="D324" s="69">
        <f t="shared" ca="1" si="10"/>
        <v>0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19191120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19191121</v>
      </c>
      <c r="C326" s="5">
        <v>1</v>
      </c>
      <c r="D326" s="69">
        <f t="shared" ca="1" si="10"/>
        <v>1.5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19191122</v>
      </c>
      <c r="C327" s="5">
        <v>1</v>
      </c>
      <c r="D327" s="69">
        <f t="shared" ca="1" si="10"/>
        <v>1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19191123</v>
      </c>
      <c r="C328" s="5">
        <v>1</v>
      </c>
      <c r="D328" s="69">
        <f t="shared" ca="1" si="10"/>
        <v>0.8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19191124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19191125</v>
      </c>
      <c r="C330" s="5">
        <v>1</v>
      </c>
      <c r="D330" s="69">
        <f t="shared" ca="1" si="10"/>
        <v>0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19191126</v>
      </c>
      <c r="C331" s="5">
        <v>1</v>
      </c>
      <c r="D331" s="69">
        <f t="shared" ca="1" si="10"/>
        <v>6.1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19191127</v>
      </c>
      <c r="C332" s="5">
        <v>1</v>
      </c>
      <c r="D332" s="69">
        <f t="shared" ca="1" si="10"/>
        <v>0.8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19191128</v>
      </c>
      <c r="C333" s="5">
        <v>1</v>
      </c>
      <c r="D333" s="69">
        <f t="shared" ca="1" si="10"/>
        <v>26.9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19191129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19191130</v>
      </c>
      <c r="C335" s="5">
        <v>1</v>
      </c>
      <c r="D335" s="69">
        <f t="shared" ca="1" si="10"/>
        <v>8.1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19191201</v>
      </c>
      <c r="C336" s="5">
        <v>1</v>
      </c>
      <c r="D336" s="69">
        <f t="shared" ca="1" si="10"/>
        <v>1</v>
      </c>
      <c r="E336" s="10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19191202</v>
      </c>
      <c r="C337" s="5">
        <v>1</v>
      </c>
      <c r="D337" s="69">
        <f t="shared" ca="1" si="10"/>
        <v>0</v>
      </c>
      <c r="E337" s="10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19191203</v>
      </c>
      <c r="C338" s="5">
        <v>1</v>
      </c>
      <c r="D338" s="69">
        <f t="shared" ca="1" si="10"/>
        <v>1</v>
      </c>
      <c r="E338" s="10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19191204</v>
      </c>
      <c r="C339" s="5">
        <v>1</v>
      </c>
      <c r="D339" s="69">
        <f t="shared" ca="1" si="10"/>
        <v>0</v>
      </c>
      <c r="E339" s="10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19191205</v>
      </c>
      <c r="C340" s="5">
        <v>1</v>
      </c>
      <c r="D340" s="69">
        <f t="shared" ca="1" si="10"/>
        <v>0</v>
      </c>
      <c r="E340" s="10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19191206</v>
      </c>
      <c r="C341" s="5">
        <v>1</v>
      </c>
      <c r="D341" s="69">
        <f t="shared" ca="1" si="10"/>
        <v>0</v>
      </c>
      <c r="E341" s="10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19191207</v>
      </c>
      <c r="C342" s="5">
        <v>1</v>
      </c>
      <c r="D342" s="69">
        <f t="shared" ca="1" si="10"/>
        <v>13.7</v>
      </c>
      <c r="E342" s="10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19191208</v>
      </c>
      <c r="C343" s="5">
        <v>1</v>
      </c>
      <c r="D343" s="69">
        <f t="shared" ca="1" si="10"/>
        <v>0</v>
      </c>
      <c r="E343" s="10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19191209</v>
      </c>
      <c r="C344" s="5">
        <v>1</v>
      </c>
      <c r="D344" s="69">
        <f t="shared" ca="1" si="10"/>
        <v>0</v>
      </c>
      <c r="E344" s="10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19191210</v>
      </c>
      <c r="C345" s="5">
        <v>1</v>
      </c>
      <c r="D345" s="69">
        <f t="shared" ca="1" si="10"/>
        <v>16.3</v>
      </c>
      <c r="E345" s="10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19191211</v>
      </c>
      <c r="C346" s="5">
        <v>1</v>
      </c>
      <c r="D346" s="69">
        <f t="shared" ca="1" si="10"/>
        <v>12.2</v>
      </c>
      <c r="E346" s="10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19191212</v>
      </c>
      <c r="C347" s="5">
        <v>1</v>
      </c>
      <c r="D347" s="69">
        <f t="shared" ca="1" si="10"/>
        <v>0.3</v>
      </c>
      <c r="E347" s="10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19191213</v>
      </c>
      <c r="C348" s="5">
        <v>1</v>
      </c>
      <c r="D348" s="69">
        <f t="shared" ca="1" si="10"/>
        <v>0</v>
      </c>
      <c r="E348" s="10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19191214</v>
      </c>
      <c r="C349" s="5">
        <v>1</v>
      </c>
      <c r="D349" s="69">
        <f t="shared" ca="1" si="10"/>
        <v>2.2999999999999998</v>
      </c>
      <c r="E349" s="10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19191215</v>
      </c>
      <c r="C350" s="5">
        <v>1</v>
      </c>
      <c r="D350" s="69">
        <f t="shared" ca="1" si="10"/>
        <v>0</v>
      </c>
      <c r="E350" s="10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19191216</v>
      </c>
      <c r="C351" s="5">
        <v>1</v>
      </c>
      <c r="D351" s="69">
        <f t="shared" ca="1" si="10"/>
        <v>0.8</v>
      </c>
      <c r="E351" s="10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19191217</v>
      </c>
      <c r="C352" s="5">
        <v>1</v>
      </c>
      <c r="D352" s="69">
        <f t="shared" ca="1" si="10"/>
        <v>0</v>
      </c>
      <c r="E352" s="10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19191218</v>
      </c>
      <c r="C353" s="5">
        <v>1</v>
      </c>
      <c r="D353" s="69">
        <f t="shared" ca="1" si="10"/>
        <v>0</v>
      </c>
      <c r="E353" s="10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19191219</v>
      </c>
      <c r="C354" s="5">
        <v>1</v>
      </c>
      <c r="D354" s="69">
        <f t="shared" ca="1" si="10"/>
        <v>0</v>
      </c>
      <c r="E354" s="10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19191220</v>
      </c>
      <c r="C355" s="5">
        <v>1</v>
      </c>
      <c r="D355" s="69">
        <f t="shared" ca="1" si="10"/>
        <v>0</v>
      </c>
      <c r="E355" s="10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19191221</v>
      </c>
      <c r="C356" s="5">
        <v>1</v>
      </c>
      <c r="D356" s="69">
        <f t="shared" ca="1" si="10"/>
        <v>0</v>
      </c>
      <c r="E356" s="10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19191222</v>
      </c>
      <c r="C357" s="5">
        <v>1</v>
      </c>
      <c r="D357" s="69">
        <f t="shared" ca="1" si="10"/>
        <v>18.8</v>
      </c>
      <c r="E357" s="10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19191223</v>
      </c>
      <c r="C358" s="5">
        <v>1</v>
      </c>
      <c r="D358" s="69">
        <f t="shared" ca="1" si="10"/>
        <v>0</v>
      </c>
      <c r="E358" s="10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19191224</v>
      </c>
      <c r="C359" s="5">
        <v>1</v>
      </c>
      <c r="D359" s="69">
        <f t="shared" ca="1" si="10"/>
        <v>0.5</v>
      </c>
      <c r="E359" s="10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19191225</v>
      </c>
      <c r="C360" s="5">
        <v>1</v>
      </c>
      <c r="D360" s="69">
        <f t="shared" ca="1" si="10"/>
        <v>0</v>
      </c>
      <c r="E360" s="10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19191226</v>
      </c>
      <c r="C361" s="5">
        <v>1</v>
      </c>
      <c r="D361" s="69">
        <f t="shared" ca="1" si="10"/>
        <v>0</v>
      </c>
      <c r="E361" s="10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19191227</v>
      </c>
      <c r="C362" s="5">
        <v>1</v>
      </c>
      <c r="D362" s="69">
        <f t="shared" ca="1" si="10"/>
        <v>0</v>
      </c>
      <c r="E362" s="10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19191228</v>
      </c>
      <c r="C363" s="5">
        <v>1</v>
      </c>
      <c r="D363" s="69">
        <f t="shared" ca="1" si="10"/>
        <v>0</v>
      </c>
      <c r="E363" s="10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19191229</v>
      </c>
      <c r="C364" s="5">
        <v>1</v>
      </c>
      <c r="D364" s="69">
        <f t="shared" ca="1" si="10"/>
        <v>0.5</v>
      </c>
      <c r="E364" s="10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19191230</v>
      </c>
      <c r="C365" s="5">
        <v>1</v>
      </c>
      <c r="D365" s="69">
        <f t="shared" ca="1" si="10"/>
        <v>0</v>
      </c>
      <c r="E365" s="10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19191231</v>
      </c>
      <c r="C366" s="5">
        <v>1</v>
      </c>
      <c r="D366" s="69">
        <f t="shared" ca="1" si="10"/>
        <v>1.3</v>
      </c>
      <c r="E366" s="10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19190101</v>
      </c>
      <c r="C2" s="72">
        <f t="shared" ref="C2:C65" si="1">Tijd</f>
        <v>700</v>
      </c>
      <c r="D2" s="16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25.6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" s="73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764.29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" s="73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6.38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" s="73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757.91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" s="16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760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28.7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" s="16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21.8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" s="9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" s="76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1.5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19190102</v>
      </c>
      <c r="C3" s="72">
        <f t="shared" si="1"/>
        <v>700</v>
      </c>
      <c r="D3" s="16">
        <f t="shared" ca="1" si="2"/>
        <v>25</v>
      </c>
      <c r="E3" s="15">
        <f t="shared" ca="1" si="3"/>
        <v>0</v>
      </c>
      <c r="F3" s="73">
        <f t="shared" ca="1" si="4"/>
        <v>763.22</v>
      </c>
      <c r="G3" s="15">
        <f t="shared" ca="1" si="5"/>
        <v>0</v>
      </c>
      <c r="H3" s="73">
        <f t="shared" ca="1" si="6"/>
        <v>6.3</v>
      </c>
      <c r="I3" s="15">
        <f t="shared" ca="1" si="7"/>
        <v>0</v>
      </c>
      <c r="J3" s="73">
        <f t="shared" ca="1" si="8"/>
        <v>756.92</v>
      </c>
      <c r="K3" s="15">
        <f t="shared" ca="1" si="9"/>
        <v>0</v>
      </c>
      <c r="L3" s="16">
        <f t="shared" ca="1" si="10"/>
        <v>759</v>
      </c>
      <c r="M3" s="15">
        <f t="shared" ca="1" si="11"/>
        <v>0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>
        <f t="shared" ca="1" si="22"/>
        <v>28.2</v>
      </c>
      <c r="Y3" s="15">
        <f t="shared" ca="1" si="23"/>
        <v>0</v>
      </c>
      <c r="Z3" s="16">
        <f t="shared" ca="1" si="24"/>
        <v>22.4</v>
      </c>
      <c r="AA3" s="15">
        <f t="shared" ca="1" si="25"/>
        <v>0</v>
      </c>
      <c r="AB3" s="9">
        <f t="shared" ca="1" si="26"/>
        <v>0</v>
      </c>
      <c r="AC3" s="15">
        <f t="shared" ca="1" si="27"/>
        <v>0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19190103</v>
      </c>
      <c r="C4" s="72">
        <f t="shared" si="1"/>
        <v>700</v>
      </c>
      <c r="D4" s="16">
        <f t="shared" ca="1" si="2"/>
        <v>25</v>
      </c>
      <c r="E4" s="15">
        <f t="shared" ca="1" si="3"/>
        <v>0</v>
      </c>
      <c r="F4" s="73">
        <f t="shared" ca="1" si="4"/>
        <v>763.35</v>
      </c>
      <c r="G4" s="15">
        <f t="shared" ca="1" si="5"/>
        <v>0</v>
      </c>
      <c r="H4" s="73">
        <f t="shared" ca="1" si="6"/>
        <v>6.3</v>
      </c>
      <c r="I4" s="15">
        <f t="shared" ca="1" si="7"/>
        <v>0</v>
      </c>
      <c r="J4" s="73">
        <f t="shared" ca="1" si="8"/>
        <v>757.05</v>
      </c>
      <c r="K4" s="15">
        <f t="shared" ca="1" si="9"/>
        <v>0</v>
      </c>
      <c r="L4" s="16">
        <f t="shared" ca="1" si="10"/>
        <v>759.2</v>
      </c>
      <c r="M4" s="15">
        <f t="shared" ca="1" si="11"/>
        <v>0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>
        <f t="shared" ca="1" si="22"/>
        <v>27.1</v>
      </c>
      <c r="Y4" s="15">
        <f t="shared" ca="1" si="23"/>
        <v>0</v>
      </c>
      <c r="Z4" s="16">
        <f t="shared" ca="1" si="24"/>
        <v>22.2</v>
      </c>
      <c r="AA4" s="15">
        <f t="shared" ca="1" si="25"/>
        <v>0</v>
      </c>
      <c r="AB4" s="9">
        <f t="shared" ca="1" si="26"/>
        <v>90</v>
      </c>
      <c r="AC4" s="15">
        <f t="shared" ca="1" si="27"/>
        <v>0</v>
      </c>
      <c r="AD4" s="76">
        <f t="shared" ca="1" si="28"/>
        <v>1.5</v>
      </c>
      <c r="AE4" s="15">
        <f t="shared" ca="1" si="29"/>
        <v>0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>
        <f t="shared" ca="1" si="38"/>
        <v>90</v>
      </c>
      <c r="AO4" s="15">
        <f t="shared" ca="1" si="39"/>
        <v>0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19190104</v>
      </c>
      <c r="C5" s="72">
        <f t="shared" si="1"/>
        <v>700</v>
      </c>
      <c r="D5" s="16">
        <f t="shared" ca="1" si="2"/>
        <v>25.8</v>
      </c>
      <c r="E5" s="15">
        <f t="shared" ca="1" si="3"/>
        <v>0</v>
      </c>
      <c r="F5" s="73">
        <f t="shared" ca="1" si="4"/>
        <v>764.29</v>
      </c>
      <c r="G5" s="15">
        <f t="shared" ca="1" si="5"/>
        <v>0</v>
      </c>
      <c r="H5" s="73">
        <f t="shared" ca="1" si="6"/>
        <v>6.4</v>
      </c>
      <c r="I5" s="15">
        <f t="shared" ca="1" si="7"/>
        <v>0</v>
      </c>
      <c r="J5" s="73">
        <f t="shared" ca="1" si="8"/>
        <v>757.89</v>
      </c>
      <c r="K5" s="15">
        <f t="shared" ca="1" si="9"/>
        <v>0</v>
      </c>
      <c r="L5" s="16">
        <f t="shared" ca="1" si="10"/>
        <v>760</v>
      </c>
      <c r="M5" s="15">
        <f t="shared" ca="1" si="11"/>
        <v>0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>
        <f t="shared" ca="1" si="22"/>
        <v>28.4</v>
      </c>
      <c r="Y5" s="15">
        <f t="shared" ca="1" si="23"/>
        <v>0</v>
      </c>
      <c r="Z5" s="16">
        <f t="shared" ca="1" si="24"/>
        <v>23.8</v>
      </c>
      <c r="AA5" s="15">
        <f t="shared" ca="1" si="25"/>
        <v>0</v>
      </c>
      <c r="AB5" s="9">
        <f t="shared" ca="1" si="26"/>
        <v>0</v>
      </c>
      <c r="AC5" s="15">
        <f t="shared" ca="1" si="27"/>
        <v>0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19190105</v>
      </c>
      <c r="C6" s="72">
        <f t="shared" si="1"/>
        <v>700</v>
      </c>
      <c r="D6" s="16">
        <f t="shared" ca="1" si="2"/>
        <v>26.1</v>
      </c>
      <c r="E6" s="15">
        <f t="shared" ca="1" si="3"/>
        <v>0</v>
      </c>
      <c r="F6" s="73">
        <f t="shared" ca="1" si="4"/>
        <v>765.3</v>
      </c>
      <c r="G6" s="15">
        <f t="shared" ca="1" si="5"/>
        <v>0</v>
      </c>
      <c r="H6" s="73">
        <f t="shared" ca="1" si="6"/>
        <v>6.45</v>
      </c>
      <c r="I6" s="15">
        <f t="shared" ca="1" si="7"/>
        <v>0</v>
      </c>
      <c r="J6" s="73">
        <f t="shared" ca="1" si="8"/>
        <v>758.85</v>
      </c>
      <c r="K6" s="15">
        <f t="shared" ca="1" si="9"/>
        <v>0</v>
      </c>
      <c r="L6" s="16">
        <f t="shared" ca="1" si="10"/>
        <v>761</v>
      </c>
      <c r="M6" s="15">
        <f t="shared" ca="1" si="11"/>
        <v>0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>
        <f t="shared" ca="1" si="22"/>
        <v>29.6</v>
      </c>
      <c r="Y6" s="15">
        <f t="shared" ca="1" si="23"/>
        <v>0</v>
      </c>
      <c r="Z6" s="16">
        <f t="shared" ca="1" si="24"/>
        <v>23.8</v>
      </c>
      <c r="AA6" s="15">
        <f t="shared" ca="1" si="25"/>
        <v>0</v>
      </c>
      <c r="AB6" s="9">
        <f t="shared" ca="1" si="26"/>
        <v>90</v>
      </c>
      <c r="AC6" s="15">
        <f t="shared" ca="1" si="27"/>
        <v>0</v>
      </c>
      <c r="AD6" s="76">
        <f t="shared" ca="1" si="28"/>
        <v>1.5</v>
      </c>
      <c r="AE6" s="15">
        <f t="shared" ca="1" si="29"/>
        <v>0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>
        <f t="shared" ca="1" si="38"/>
        <v>90</v>
      </c>
      <c r="AO6" s="15">
        <f t="shared" ca="1" si="39"/>
        <v>0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19190106</v>
      </c>
      <c r="C7" s="72">
        <f t="shared" si="1"/>
        <v>700</v>
      </c>
      <c r="D7" s="16">
        <f t="shared" ca="1" si="2"/>
        <v>26.7</v>
      </c>
      <c r="E7" s="15">
        <f t="shared" ca="1" si="3"/>
        <v>0</v>
      </c>
      <c r="F7" s="73">
        <f t="shared" ca="1" si="4"/>
        <v>766.32</v>
      </c>
      <c r="G7" s="15">
        <f t="shared" ca="1" si="5"/>
        <v>0</v>
      </c>
      <c r="H7" s="73">
        <f t="shared" ca="1" si="6"/>
        <v>6.5</v>
      </c>
      <c r="I7" s="15">
        <f t="shared" ca="1" si="7"/>
        <v>0</v>
      </c>
      <c r="J7" s="73">
        <f t="shared" ca="1" si="8"/>
        <v>759.82</v>
      </c>
      <c r="K7" s="15">
        <f t="shared" ca="1" si="9"/>
        <v>0</v>
      </c>
      <c r="L7" s="16">
        <f t="shared" ca="1" si="10"/>
        <v>761.7</v>
      </c>
      <c r="M7" s="15">
        <f t="shared" ca="1" si="11"/>
        <v>0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>
        <f t="shared" ca="1" si="22"/>
        <v>29.4</v>
      </c>
      <c r="Y7" s="15">
        <f t="shared" ca="1" si="23"/>
        <v>0</v>
      </c>
      <c r="Z7" s="16">
        <f t="shared" ca="1" si="24"/>
        <v>24.1</v>
      </c>
      <c r="AA7" s="15">
        <f t="shared" ca="1" si="25"/>
        <v>0</v>
      </c>
      <c r="AB7" s="9">
        <f t="shared" ca="1" si="26"/>
        <v>135</v>
      </c>
      <c r="AC7" s="15">
        <f t="shared" ca="1" si="27"/>
        <v>0</v>
      </c>
      <c r="AD7" s="76">
        <f t="shared" ca="1" si="28"/>
        <v>2.1</v>
      </c>
      <c r="AE7" s="15">
        <f t="shared" ca="1" si="29"/>
        <v>0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>
        <f t="shared" ca="1" si="38"/>
        <v>135</v>
      </c>
      <c r="AO7" s="15">
        <f t="shared" ca="1" si="39"/>
        <v>0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19190107</v>
      </c>
      <c r="C8" s="72">
        <f t="shared" si="1"/>
        <v>700</v>
      </c>
      <c r="D8" s="16">
        <f t="shared" ca="1" si="2"/>
        <v>26.7</v>
      </c>
      <c r="E8" s="15">
        <f t="shared" ca="1" si="3"/>
        <v>0</v>
      </c>
      <c r="F8" s="73">
        <f t="shared" ca="1" si="4"/>
        <v>766.8</v>
      </c>
      <c r="G8" s="15">
        <f t="shared" ca="1" si="5"/>
        <v>0</v>
      </c>
      <c r="H8" s="73">
        <f t="shared" ca="1" si="6"/>
        <v>6.5</v>
      </c>
      <c r="I8" s="15">
        <f t="shared" ca="1" si="7"/>
        <v>0</v>
      </c>
      <c r="J8" s="73">
        <f t="shared" ca="1" si="8"/>
        <v>759.54</v>
      </c>
      <c r="K8" s="15">
        <f t="shared" ca="1" si="9"/>
        <v>0</v>
      </c>
      <c r="L8" s="16">
        <f t="shared" ca="1" si="10"/>
        <v>761.5</v>
      </c>
      <c r="M8" s="15">
        <f t="shared" ca="1" si="11"/>
        <v>0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>
        <f t="shared" ca="1" si="22"/>
        <v>29.9</v>
      </c>
      <c r="Y8" s="15">
        <f t="shared" ca="1" si="23"/>
        <v>0</v>
      </c>
      <c r="Z8" s="16">
        <f t="shared" ca="1" si="24"/>
        <v>23.7</v>
      </c>
      <c r="AA8" s="15">
        <f t="shared" ca="1" si="25"/>
        <v>0</v>
      </c>
      <c r="AB8" s="9">
        <f t="shared" ca="1" si="26"/>
        <v>135</v>
      </c>
      <c r="AC8" s="15">
        <f t="shared" ca="1" si="27"/>
        <v>0</v>
      </c>
      <c r="AD8" s="76">
        <f t="shared" ca="1" si="28"/>
        <v>1.5</v>
      </c>
      <c r="AE8" s="15">
        <f t="shared" ca="1" si="29"/>
        <v>0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>
        <f t="shared" ca="1" si="38"/>
        <v>90</v>
      </c>
      <c r="AO8" s="15">
        <f t="shared" ca="1" si="39"/>
        <v>0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19190108</v>
      </c>
      <c r="C9" s="72">
        <f t="shared" si="1"/>
        <v>700</v>
      </c>
      <c r="D9" s="16">
        <f t="shared" ca="1" si="2"/>
        <v>26.1</v>
      </c>
      <c r="E9" s="15">
        <f t="shared" ca="1" si="3"/>
        <v>0</v>
      </c>
      <c r="F9" s="73">
        <f t="shared" ca="1" si="4"/>
        <v>764.54</v>
      </c>
      <c r="G9" s="15">
        <f t="shared" ca="1" si="5"/>
        <v>0</v>
      </c>
      <c r="H9" s="73">
        <f t="shared" ca="1" si="6"/>
        <v>6.45</v>
      </c>
      <c r="I9" s="15">
        <f t="shared" ca="1" si="7"/>
        <v>0</v>
      </c>
      <c r="J9" s="73">
        <f t="shared" ca="1" si="8"/>
        <v>758.34</v>
      </c>
      <c r="K9" s="15">
        <f t="shared" ca="1" si="9"/>
        <v>0</v>
      </c>
      <c r="L9" s="16">
        <f t="shared" ca="1" si="10"/>
        <v>760.5</v>
      </c>
      <c r="M9" s="15">
        <f t="shared" ca="1" si="11"/>
        <v>0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>
        <f t="shared" ca="1" si="22"/>
        <v>28.9</v>
      </c>
      <c r="Y9" s="15">
        <f t="shared" ca="1" si="23"/>
        <v>0</v>
      </c>
      <c r="Z9" s="16">
        <f t="shared" ca="1" si="24"/>
        <v>24.1</v>
      </c>
      <c r="AA9" s="15">
        <f t="shared" ca="1" si="25"/>
        <v>0</v>
      </c>
      <c r="AB9" s="9">
        <f t="shared" ca="1" si="26"/>
        <v>90</v>
      </c>
      <c r="AC9" s="15">
        <f t="shared" ca="1" si="27"/>
        <v>0</v>
      </c>
      <c r="AD9" s="76">
        <f t="shared" ca="1" si="28"/>
        <v>4.0999999999999996</v>
      </c>
      <c r="AE9" s="15">
        <f t="shared" ca="1" si="29"/>
        <v>0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>
        <f t="shared" ca="1" si="38"/>
        <v>90</v>
      </c>
      <c r="AO9" s="15">
        <f t="shared" ca="1" si="39"/>
        <v>0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19190109</v>
      </c>
      <c r="C10" s="72">
        <f t="shared" si="1"/>
        <v>700</v>
      </c>
      <c r="D10" s="16">
        <f t="shared" ca="1" si="2"/>
        <v>26.4</v>
      </c>
      <c r="E10" s="15">
        <f t="shared" ca="1" si="3"/>
        <v>0</v>
      </c>
      <c r="F10" s="73">
        <f t="shared" ca="1" si="4"/>
        <v>764.34</v>
      </c>
      <c r="G10" s="15">
        <f t="shared" ca="1" si="5"/>
        <v>0</v>
      </c>
      <c r="H10" s="73">
        <f t="shared" ca="1" si="6"/>
        <v>6.48</v>
      </c>
      <c r="I10" s="15">
        <f t="shared" ca="1" si="7"/>
        <v>0</v>
      </c>
      <c r="J10" s="73">
        <f t="shared" ca="1" si="8"/>
        <v>757.86</v>
      </c>
      <c r="K10" s="15">
        <f t="shared" ca="1" si="9"/>
        <v>0</v>
      </c>
      <c r="L10" s="16">
        <f t="shared" ca="1" si="10"/>
        <v>760</v>
      </c>
      <c r="M10" s="15">
        <f t="shared" ca="1" si="11"/>
        <v>0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>
        <f t="shared" ca="1" si="22"/>
        <v>28.6</v>
      </c>
      <c r="Y10" s="15">
        <f t="shared" ca="1" si="23"/>
        <v>0</v>
      </c>
      <c r="Z10" s="16">
        <f t="shared" ca="1" si="24"/>
        <v>25</v>
      </c>
      <c r="AA10" s="15">
        <f t="shared" ca="1" si="25"/>
        <v>0</v>
      </c>
      <c r="AB10" s="9">
        <f t="shared" ca="1" si="26"/>
        <v>90</v>
      </c>
      <c r="AC10" s="15">
        <f t="shared" ca="1" si="27"/>
        <v>0</v>
      </c>
      <c r="AD10" s="76">
        <f t="shared" ca="1" si="28"/>
        <v>5.0999999999999996</v>
      </c>
      <c r="AE10" s="15">
        <f t="shared" ca="1" si="29"/>
        <v>0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>
        <f t="shared" ca="1" si="38"/>
        <v>90</v>
      </c>
      <c r="AO10" s="15">
        <f t="shared" ca="1" si="39"/>
        <v>0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19190110</v>
      </c>
      <c r="C11" s="72">
        <f t="shared" si="1"/>
        <v>700</v>
      </c>
      <c r="D11" s="16">
        <f t="shared" ca="1" si="2"/>
        <v>26.4</v>
      </c>
      <c r="E11" s="15">
        <f t="shared" ca="1" si="3"/>
        <v>0</v>
      </c>
      <c r="F11" s="73">
        <f t="shared" ca="1" si="4"/>
        <v>763.98</v>
      </c>
      <c r="G11" s="15">
        <f t="shared" ca="1" si="5"/>
        <v>0</v>
      </c>
      <c r="H11" s="73">
        <f t="shared" ca="1" si="6"/>
        <v>6.48</v>
      </c>
      <c r="I11" s="15">
        <f t="shared" ca="1" si="7"/>
        <v>0</v>
      </c>
      <c r="J11" s="73">
        <f t="shared" ca="1" si="8"/>
        <v>757.5</v>
      </c>
      <c r="K11" s="15">
        <f t="shared" ca="1" si="9"/>
        <v>0</v>
      </c>
      <c r="L11" s="16">
        <f t="shared" ca="1" si="10"/>
        <v>759.5</v>
      </c>
      <c r="M11" s="15">
        <f t="shared" ca="1" si="11"/>
        <v>0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>
        <f t="shared" ca="1" si="22"/>
        <v>29.2</v>
      </c>
      <c r="Y11" s="15">
        <f t="shared" ca="1" si="23"/>
        <v>0</v>
      </c>
      <c r="Z11" s="16">
        <f t="shared" ca="1" si="24"/>
        <v>24.8</v>
      </c>
      <c r="AA11" s="15">
        <f t="shared" ca="1" si="25"/>
        <v>0</v>
      </c>
      <c r="AB11" s="9">
        <f t="shared" ca="1" si="26"/>
        <v>135</v>
      </c>
      <c r="AC11" s="15">
        <f t="shared" ca="1" si="27"/>
        <v>0</v>
      </c>
      <c r="AD11" s="76">
        <f t="shared" ca="1" si="28"/>
        <v>5.0999999999999996</v>
      </c>
      <c r="AE11" s="15">
        <f t="shared" ca="1" si="29"/>
        <v>0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>
        <f t="shared" ca="1" si="38"/>
        <v>90</v>
      </c>
      <c r="AO11" s="15">
        <f t="shared" ca="1" si="39"/>
        <v>0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19190111</v>
      </c>
      <c r="C12" s="72">
        <f t="shared" si="1"/>
        <v>700</v>
      </c>
      <c r="D12" s="16">
        <f t="shared" ca="1" si="2"/>
        <v>26.7</v>
      </c>
      <c r="E12" s="15">
        <f t="shared" ca="1" si="3"/>
        <v>0</v>
      </c>
      <c r="F12" s="73">
        <f t="shared" ca="1" si="4"/>
        <v>764.31</v>
      </c>
      <c r="G12" s="15">
        <f t="shared" ca="1" si="5"/>
        <v>0</v>
      </c>
      <c r="H12" s="73">
        <f t="shared" ca="1" si="6"/>
        <v>6.5</v>
      </c>
      <c r="I12" s="15">
        <f t="shared" ca="1" si="7"/>
        <v>0</v>
      </c>
      <c r="J12" s="73">
        <f t="shared" ca="1" si="8"/>
        <v>757.81</v>
      </c>
      <c r="K12" s="15">
        <f t="shared" ca="1" si="9"/>
        <v>0</v>
      </c>
      <c r="L12" s="16">
        <f t="shared" ca="1" si="10"/>
        <v>760</v>
      </c>
      <c r="M12" s="15">
        <f t="shared" ca="1" si="11"/>
        <v>0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>
        <f t="shared" ca="1" si="22"/>
        <v>29.2</v>
      </c>
      <c r="Y12" s="15">
        <f t="shared" ca="1" si="23"/>
        <v>0</v>
      </c>
      <c r="Z12" s="16">
        <f t="shared" ca="1" si="24"/>
        <v>25.1</v>
      </c>
      <c r="AA12" s="15">
        <f t="shared" ca="1" si="25"/>
        <v>0</v>
      </c>
      <c r="AB12" s="9">
        <f t="shared" ca="1" si="26"/>
        <v>90</v>
      </c>
      <c r="AC12" s="15">
        <f t="shared" ca="1" si="27"/>
        <v>0</v>
      </c>
      <c r="AD12" s="76">
        <f t="shared" ca="1" si="28"/>
        <v>4.0999999999999996</v>
      </c>
      <c r="AE12" s="15">
        <f t="shared" ca="1" si="29"/>
        <v>0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>
        <f t="shared" ca="1" si="38"/>
        <v>90</v>
      </c>
      <c r="AO12" s="15">
        <f t="shared" ca="1" si="39"/>
        <v>0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19190112</v>
      </c>
      <c r="C13" s="72">
        <f t="shared" si="1"/>
        <v>700</v>
      </c>
      <c r="D13" s="16">
        <f t="shared" ca="1" si="2"/>
        <v>26.7</v>
      </c>
      <c r="E13" s="15">
        <f t="shared" ca="1" si="3"/>
        <v>0</v>
      </c>
      <c r="F13" s="73">
        <f t="shared" ca="1" si="4"/>
        <v>765.76</v>
      </c>
      <c r="G13" s="15">
        <f t="shared" ca="1" si="5"/>
        <v>0</v>
      </c>
      <c r="H13" s="73">
        <f t="shared" ca="1" si="6"/>
        <v>6.5</v>
      </c>
      <c r="I13" s="15">
        <f t="shared" ca="1" si="7"/>
        <v>0</v>
      </c>
      <c r="J13" s="73">
        <f t="shared" ca="1" si="8"/>
        <v>759.26</v>
      </c>
      <c r="K13" s="15">
        <f t="shared" ca="1" si="9"/>
        <v>0</v>
      </c>
      <c r="L13" s="16">
        <f t="shared" ca="1" si="10"/>
        <v>761.2</v>
      </c>
      <c r="M13" s="15">
        <f t="shared" ca="1" si="11"/>
        <v>0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>
        <f t="shared" ca="1" si="22"/>
        <v>28.9</v>
      </c>
      <c r="Y13" s="15">
        <f t="shared" ca="1" si="23"/>
        <v>0</v>
      </c>
      <c r="Z13" s="16">
        <f t="shared" ca="1" si="24"/>
        <v>25.3</v>
      </c>
      <c r="AA13" s="15">
        <f t="shared" ca="1" si="25"/>
        <v>0</v>
      </c>
      <c r="AB13" s="9">
        <f t="shared" ca="1" si="26"/>
        <v>135</v>
      </c>
      <c r="AC13" s="15">
        <f t="shared" ca="1" si="27"/>
        <v>0</v>
      </c>
      <c r="AD13" s="76">
        <f t="shared" ca="1" si="28"/>
        <v>6.2</v>
      </c>
      <c r="AE13" s="15">
        <f t="shared" ca="1" si="29"/>
        <v>0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>
        <f t="shared" ca="1" si="38"/>
        <v>135</v>
      </c>
      <c r="AO13" s="15">
        <f t="shared" ca="1" si="39"/>
        <v>0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19190113</v>
      </c>
      <c r="C14" s="72">
        <f t="shared" si="1"/>
        <v>700</v>
      </c>
      <c r="D14" s="16">
        <f t="shared" ca="1" si="2"/>
        <v>26.1</v>
      </c>
      <c r="E14" s="15">
        <f t="shared" ca="1" si="3"/>
        <v>0</v>
      </c>
      <c r="F14" s="73">
        <f t="shared" ca="1" si="4"/>
        <v>765</v>
      </c>
      <c r="G14" s="15">
        <f t="shared" ca="1" si="5"/>
        <v>0</v>
      </c>
      <c r="H14" s="73">
        <f t="shared" ca="1" si="6"/>
        <v>6.45</v>
      </c>
      <c r="I14" s="15">
        <f t="shared" ca="1" si="7"/>
        <v>0</v>
      </c>
      <c r="J14" s="73">
        <f t="shared" ca="1" si="8"/>
        <v>758.55</v>
      </c>
      <c r="K14" s="15">
        <f t="shared" ca="1" si="9"/>
        <v>0</v>
      </c>
      <c r="L14" s="16">
        <f t="shared" ca="1" si="10"/>
        <v>760.5</v>
      </c>
      <c r="M14" s="15">
        <f t="shared" ca="1" si="11"/>
        <v>0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>
        <f t="shared" ca="1" si="22"/>
        <v>29.6</v>
      </c>
      <c r="Y14" s="15">
        <f t="shared" ca="1" si="23"/>
        <v>0</v>
      </c>
      <c r="Z14" s="16">
        <f t="shared" ca="1" si="24"/>
        <v>23.8</v>
      </c>
      <c r="AA14" s="15">
        <f t="shared" ca="1" si="25"/>
        <v>0</v>
      </c>
      <c r="AB14" s="9">
        <f t="shared" ca="1" si="26"/>
        <v>90</v>
      </c>
      <c r="AC14" s="15">
        <f t="shared" ca="1" si="27"/>
        <v>0</v>
      </c>
      <c r="AD14" s="76">
        <f t="shared" ca="1" si="28"/>
        <v>3.1</v>
      </c>
      <c r="AE14" s="15">
        <f t="shared" ca="1" si="29"/>
        <v>0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>
        <f t="shared" ca="1" si="38"/>
        <v>90</v>
      </c>
      <c r="AO14" s="15">
        <f t="shared" ca="1" si="39"/>
        <v>0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19190114</v>
      </c>
      <c r="C15" s="72">
        <f t="shared" si="1"/>
        <v>700</v>
      </c>
      <c r="D15" s="16">
        <f t="shared" ca="1" si="2"/>
        <v>25.8</v>
      </c>
      <c r="E15" s="15">
        <f t="shared" ca="1" si="3"/>
        <v>0</v>
      </c>
      <c r="F15" s="73">
        <f t="shared" ca="1" si="4"/>
        <v>763.8</v>
      </c>
      <c r="G15" s="15">
        <f t="shared" ca="1" si="5"/>
        <v>0</v>
      </c>
      <c r="H15" s="73">
        <f t="shared" ca="1" si="6"/>
        <v>6.4</v>
      </c>
      <c r="I15" s="15">
        <f t="shared" ca="1" si="7"/>
        <v>0</v>
      </c>
      <c r="J15" s="73">
        <f t="shared" ca="1" si="8"/>
        <v>757.4</v>
      </c>
      <c r="K15" s="15">
        <f t="shared" ca="1" si="9"/>
        <v>0</v>
      </c>
      <c r="L15" s="16">
        <f t="shared" ca="1" si="10"/>
        <v>759.5</v>
      </c>
      <c r="M15" s="15">
        <f t="shared" ca="1" si="11"/>
        <v>0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>
        <f t="shared" ca="1" si="22"/>
        <v>28.7</v>
      </c>
      <c r="Y15" s="15">
        <f t="shared" ca="1" si="23"/>
        <v>0</v>
      </c>
      <c r="Z15" s="16">
        <f t="shared" ca="1" si="24"/>
        <v>23.8</v>
      </c>
      <c r="AA15" s="15">
        <f t="shared" ca="1" si="25"/>
        <v>0</v>
      </c>
      <c r="AB15" s="9">
        <f t="shared" ca="1" si="26"/>
        <v>135</v>
      </c>
      <c r="AC15" s="15">
        <f t="shared" ca="1" si="27"/>
        <v>0</v>
      </c>
      <c r="AD15" s="76">
        <f t="shared" ca="1" si="28"/>
        <v>4.0999999999999996</v>
      </c>
      <c r="AE15" s="15">
        <f t="shared" ca="1" si="29"/>
        <v>0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>
        <f t="shared" ca="1" si="38"/>
        <v>135</v>
      </c>
      <c r="AO15" s="15">
        <f t="shared" ca="1" si="39"/>
        <v>0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19190115</v>
      </c>
      <c r="C16" s="72">
        <f t="shared" si="1"/>
        <v>700</v>
      </c>
      <c r="D16" s="16">
        <f t="shared" ca="1" si="2"/>
        <v>26.7</v>
      </c>
      <c r="E16" s="15">
        <f t="shared" ca="1" si="3"/>
        <v>0</v>
      </c>
      <c r="F16" s="73">
        <f t="shared" ca="1" si="4"/>
        <v>764.01</v>
      </c>
      <c r="G16" s="15">
        <f t="shared" ca="1" si="5"/>
        <v>0</v>
      </c>
      <c r="H16" s="73">
        <f t="shared" ca="1" si="6"/>
        <v>6.5</v>
      </c>
      <c r="I16" s="15">
        <f t="shared" ca="1" si="7"/>
        <v>0</v>
      </c>
      <c r="J16" s="73">
        <f t="shared" ca="1" si="8"/>
        <v>757.5</v>
      </c>
      <c r="K16" s="15">
        <f t="shared" ca="1" si="9"/>
        <v>0</v>
      </c>
      <c r="L16" s="16">
        <f t="shared" ca="1" si="10"/>
        <v>759.5</v>
      </c>
      <c r="M16" s="15">
        <f t="shared" ca="1" si="11"/>
        <v>0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>
        <f t="shared" ca="1" si="22"/>
        <v>28.7</v>
      </c>
      <c r="Y16" s="15">
        <f t="shared" ca="1" si="23"/>
        <v>0</v>
      </c>
      <c r="Z16" s="16">
        <f t="shared" ca="1" si="24"/>
        <v>23.9</v>
      </c>
      <c r="AA16" s="15">
        <f t="shared" ca="1" si="25"/>
        <v>0</v>
      </c>
      <c r="AB16" s="9">
        <f t="shared" ca="1" si="26"/>
        <v>90</v>
      </c>
      <c r="AC16" s="15">
        <f t="shared" ca="1" si="27"/>
        <v>0</v>
      </c>
      <c r="AD16" s="76">
        <f t="shared" ca="1" si="28"/>
        <v>3.1</v>
      </c>
      <c r="AE16" s="15">
        <f t="shared" ca="1" si="29"/>
        <v>0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>
        <f t="shared" ca="1" si="38"/>
        <v>90</v>
      </c>
      <c r="AO16" s="15">
        <f t="shared" ca="1" si="39"/>
        <v>0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19190116</v>
      </c>
      <c r="C17" s="72">
        <f t="shared" si="1"/>
        <v>700</v>
      </c>
      <c r="D17" s="16">
        <f t="shared" ca="1" si="2"/>
        <v>26.7</v>
      </c>
      <c r="E17" s="15">
        <f t="shared" ca="1" si="3"/>
        <v>0</v>
      </c>
      <c r="F17" s="73">
        <f t="shared" ca="1" si="4"/>
        <v>764.31</v>
      </c>
      <c r="G17" s="15">
        <f t="shared" ca="1" si="5"/>
        <v>0</v>
      </c>
      <c r="H17" s="73">
        <f t="shared" ca="1" si="6"/>
        <v>6.5</v>
      </c>
      <c r="I17" s="15">
        <f t="shared" ca="1" si="7"/>
        <v>0</v>
      </c>
      <c r="J17" s="73">
        <f t="shared" ca="1" si="8"/>
        <v>757.81</v>
      </c>
      <c r="K17" s="15">
        <f t="shared" ca="1" si="9"/>
        <v>0</v>
      </c>
      <c r="L17" s="16">
        <f t="shared" ca="1" si="10"/>
        <v>760</v>
      </c>
      <c r="M17" s="15">
        <f t="shared" ca="1" si="11"/>
        <v>0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>
        <f t="shared" ca="1" si="22"/>
        <v>29.1</v>
      </c>
      <c r="Y17" s="15">
        <f t="shared" ca="1" si="23"/>
        <v>0</v>
      </c>
      <c r="Z17" s="16">
        <f t="shared" ca="1" si="24"/>
        <v>24.5</v>
      </c>
      <c r="AA17" s="15">
        <f t="shared" ca="1" si="25"/>
        <v>0</v>
      </c>
      <c r="AB17" s="9">
        <f t="shared" ca="1" si="26"/>
        <v>90</v>
      </c>
      <c r="AC17" s="15">
        <f t="shared" ca="1" si="27"/>
        <v>0</v>
      </c>
      <c r="AD17" s="76">
        <f t="shared" ca="1" si="28"/>
        <v>6.2</v>
      </c>
      <c r="AE17" s="15">
        <f t="shared" ca="1" si="29"/>
        <v>0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>
        <f t="shared" ca="1" si="38"/>
        <v>90</v>
      </c>
      <c r="AO17" s="15">
        <f t="shared" ca="1" si="39"/>
        <v>0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19190117</v>
      </c>
      <c r="C18" s="72">
        <f t="shared" si="1"/>
        <v>700</v>
      </c>
      <c r="D18" s="16">
        <f t="shared" ca="1" si="2"/>
        <v>26.4</v>
      </c>
      <c r="E18" s="15">
        <f t="shared" ca="1" si="3"/>
        <v>0</v>
      </c>
      <c r="F18" s="73">
        <f t="shared" ca="1" si="4"/>
        <v>764.97</v>
      </c>
      <c r="G18" s="15">
        <f t="shared" ca="1" si="5"/>
        <v>0</v>
      </c>
      <c r="H18" s="73">
        <f t="shared" ca="1" si="6"/>
        <v>6.48</v>
      </c>
      <c r="I18" s="15">
        <f t="shared" ca="1" si="7"/>
        <v>0</v>
      </c>
      <c r="J18" s="73">
        <f t="shared" ca="1" si="8"/>
        <v>758.49</v>
      </c>
      <c r="K18" s="15">
        <f t="shared" ca="1" si="9"/>
        <v>0</v>
      </c>
      <c r="L18" s="16">
        <f t="shared" ca="1" si="10"/>
        <v>760.5</v>
      </c>
      <c r="M18" s="15">
        <f t="shared" ca="1" si="11"/>
        <v>0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>
        <f t="shared" ca="1" si="22"/>
        <v>28.9</v>
      </c>
      <c r="Y18" s="15">
        <f t="shared" ca="1" si="23"/>
        <v>0</v>
      </c>
      <c r="Z18" s="16">
        <f t="shared" ca="1" si="24"/>
        <v>24.4</v>
      </c>
      <c r="AA18" s="15">
        <f t="shared" ca="1" si="25"/>
        <v>0</v>
      </c>
      <c r="AB18" s="9">
        <f t="shared" ca="1" si="26"/>
        <v>135</v>
      </c>
      <c r="AC18" s="15">
        <f t="shared" ca="1" si="27"/>
        <v>0</v>
      </c>
      <c r="AD18" s="76">
        <f t="shared" ca="1" si="28"/>
        <v>4.5999999999999996</v>
      </c>
      <c r="AE18" s="15">
        <f t="shared" ca="1" si="29"/>
        <v>0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>
        <f t="shared" ca="1" si="38"/>
        <v>90</v>
      </c>
      <c r="AO18" s="15">
        <f t="shared" ca="1" si="39"/>
        <v>0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19190118</v>
      </c>
      <c r="C19" s="72">
        <f t="shared" si="1"/>
        <v>700</v>
      </c>
      <c r="D19" s="16">
        <f t="shared" ca="1" si="2"/>
        <v>26.1</v>
      </c>
      <c r="E19" s="15">
        <f t="shared" ca="1" si="3"/>
        <v>0</v>
      </c>
      <c r="F19" s="73">
        <f t="shared" ca="1" si="4"/>
        <v>764.29</v>
      </c>
      <c r="G19" s="15">
        <f t="shared" ca="1" si="5"/>
        <v>0</v>
      </c>
      <c r="H19" s="73">
        <f t="shared" ca="1" si="6"/>
        <v>6.45</v>
      </c>
      <c r="I19" s="15">
        <f t="shared" ca="1" si="7"/>
        <v>0</v>
      </c>
      <c r="J19" s="73">
        <f t="shared" ca="1" si="8"/>
        <v>757.83</v>
      </c>
      <c r="K19" s="15">
        <f t="shared" ca="1" si="9"/>
        <v>0</v>
      </c>
      <c r="L19" s="16">
        <f t="shared" ca="1" si="10"/>
        <v>760</v>
      </c>
      <c r="M19" s="15">
        <f t="shared" ca="1" si="11"/>
        <v>0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>
        <f t="shared" ca="1" si="22"/>
        <v>28.4</v>
      </c>
      <c r="Y19" s="15">
        <f t="shared" ca="1" si="23"/>
        <v>0</v>
      </c>
      <c r="Z19" s="16">
        <f t="shared" ca="1" si="24"/>
        <v>23.8</v>
      </c>
      <c r="AA19" s="15">
        <f t="shared" ca="1" si="25"/>
        <v>0</v>
      </c>
      <c r="AB19" s="9">
        <f t="shared" ca="1" si="26"/>
        <v>45</v>
      </c>
      <c r="AC19" s="15">
        <f t="shared" ca="1" si="27"/>
        <v>0</v>
      </c>
      <c r="AD19" s="76">
        <f t="shared" ca="1" si="28"/>
        <v>5.0999999999999996</v>
      </c>
      <c r="AE19" s="15">
        <f t="shared" ca="1" si="29"/>
        <v>0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>
        <f t="shared" ca="1" si="38"/>
        <v>90</v>
      </c>
      <c r="AO19" s="15">
        <f t="shared" ca="1" si="39"/>
        <v>0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19190119</v>
      </c>
      <c r="C20" s="72">
        <f t="shared" si="1"/>
        <v>700</v>
      </c>
      <c r="D20" s="16">
        <f t="shared" ca="1" si="2"/>
        <v>25.6</v>
      </c>
      <c r="E20" s="15">
        <f t="shared" ca="1" si="3"/>
        <v>0</v>
      </c>
      <c r="F20" s="73">
        <f t="shared" ca="1" si="4"/>
        <v>764.36</v>
      </c>
      <c r="G20" s="15">
        <f t="shared" ca="1" si="5"/>
        <v>0</v>
      </c>
      <c r="H20" s="73">
        <f t="shared" ca="1" si="6"/>
        <v>6.38</v>
      </c>
      <c r="I20" s="15">
        <f t="shared" ca="1" si="7"/>
        <v>0</v>
      </c>
      <c r="J20" s="73">
        <f t="shared" ca="1" si="8"/>
        <v>757.99</v>
      </c>
      <c r="K20" s="15">
        <f t="shared" ca="1" si="9"/>
        <v>0</v>
      </c>
      <c r="L20" s="16">
        <f t="shared" ca="1" si="10"/>
        <v>760</v>
      </c>
      <c r="M20" s="15">
        <f t="shared" ca="1" si="11"/>
        <v>0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>
        <f t="shared" ca="1" si="22"/>
        <v>28.7</v>
      </c>
      <c r="Y20" s="15">
        <f t="shared" ca="1" si="23"/>
        <v>0</v>
      </c>
      <c r="Z20" s="16">
        <f t="shared" ca="1" si="24"/>
        <v>22.8</v>
      </c>
      <c r="AA20" s="15">
        <f t="shared" ca="1" si="25"/>
        <v>0</v>
      </c>
      <c r="AB20" s="9">
        <f t="shared" ca="1" si="26"/>
        <v>135</v>
      </c>
      <c r="AC20" s="15">
        <f t="shared" ca="1" si="27"/>
        <v>0</v>
      </c>
      <c r="AD20" s="76">
        <f t="shared" ca="1" si="28"/>
        <v>2.6</v>
      </c>
      <c r="AE20" s="15">
        <f t="shared" ca="1" si="29"/>
        <v>0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>
        <f t="shared" ca="1" si="38"/>
        <v>135</v>
      </c>
      <c r="AO20" s="15">
        <f t="shared" ca="1" si="39"/>
        <v>0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19190120</v>
      </c>
      <c r="C21" s="72">
        <f t="shared" si="1"/>
        <v>700</v>
      </c>
      <c r="D21" s="16">
        <f t="shared" ca="1" si="2"/>
        <v>25.8</v>
      </c>
      <c r="E21" s="15">
        <f t="shared" ca="1" si="3"/>
        <v>0</v>
      </c>
      <c r="F21" s="73">
        <f t="shared" ca="1" si="4"/>
        <v>763.93</v>
      </c>
      <c r="G21" s="15">
        <f t="shared" ca="1" si="5"/>
        <v>0</v>
      </c>
      <c r="H21" s="73">
        <f t="shared" ca="1" si="6"/>
        <v>6.4</v>
      </c>
      <c r="I21" s="15">
        <f t="shared" ca="1" si="7"/>
        <v>0</v>
      </c>
      <c r="J21" s="73">
        <f t="shared" ca="1" si="8"/>
        <v>757.53</v>
      </c>
      <c r="K21" s="15">
        <f t="shared" ca="1" si="9"/>
        <v>0</v>
      </c>
      <c r="L21" s="16">
        <f t="shared" ca="1" si="10"/>
        <v>759.5</v>
      </c>
      <c r="M21" s="15">
        <f t="shared" ca="1" si="11"/>
        <v>0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>
        <f t="shared" ca="1" si="22"/>
        <v>28.3</v>
      </c>
      <c r="Y21" s="15">
        <f t="shared" ca="1" si="23"/>
        <v>0</v>
      </c>
      <c r="Z21" s="16">
        <f t="shared" ca="1" si="24"/>
        <v>25.1</v>
      </c>
      <c r="AA21" s="15">
        <f t="shared" ca="1" si="25"/>
        <v>0</v>
      </c>
      <c r="AB21" s="9">
        <f t="shared" ca="1" si="26"/>
        <v>45</v>
      </c>
      <c r="AC21" s="15">
        <f t="shared" ca="1" si="27"/>
        <v>0</v>
      </c>
      <c r="AD21" s="76">
        <f t="shared" ca="1" si="28"/>
        <v>1.5</v>
      </c>
      <c r="AE21" s="15">
        <f t="shared" ca="1" si="29"/>
        <v>0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>
        <f t="shared" ca="1" si="38"/>
        <v>90</v>
      </c>
      <c r="AO21" s="15">
        <f t="shared" ca="1" si="39"/>
        <v>0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19190121</v>
      </c>
      <c r="C22" s="72">
        <f t="shared" si="1"/>
        <v>700</v>
      </c>
      <c r="D22" s="16">
        <f t="shared" ca="1" si="2"/>
        <v>26.4</v>
      </c>
      <c r="E22" s="15">
        <f t="shared" ca="1" si="3"/>
        <v>0</v>
      </c>
      <c r="F22" s="73">
        <f t="shared" ca="1" si="4"/>
        <v>764.03</v>
      </c>
      <c r="G22" s="15">
        <f t="shared" ca="1" si="5"/>
        <v>0</v>
      </c>
      <c r="H22" s="73">
        <f t="shared" ca="1" si="6"/>
        <v>6.48</v>
      </c>
      <c r="I22" s="15">
        <f t="shared" ca="1" si="7"/>
        <v>0</v>
      </c>
      <c r="J22" s="73">
        <f t="shared" ca="1" si="8"/>
        <v>757.56</v>
      </c>
      <c r="K22" s="15">
        <f t="shared" ca="1" si="9"/>
        <v>0</v>
      </c>
      <c r="L22" s="16">
        <f t="shared" ca="1" si="10"/>
        <v>759.7</v>
      </c>
      <c r="M22" s="15">
        <f t="shared" ca="1" si="11"/>
        <v>0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>
        <f t="shared" ca="1" si="22"/>
        <v>28.6</v>
      </c>
      <c r="Y22" s="15">
        <f t="shared" ca="1" si="23"/>
        <v>0</v>
      </c>
      <c r="Z22" s="16">
        <f t="shared" ca="1" si="24"/>
        <v>23.3</v>
      </c>
      <c r="AA22" s="15">
        <f t="shared" ca="1" si="25"/>
        <v>0</v>
      </c>
      <c r="AB22" s="9">
        <f t="shared" ca="1" si="26"/>
        <v>90</v>
      </c>
      <c r="AC22" s="15">
        <f t="shared" ca="1" si="27"/>
        <v>0</v>
      </c>
      <c r="AD22" s="76">
        <f t="shared" ca="1" si="28"/>
        <v>3.1</v>
      </c>
      <c r="AE22" s="15">
        <f t="shared" ca="1" si="29"/>
        <v>0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>
        <f t="shared" ca="1" si="38"/>
        <v>90</v>
      </c>
      <c r="AO22" s="15">
        <f t="shared" ca="1" si="39"/>
        <v>0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19190122</v>
      </c>
      <c r="C23" s="72">
        <f t="shared" si="1"/>
        <v>700</v>
      </c>
      <c r="D23" s="16">
        <f t="shared" ca="1" si="2"/>
        <v>25.8</v>
      </c>
      <c r="E23" s="15">
        <f t="shared" ca="1" si="3"/>
        <v>0</v>
      </c>
      <c r="F23" s="73">
        <f t="shared" ca="1" si="4"/>
        <v>763.73</v>
      </c>
      <c r="G23" s="15">
        <f t="shared" ca="1" si="5"/>
        <v>0</v>
      </c>
      <c r="H23" s="73">
        <f t="shared" ca="1" si="6"/>
        <v>6.4</v>
      </c>
      <c r="I23" s="15">
        <f t="shared" ca="1" si="7"/>
        <v>0</v>
      </c>
      <c r="J23" s="73">
        <f t="shared" ca="1" si="8"/>
        <v>757.33</v>
      </c>
      <c r="K23" s="15">
        <f t="shared" ca="1" si="9"/>
        <v>0</v>
      </c>
      <c r="L23" s="16">
        <f t="shared" ca="1" si="10"/>
        <v>759.5</v>
      </c>
      <c r="M23" s="15">
        <f t="shared" ca="1" si="11"/>
        <v>0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>
        <f t="shared" ca="1" si="22"/>
        <v>28.9</v>
      </c>
      <c r="Y23" s="15">
        <f t="shared" ca="1" si="23"/>
        <v>0</v>
      </c>
      <c r="Z23" s="16">
        <f t="shared" ca="1" si="24"/>
        <v>24</v>
      </c>
      <c r="AA23" s="15">
        <f t="shared" ca="1" si="25"/>
        <v>0</v>
      </c>
      <c r="AB23" s="9">
        <f t="shared" ca="1" si="26"/>
        <v>90</v>
      </c>
      <c r="AC23" s="15">
        <f t="shared" ca="1" si="27"/>
        <v>0</v>
      </c>
      <c r="AD23" s="76">
        <f t="shared" ca="1" si="28"/>
        <v>2.6</v>
      </c>
      <c r="AE23" s="15">
        <f t="shared" ca="1" si="29"/>
        <v>0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>
        <f t="shared" ca="1" si="38"/>
        <v>90</v>
      </c>
      <c r="AO23" s="15">
        <f t="shared" ca="1" si="39"/>
        <v>0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19190123</v>
      </c>
      <c r="C24" s="72">
        <f t="shared" si="1"/>
        <v>700</v>
      </c>
      <c r="D24" s="16">
        <f t="shared" ca="1" si="2"/>
        <v>26.1</v>
      </c>
      <c r="E24" s="15">
        <f t="shared" ca="1" si="3"/>
        <v>0</v>
      </c>
      <c r="F24" s="73">
        <f t="shared" ca="1" si="4"/>
        <v>763.78</v>
      </c>
      <c r="G24" s="15">
        <f t="shared" ca="1" si="5"/>
        <v>0</v>
      </c>
      <c r="H24" s="73">
        <f t="shared" ca="1" si="6"/>
        <v>6.45</v>
      </c>
      <c r="I24" s="15">
        <f t="shared" ca="1" si="7"/>
        <v>0</v>
      </c>
      <c r="J24" s="73">
        <f t="shared" ca="1" si="8"/>
        <v>757.33</v>
      </c>
      <c r="K24" s="15">
        <f t="shared" ca="1" si="9"/>
        <v>0</v>
      </c>
      <c r="L24" s="16">
        <f t="shared" ca="1" si="10"/>
        <v>759.5</v>
      </c>
      <c r="M24" s="15">
        <f t="shared" ca="1" si="11"/>
        <v>0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>
        <f t="shared" ca="1" si="22"/>
        <v>29</v>
      </c>
      <c r="Y24" s="15">
        <f t="shared" ca="1" si="23"/>
        <v>0</v>
      </c>
      <c r="Z24" s="16">
        <f t="shared" ca="1" si="24"/>
        <v>23.7</v>
      </c>
      <c r="AA24" s="15">
        <f t="shared" ca="1" si="25"/>
        <v>0</v>
      </c>
      <c r="AB24" s="9">
        <f t="shared" ca="1" si="26"/>
        <v>90</v>
      </c>
      <c r="AC24" s="15">
        <f t="shared" ca="1" si="27"/>
        <v>0</v>
      </c>
      <c r="AD24" s="76">
        <f t="shared" ca="1" si="28"/>
        <v>2.6</v>
      </c>
      <c r="AE24" s="15">
        <f t="shared" ca="1" si="29"/>
        <v>0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>
        <f t="shared" ca="1" si="38"/>
        <v>90</v>
      </c>
      <c r="AO24" s="15">
        <f t="shared" ca="1" si="39"/>
        <v>0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19190124</v>
      </c>
      <c r="C25" s="72">
        <f t="shared" si="1"/>
        <v>700</v>
      </c>
      <c r="D25" s="16">
        <f t="shared" ca="1" si="2"/>
        <v>25.6</v>
      </c>
      <c r="E25" s="15">
        <f t="shared" ca="1" si="3"/>
        <v>0</v>
      </c>
      <c r="F25" s="73">
        <f t="shared" ca="1" si="4"/>
        <v>763.35</v>
      </c>
      <c r="G25" s="15">
        <f t="shared" ca="1" si="5"/>
        <v>0</v>
      </c>
      <c r="H25" s="73">
        <f t="shared" ca="1" si="6"/>
        <v>6.38</v>
      </c>
      <c r="I25" s="15">
        <f t="shared" ca="1" si="7"/>
        <v>0</v>
      </c>
      <c r="J25" s="73">
        <f t="shared" ca="1" si="8"/>
        <v>756.97</v>
      </c>
      <c r="K25" s="15">
        <f t="shared" ca="1" si="9"/>
        <v>0</v>
      </c>
      <c r="L25" s="16">
        <f t="shared" ca="1" si="10"/>
        <v>759</v>
      </c>
      <c r="M25" s="15">
        <f t="shared" ca="1" si="11"/>
        <v>0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>
        <f t="shared" ca="1" si="22"/>
        <v>28.7</v>
      </c>
      <c r="Y25" s="15">
        <f t="shared" ca="1" si="23"/>
        <v>0</v>
      </c>
      <c r="Z25" s="16">
        <f t="shared" ca="1" si="24"/>
        <v>25.2</v>
      </c>
      <c r="AA25" s="15">
        <f t="shared" ca="1" si="25"/>
        <v>0</v>
      </c>
      <c r="AB25" s="9">
        <f t="shared" ca="1" si="26"/>
        <v>135</v>
      </c>
      <c r="AC25" s="15">
        <f t="shared" ca="1" si="27"/>
        <v>0</v>
      </c>
      <c r="AD25" s="76">
        <f t="shared" ca="1" si="28"/>
        <v>1.5</v>
      </c>
      <c r="AE25" s="15">
        <f t="shared" ca="1" si="29"/>
        <v>0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>
        <f t="shared" ca="1" si="38"/>
        <v>90</v>
      </c>
      <c r="AO25" s="15">
        <f t="shared" ca="1" si="39"/>
        <v>0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19190125</v>
      </c>
      <c r="C26" s="72">
        <f t="shared" si="1"/>
        <v>700</v>
      </c>
      <c r="D26" s="16">
        <f t="shared" ca="1" si="2"/>
        <v>25.6</v>
      </c>
      <c r="E26" s="15">
        <f t="shared" ca="1" si="3"/>
        <v>0</v>
      </c>
      <c r="F26" s="73">
        <f t="shared" ca="1" si="4"/>
        <v>762.94</v>
      </c>
      <c r="G26" s="15">
        <f t="shared" ca="1" si="5"/>
        <v>0</v>
      </c>
      <c r="H26" s="73">
        <f t="shared" ca="1" si="6"/>
        <v>6.38</v>
      </c>
      <c r="I26" s="15">
        <f t="shared" ca="1" si="7"/>
        <v>0</v>
      </c>
      <c r="J26" s="73">
        <f t="shared" ca="1" si="8"/>
        <v>756.56</v>
      </c>
      <c r="K26" s="15">
        <f t="shared" ca="1" si="9"/>
        <v>0</v>
      </c>
      <c r="L26" s="16">
        <f t="shared" ca="1" si="10"/>
        <v>758.7</v>
      </c>
      <c r="M26" s="15">
        <f t="shared" ca="1" si="11"/>
        <v>0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>
        <f t="shared" ca="1" si="22"/>
        <v>28.7</v>
      </c>
      <c r="Y26" s="15">
        <f t="shared" ca="1" si="23"/>
        <v>0</v>
      </c>
      <c r="Z26" s="16">
        <f t="shared" ca="1" si="24"/>
        <v>23.4</v>
      </c>
      <c r="AA26" s="15">
        <f t="shared" ca="1" si="25"/>
        <v>0</v>
      </c>
      <c r="AB26" s="9">
        <f t="shared" ca="1" si="26"/>
        <v>90</v>
      </c>
      <c r="AC26" s="15">
        <f t="shared" ca="1" si="27"/>
        <v>0</v>
      </c>
      <c r="AD26" s="76">
        <f t="shared" ca="1" si="28"/>
        <v>3.1</v>
      </c>
      <c r="AE26" s="15">
        <f t="shared" ca="1" si="29"/>
        <v>0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>
        <f t="shared" ca="1" si="38"/>
        <v>90</v>
      </c>
      <c r="AO26" s="15">
        <f t="shared" ca="1" si="39"/>
        <v>0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19190126</v>
      </c>
      <c r="C27" s="72">
        <f t="shared" si="1"/>
        <v>700</v>
      </c>
      <c r="D27" s="16">
        <f t="shared" ca="1" si="2"/>
        <v>25.8</v>
      </c>
      <c r="E27" s="15">
        <f t="shared" ca="1" si="3"/>
        <v>0</v>
      </c>
      <c r="F27" s="73">
        <f t="shared" ca="1" si="4"/>
        <v>763.52</v>
      </c>
      <c r="G27" s="15">
        <f t="shared" ca="1" si="5"/>
        <v>0</v>
      </c>
      <c r="H27" s="73">
        <f t="shared" ca="1" si="6"/>
        <v>6.4</v>
      </c>
      <c r="I27" s="15">
        <f t="shared" ca="1" si="7"/>
        <v>0</v>
      </c>
      <c r="J27" s="73">
        <f t="shared" ca="1" si="8"/>
        <v>757.12</v>
      </c>
      <c r="K27" s="15">
        <f t="shared" ca="1" si="9"/>
        <v>0</v>
      </c>
      <c r="L27" s="16">
        <f t="shared" ca="1" si="10"/>
        <v>759.2</v>
      </c>
      <c r="M27" s="15">
        <f t="shared" ca="1" si="11"/>
        <v>0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>
        <f t="shared" ca="1" si="22"/>
        <v>28.9</v>
      </c>
      <c r="Y27" s="15">
        <f t="shared" ca="1" si="23"/>
        <v>0</v>
      </c>
      <c r="Z27" s="16">
        <f t="shared" ca="1" si="24"/>
        <v>23.2</v>
      </c>
      <c r="AA27" s="15">
        <f t="shared" ca="1" si="25"/>
        <v>0</v>
      </c>
      <c r="AB27" s="9">
        <f t="shared" ca="1" si="26"/>
        <v>45</v>
      </c>
      <c r="AC27" s="15">
        <f t="shared" ca="1" si="27"/>
        <v>0</v>
      </c>
      <c r="AD27" s="76">
        <f t="shared" ca="1" si="28"/>
        <v>2.6</v>
      </c>
      <c r="AE27" s="15">
        <f t="shared" ca="1" si="29"/>
        <v>0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>
        <f t="shared" ca="1" si="38"/>
        <v>45</v>
      </c>
      <c r="AO27" s="15">
        <f t="shared" ca="1" si="39"/>
        <v>0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19190127</v>
      </c>
      <c r="C28" s="72">
        <f t="shared" si="1"/>
        <v>700</v>
      </c>
      <c r="D28" s="16">
        <f t="shared" ca="1" si="2"/>
        <v>26.1</v>
      </c>
      <c r="E28" s="15">
        <f t="shared" ca="1" si="3"/>
        <v>0</v>
      </c>
      <c r="F28" s="73">
        <f t="shared" ca="1" si="4"/>
        <v>763.85</v>
      </c>
      <c r="G28" s="15">
        <f t="shared" ca="1" si="5"/>
        <v>0</v>
      </c>
      <c r="H28" s="73">
        <f t="shared" ca="1" si="6"/>
        <v>6.45</v>
      </c>
      <c r="I28" s="15">
        <f t="shared" ca="1" si="7"/>
        <v>0</v>
      </c>
      <c r="J28" s="73">
        <f t="shared" ca="1" si="8"/>
        <v>757.4</v>
      </c>
      <c r="K28" s="15">
        <f t="shared" ca="1" si="9"/>
        <v>0</v>
      </c>
      <c r="L28" s="16">
        <f t="shared" ca="1" si="10"/>
        <v>759.5</v>
      </c>
      <c r="M28" s="15">
        <f t="shared" ca="1" si="11"/>
        <v>0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>
        <f t="shared" ca="1" si="22"/>
        <v>28.7</v>
      </c>
      <c r="Y28" s="15">
        <f t="shared" ca="1" si="23"/>
        <v>0</v>
      </c>
      <c r="Z28" s="16">
        <f t="shared" ca="1" si="24"/>
        <v>23.4</v>
      </c>
      <c r="AA28" s="15">
        <f t="shared" ca="1" si="25"/>
        <v>0</v>
      </c>
      <c r="AB28" s="9">
        <f t="shared" ca="1" si="26"/>
        <v>135</v>
      </c>
      <c r="AC28" s="15">
        <f t="shared" ca="1" si="27"/>
        <v>0</v>
      </c>
      <c r="AD28" s="76">
        <f t="shared" ca="1" si="28"/>
        <v>3.1</v>
      </c>
      <c r="AE28" s="15">
        <f t="shared" ca="1" si="29"/>
        <v>0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>
        <f t="shared" ca="1" si="38"/>
        <v>90</v>
      </c>
      <c r="AO28" s="15">
        <f t="shared" ca="1" si="39"/>
        <v>0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19190128</v>
      </c>
      <c r="C29" s="72">
        <f t="shared" si="1"/>
        <v>700</v>
      </c>
      <c r="D29" s="16">
        <f t="shared" ca="1" si="2"/>
        <v>26.4</v>
      </c>
      <c r="E29" s="15">
        <f t="shared" ca="1" si="3"/>
        <v>0</v>
      </c>
      <c r="F29" s="73">
        <f t="shared" ca="1" si="4"/>
        <v>764.39</v>
      </c>
      <c r="G29" s="15">
        <f t="shared" ca="1" si="5"/>
        <v>0</v>
      </c>
      <c r="H29" s="73">
        <f t="shared" ca="1" si="6"/>
        <v>6.48</v>
      </c>
      <c r="I29" s="15">
        <f t="shared" ca="1" si="7"/>
        <v>0</v>
      </c>
      <c r="J29" s="73">
        <f t="shared" ca="1" si="8"/>
        <v>757.91</v>
      </c>
      <c r="K29" s="15">
        <f t="shared" ca="1" si="9"/>
        <v>0</v>
      </c>
      <c r="L29" s="16">
        <f t="shared" ca="1" si="10"/>
        <v>760</v>
      </c>
      <c r="M29" s="15">
        <f t="shared" ca="1" si="11"/>
        <v>0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>
        <f t="shared" ca="1" si="22"/>
        <v>28.5</v>
      </c>
      <c r="Y29" s="15">
        <f t="shared" ca="1" si="23"/>
        <v>0</v>
      </c>
      <c r="Z29" s="16">
        <f t="shared" ca="1" si="24"/>
        <v>24.7</v>
      </c>
      <c r="AA29" s="15">
        <f t="shared" ca="1" si="25"/>
        <v>0</v>
      </c>
      <c r="AB29" s="9">
        <f t="shared" ca="1" si="26"/>
        <v>90</v>
      </c>
      <c r="AC29" s="15">
        <f t="shared" ca="1" si="27"/>
        <v>0</v>
      </c>
      <c r="AD29" s="76">
        <f t="shared" ca="1" si="28"/>
        <v>4.0999999999999996</v>
      </c>
      <c r="AE29" s="15">
        <f t="shared" ca="1" si="29"/>
        <v>0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>
        <f t="shared" ca="1" si="38"/>
        <v>90</v>
      </c>
      <c r="AO29" s="15">
        <f t="shared" ca="1" si="39"/>
        <v>0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19190129</v>
      </c>
      <c r="C30" s="72">
        <f t="shared" si="1"/>
        <v>700</v>
      </c>
      <c r="D30" s="16">
        <f t="shared" ca="1" si="2"/>
        <v>26.4</v>
      </c>
      <c r="E30" s="15">
        <f t="shared" ca="1" si="3"/>
        <v>0</v>
      </c>
      <c r="F30" s="73">
        <f t="shared" ca="1" si="4"/>
        <v>763.32</v>
      </c>
      <c r="G30" s="15">
        <f t="shared" ca="1" si="5"/>
        <v>0</v>
      </c>
      <c r="H30" s="73">
        <f t="shared" ca="1" si="6"/>
        <v>6.48</v>
      </c>
      <c r="I30" s="15">
        <f t="shared" ca="1" si="7"/>
        <v>0</v>
      </c>
      <c r="J30" s="73">
        <f t="shared" ca="1" si="8"/>
        <v>756.84</v>
      </c>
      <c r="K30" s="15">
        <f t="shared" ca="1" si="9"/>
        <v>0</v>
      </c>
      <c r="L30" s="16">
        <f t="shared" ca="1" si="10"/>
        <v>759</v>
      </c>
      <c r="M30" s="15">
        <f t="shared" ca="1" si="11"/>
        <v>0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>
        <f t="shared" ca="1" si="22"/>
        <v>28.6</v>
      </c>
      <c r="Y30" s="15">
        <f t="shared" ca="1" si="23"/>
        <v>0</v>
      </c>
      <c r="Z30" s="16">
        <f t="shared" ca="1" si="24"/>
        <v>24.4</v>
      </c>
      <c r="AA30" s="15">
        <f t="shared" ca="1" si="25"/>
        <v>0</v>
      </c>
      <c r="AB30" s="9">
        <f t="shared" ca="1" si="26"/>
        <v>90</v>
      </c>
      <c r="AC30" s="15">
        <f t="shared" ca="1" si="27"/>
        <v>0</v>
      </c>
      <c r="AD30" s="76">
        <f t="shared" ca="1" si="28"/>
        <v>4.5999999999999996</v>
      </c>
      <c r="AE30" s="15">
        <f t="shared" ca="1" si="29"/>
        <v>0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>
        <f t="shared" ca="1" si="38"/>
        <v>90</v>
      </c>
      <c r="AO30" s="15">
        <f t="shared" ca="1" si="39"/>
        <v>0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19190130</v>
      </c>
      <c r="C31" s="72">
        <f t="shared" si="1"/>
        <v>700</v>
      </c>
      <c r="D31" s="16">
        <f t="shared" ca="1" si="2"/>
        <v>26.4</v>
      </c>
      <c r="E31" s="15">
        <f t="shared" ca="1" si="3"/>
        <v>0</v>
      </c>
      <c r="F31" s="73">
        <f t="shared" ca="1" si="4"/>
        <v>763.02</v>
      </c>
      <c r="G31" s="15">
        <f t="shared" ca="1" si="5"/>
        <v>0</v>
      </c>
      <c r="H31" s="73">
        <f t="shared" ca="1" si="6"/>
        <v>6.48</v>
      </c>
      <c r="I31" s="15">
        <f t="shared" ca="1" si="7"/>
        <v>0</v>
      </c>
      <c r="J31" s="73">
        <f t="shared" ca="1" si="8"/>
        <v>756.54</v>
      </c>
      <c r="K31" s="15">
        <f t="shared" ca="1" si="9"/>
        <v>0</v>
      </c>
      <c r="L31" s="16">
        <f t="shared" ca="1" si="10"/>
        <v>758.7</v>
      </c>
      <c r="M31" s="15">
        <f t="shared" ca="1" si="11"/>
        <v>0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>
        <f t="shared" ca="1" si="22"/>
        <v>28.9</v>
      </c>
      <c r="Y31" s="15">
        <f t="shared" ca="1" si="23"/>
        <v>0</v>
      </c>
      <c r="Z31" s="16">
        <f t="shared" ca="1" si="24"/>
        <v>24.6</v>
      </c>
      <c r="AA31" s="15">
        <f t="shared" ca="1" si="25"/>
        <v>0</v>
      </c>
      <c r="AB31" s="9">
        <f t="shared" ca="1" si="26"/>
        <v>45</v>
      </c>
      <c r="AC31" s="15">
        <f t="shared" ca="1" si="27"/>
        <v>0</v>
      </c>
      <c r="AD31" s="76">
        <f t="shared" ca="1" si="28"/>
        <v>4.0999999999999996</v>
      </c>
      <c r="AE31" s="15">
        <f t="shared" ca="1" si="29"/>
        <v>0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>
        <f t="shared" ca="1" si="38"/>
        <v>90</v>
      </c>
      <c r="AO31" s="15">
        <f t="shared" ca="1" si="39"/>
        <v>0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19190131</v>
      </c>
      <c r="C32" s="72">
        <f t="shared" si="1"/>
        <v>700</v>
      </c>
      <c r="D32" s="16">
        <f t="shared" ca="1" si="2"/>
        <v>26.7</v>
      </c>
      <c r="E32" s="15">
        <f t="shared" ca="1" si="3"/>
        <v>0</v>
      </c>
      <c r="F32" s="73">
        <f t="shared" ca="1" si="4"/>
        <v>763.37</v>
      </c>
      <c r="G32" s="15">
        <f t="shared" ca="1" si="5"/>
        <v>0</v>
      </c>
      <c r="H32" s="73">
        <f t="shared" ca="1" si="6"/>
        <v>6.5</v>
      </c>
      <c r="I32" s="15">
        <f t="shared" ca="1" si="7"/>
        <v>0</v>
      </c>
      <c r="J32" s="73">
        <f t="shared" ca="1" si="8"/>
        <v>756.87</v>
      </c>
      <c r="K32" s="15">
        <f t="shared" ca="1" si="9"/>
        <v>0</v>
      </c>
      <c r="L32" s="16">
        <f t="shared" ca="1" si="10"/>
        <v>759</v>
      </c>
      <c r="M32" s="15">
        <f t="shared" ca="1" si="11"/>
        <v>0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>
        <f t="shared" ca="1" si="22"/>
        <v>29.4</v>
      </c>
      <c r="Y32" s="15">
        <f t="shared" ca="1" si="23"/>
        <v>0</v>
      </c>
      <c r="Z32" s="16">
        <f t="shared" ca="1" si="24"/>
        <v>25.1</v>
      </c>
      <c r="AA32" s="15">
        <f t="shared" ca="1" si="25"/>
        <v>0</v>
      </c>
      <c r="AB32" s="9">
        <f t="shared" ca="1" si="26"/>
        <v>90</v>
      </c>
      <c r="AC32" s="15">
        <f t="shared" ca="1" si="27"/>
        <v>0</v>
      </c>
      <c r="AD32" s="76">
        <f t="shared" ca="1" si="28"/>
        <v>6.2</v>
      </c>
      <c r="AE32" s="15">
        <f t="shared" ca="1" si="29"/>
        <v>0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>
        <f t="shared" ca="1" si="38"/>
        <v>90</v>
      </c>
      <c r="AO32" s="15">
        <f t="shared" ca="1" si="39"/>
        <v>0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19190201</v>
      </c>
      <c r="C33" s="72">
        <f t="shared" si="1"/>
        <v>700</v>
      </c>
      <c r="D33" s="16">
        <f t="shared" ca="1" si="2"/>
        <v>26.7</v>
      </c>
      <c r="E33" s="15">
        <f t="shared" ca="1" si="3"/>
        <v>0</v>
      </c>
      <c r="F33" s="73">
        <f t="shared" ca="1" si="4"/>
        <v>763.02</v>
      </c>
      <c r="G33" s="15">
        <f t="shared" ca="1" si="5"/>
        <v>0</v>
      </c>
      <c r="H33" s="73">
        <f t="shared" ca="1" si="6"/>
        <v>6.5</v>
      </c>
      <c r="I33" s="15">
        <f t="shared" ca="1" si="7"/>
        <v>0</v>
      </c>
      <c r="J33" s="73">
        <f t="shared" ca="1" si="8"/>
        <v>756.51</v>
      </c>
      <c r="K33" s="15">
        <f t="shared" ca="1" si="9"/>
        <v>0</v>
      </c>
      <c r="L33" s="16">
        <f t="shared" ca="1" si="10"/>
        <v>758.4</v>
      </c>
      <c r="M33" s="15">
        <f t="shared" ca="1" si="11"/>
        <v>0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>
        <f t="shared" ca="1" si="22"/>
        <v>28.9</v>
      </c>
      <c r="Y33" s="15">
        <f t="shared" ca="1" si="23"/>
        <v>0</v>
      </c>
      <c r="Z33" s="16">
        <f t="shared" ca="1" si="24"/>
        <v>25</v>
      </c>
      <c r="AA33" s="15">
        <f t="shared" ca="1" si="25"/>
        <v>0</v>
      </c>
      <c r="AB33" s="9">
        <f t="shared" ca="1" si="26"/>
        <v>90</v>
      </c>
      <c r="AC33" s="15">
        <f t="shared" ca="1" si="27"/>
        <v>0</v>
      </c>
      <c r="AD33" s="76">
        <f t="shared" ca="1" si="28"/>
        <v>6.2</v>
      </c>
      <c r="AE33" s="15">
        <f t="shared" ca="1" si="29"/>
        <v>0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>
        <f t="shared" ca="1" si="38"/>
        <v>90</v>
      </c>
      <c r="AO33" s="15">
        <f t="shared" ca="1" si="39"/>
        <v>0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19190202</v>
      </c>
      <c r="C34" s="72">
        <f t="shared" si="1"/>
        <v>700</v>
      </c>
      <c r="D34" s="16">
        <f t="shared" ca="1" si="2"/>
        <v>26.7</v>
      </c>
      <c r="E34" s="15">
        <f t="shared" ca="1" si="3"/>
        <v>0</v>
      </c>
      <c r="F34" s="73">
        <f t="shared" ca="1" si="4"/>
        <v>762.71</v>
      </c>
      <c r="G34" s="15">
        <f t="shared" ca="1" si="5"/>
        <v>0</v>
      </c>
      <c r="H34" s="73">
        <f t="shared" ca="1" si="6"/>
        <v>6.5</v>
      </c>
      <c r="I34" s="15">
        <f t="shared" ca="1" si="7"/>
        <v>0</v>
      </c>
      <c r="J34" s="73">
        <f t="shared" ca="1" si="8"/>
        <v>756.21</v>
      </c>
      <c r="K34" s="15">
        <f t="shared" ca="1" si="9"/>
        <v>0</v>
      </c>
      <c r="L34" s="16">
        <f t="shared" ca="1" si="10"/>
        <v>758.2</v>
      </c>
      <c r="M34" s="15">
        <f t="shared" ca="1" si="11"/>
        <v>0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>
        <f t="shared" ca="1" si="22"/>
        <v>28.7</v>
      </c>
      <c r="Y34" s="15">
        <f t="shared" ca="1" si="23"/>
        <v>0</v>
      </c>
      <c r="Z34" s="16">
        <f t="shared" ca="1" si="24"/>
        <v>25.1</v>
      </c>
      <c r="AA34" s="15">
        <f t="shared" ca="1" si="25"/>
        <v>0</v>
      </c>
      <c r="AB34" s="9">
        <f t="shared" ca="1" si="26"/>
        <v>90</v>
      </c>
      <c r="AC34" s="15">
        <f t="shared" ca="1" si="27"/>
        <v>0</v>
      </c>
      <c r="AD34" s="76">
        <f t="shared" ca="1" si="28"/>
        <v>4.0999999999999996</v>
      </c>
      <c r="AE34" s="15">
        <f t="shared" ca="1" si="29"/>
        <v>0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>
        <f t="shared" ca="1" si="38"/>
        <v>90</v>
      </c>
      <c r="AO34" s="15">
        <f t="shared" ca="1" si="39"/>
        <v>0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19190203</v>
      </c>
      <c r="C35" s="72">
        <f t="shared" si="1"/>
        <v>700</v>
      </c>
      <c r="D35" s="16">
        <f t="shared" ca="1" si="2"/>
        <v>27.2</v>
      </c>
      <c r="E35" s="15">
        <f t="shared" ca="1" si="3"/>
        <v>0</v>
      </c>
      <c r="F35" s="73">
        <f t="shared" ca="1" si="4"/>
        <v>763.32</v>
      </c>
      <c r="G35" s="15">
        <f t="shared" ca="1" si="5"/>
        <v>0</v>
      </c>
      <c r="H35" s="73">
        <f t="shared" ca="1" si="6"/>
        <v>6.58</v>
      </c>
      <c r="I35" s="15">
        <f t="shared" ca="1" si="7"/>
        <v>0</v>
      </c>
      <c r="J35" s="73">
        <f t="shared" ca="1" si="8"/>
        <v>756.74</v>
      </c>
      <c r="K35" s="15">
        <f t="shared" ca="1" si="9"/>
        <v>0</v>
      </c>
      <c r="L35" s="16">
        <f t="shared" ca="1" si="10"/>
        <v>758.7</v>
      </c>
      <c r="M35" s="15">
        <f t="shared" ca="1" si="11"/>
        <v>0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>
        <f t="shared" ca="1" si="22"/>
        <v>29.7</v>
      </c>
      <c r="Y35" s="15">
        <f t="shared" ca="1" si="23"/>
        <v>0</v>
      </c>
      <c r="Z35" s="16">
        <f t="shared" ca="1" si="24"/>
        <v>25.1</v>
      </c>
      <c r="AA35" s="15">
        <f t="shared" ca="1" si="25"/>
        <v>0</v>
      </c>
      <c r="AB35" s="9">
        <f t="shared" ca="1" si="26"/>
        <v>90</v>
      </c>
      <c r="AC35" s="15">
        <f t="shared" ca="1" si="27"/>
        <v>0</v>
      </c>
      <c r="AD35" s="76">
        <f t="shared" ca="1" si="28"/>
        <v>4.0999999999999996</v>
      </c>
      <c r="AE35" s="15">
        <f t="shared" ca="1" si="29"/>
        <v>0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>
        <f t="shared" ca="1" si="38"/>
        <v>90</v>
      </c>
      <c r="AO35" s="15">
        <f t="shared" ca="1" si="39"/>
        <v>0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19190204</v>
      </c>
      <c r="C36" s="72">
        <f t="shared" si="1"/>
        <v>700</v>
      </c>
      <c r="D36" s="16">
        <f t="shared" ca="1" si="2"/>
        <v>26.9</v>
      </c>
      <c r="E36" s="15">
        <f t="shared" ca="1" si="3"/>
        <v>0</v>
      </c>
      <c r="F36" s="73">
        <f t="shared" ca="1" si="4"/>
        <v>763.8</v>
      </c>
      <c r="G36" s="15">
        <f t="shared" ca="1" si="5"/>
        <v>0</v>
      </c>
      <c r="H36" s="73">
        <f t="shared" ca="1" si="6"/>
        <v>6.55</v>
      </c>
      <c r="I36" s="15">
        <f t="shared" ca="1" si="7"/>
        <v>0</v>
      </c>
      <c r="J36" s="73">
        <f t="shared" ca="1" si="8"/>
        <v>757.25</v>
      </c>
      <c r="K36" s="15">
        <f t="shared" ca="1" si="9"/>
        <v>0</v>
      </c>
      <c r="L36" s="16">
        <f t="shared" ca="1" si="10"/>
        <v>759.2</v>
      </c>
      <c r="M36" s="15">
        <f t="shared" ca="1" si="11"/>
        <v>0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>
        <f t="shared" ca="1" si="22"/>
        <v>29.1</v>
      </c>
      <c r="Y36" s="15">
        <f t="shared" ca="1" si="23"/>
        <v>0</v>
      </c>
      <c r="Z36" s="16">
        <f t="shared" ca="1" si="24"/>
        <v>25.1</v>
      </c>
      <c r="AA36" s="15">
        <f t="shared" ca="1" si="25"/>
        <v>0</v>
      </c>
      <c r="AB36" s="9">
        <f t="shared" ca="1" si="26"/>
        <v>135</v>
      </c>
      <c r="AC36" s="15">
        <f t="shared" ca="1" si="27"/>
        <v>0</v>
      </c>
      <c r="AD36" s="76">
        <f t="shared" ca="1" si="28"/>
        <v>4.0999999999999996</v>
      </c>
      <c r="AE36" s="15">
        <f t="shared" ca="1" si="29"/>
        <v>0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>
        <f t="shared" ca="1" si="38"/>
        <v>90</v>
      </c>
      <c r="AO36" s="15">
        <f t="shared" ca="1" si="39"/>
        <v>0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19190205</v>
      </c>
      <c r="C37" s="72">
        <f t="shared" si="1"/>
        <v>700</v>
      </c>
      <c r="D37" s="16">
        <f t="shared" ca="1" si="2"/>
        <v>26.9</v>
      </c>
      <c r="E37" s="15">
        <f t="shared" ca="1" si="3"/>
        <v>0</v>
      </c>
      <c r="F37" s="73">
        <f t="shared" ca="1" si="4"/>
        <v>764.06</v>
      </c>
      <c r="G37" s="15">
        <f t="shared" ca="1" si="5"/>
        <v>0</v>
      </c>
      <c r="H37" s="73">
        <f t="shared" ca="1" si="6"/>
        <v>6.55</v>
      </c>
      <c r="I37" s="15">
        <f t="shared" ca="1" si="7"/>
        <v>0</v>
      </c>
      <c r="J37" s="73">
        <f t="shared" ca="1" si="8"/>
        <v>757.5</v>
      </c>
      <c r="K37" s="15">
        <f t="shared" ca="1" si="9"/>
        <v>0</v>
      </c>
      <c r="L37" s="16">
        <f t="shared" ca="1" si="10"/>
        <v>759.5</v>
      </c>
      <c r="M37" s="15">
        <f t="shared" ca="1" si="11"/>
        <v>0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>
        <f t="shared" ca="1" si="22"/>
        <v>28.9</v>
      </c>
      <c r="Y37" s="15">
        <f t="shared" ca="1" si="23"/>
        <v>0</v>
      </c>
      <c r="Z37" s="16">
        <f t="shared" ca="1" si="24"/>
        <v>24.4</v>
      </c>
      <c r="AA37" s="15">
        <f t="shared" ca="1" si="25"/>
        <v>0</v>
      </c>
      <c r="AB37" s="9">
        <f t="shared" ca="1" si="26"/>
        <v>90</v>
      </c>
      <c r="AC37" s="15">
        <f t="shared" ca="1" si="27"/>
        <v>0</v>
      </c>
      <c r="AD37" s="76">
        <f t="shared" ca="1" si="28"/>
        <v>4.0999999999999996</v>
      </c>
      <c r="AE37" s="15">
        <f t="shared" ca="1" si="29"/>
        <v>0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>
        <f t="shared" ca="1" si="38"/>
        <v>135</v>
      </c>
      <c r="AO37" s="15">
        <f t="shared" ca="1" si="39"/>
        <v>0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19190206</v>
      </c>
      <c r="C38" s="72">
        <f t="shared" si="1"/>
        <v>700</v>
      </c>
      <c r="D38" s="16">
        <f t="shared" ca="1" si="2"/>
        <v>26.4</v>
      </c>
      <c r="E38" s="15">
        <f t="shared" ca="1" si="3"/>
        <v>0</v>
      </c>
      <c r="F38" s="73">
        <f t="shared" ca="1" si="4"/>
        <v>763.75</v>
      </c>
      <c r="G38" s="15">
        <f t="shared" ca="1" si="5"/>
        <v>0</v>
      </c>
      <c r="H38" s="73">
        <f t="shared" ca="1" si="6"/>
        <v>6.48</v>
      </c>
      <c r="I38" s="15">
        <f t="shared" ca="1" si="7"/>
        <v>0</v>
      </c>
      <c r="J38" s="73">
        <f t="shared" ca="1" si="8"/>
        <v>757.28</v>
      </c>
      <c r="K38" s="15">
        <f t="shared" ca="1" si="9"/>
        <v>0</v>
      </c>
      <c r="L38" s="16">
        <f t="shared" ca="1" si="10"/>
        <v>759.2</v>
      </c>
      <c r="M38" s="15">
        <f t="shared" ca="1" si="11"/>
        <v>0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>
        <f t="shared" ca="1" si="22"/>
        <v>29.4</v>
      </c>
      <c r="Y38" s="15">
        <f t="shared" ca="1" si="23"/>
        <v>0</v>
      </c>
      <c r="Z38" s="16">
        <f t="shared" ca="1" si="24"/>
        <v>23.7</v>
      </c>
      <c r="AA38" s="15">
        <f t="shared" ca="1" si="25"/>
        <v>0</v>
      </c>
      <c r="AB38" s="9">
        <f t="shared" ca="1" si="26"/>
        <v>90</v>
      </c>
      <c r="AC38" s="15">
        <f t="shared" ca="1" si="27"/>
        <v>0</v>
      </c>
      <c r="AD38" s="76">
        <f t="shared" ca="1" si="28"/>
        <v>2.1</v>
      </c>
      <c r="AE38" s="15">
        <f t="shared" ca="1" si="29"/>
        <v>0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>
        <f t="shared" ca="1" si="38"/>
        <v>90</v>
      </c>
      <c r="AO38" s="15">
        <f t="shared" ca="1" si="39"/>
        <v>0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19190207</v>
      </c>
      <c r="C39" s="72">
        <f t="shared" si="1"/>
        <v>700</v>
      </c>
      <c r="D39" s="16">
        <f t="shared" ca="1" si="2"/>
        <v>26.7</v>
      </c>
      <c r="E39" s="15">
        <f t="shared" ca="1" si="3"/>
        <v>0</v>
      </c>
      <c r="F39" s="73">
        <f t="shared" ca="1" si="4"/>
        <v>764.74</v>
      </c>
      <c r="G39" s="15">
        <f t="shared" ca="1" si="5"/>
        <v>0</v>
      </c>
      <c r="H39" s="73">
        <f t="shared" ca="1" si="6"/>
        <v>6.5</v>
      </c>
      <c r="I39" s="15">
        <f t="shared" ca="1" si="7"/>
        <v>0</v>
      </c>
      <c r="J39" s="73">
        <f t="shared" ca="1" si="8"/>
        <v>758.24</v>
      </c>
      <c r="K39" s="15">
        <f t="shared" ca="1" si="9"/>
        <v>0</v>
      </c>
      <c r="L39" s="16">
        <f t="shared" ca="1" si="10"/>
        <v>760.2</v>
      </c>
      <c r="M39" s="15">
        <f t="shared" ca="1" si="11"/>
        <v>0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>
        <f t="shared" ca="1" si="22"/>
        <v>29.3</v>
      </c>
      <c r="Y39" s="15">
        <f t="shared" ca="1" si="23"/>
        <v>0</v>
      </c>
      <c r="Z39" s="16">
        <f t="shared" ca="1" si="24"/>
        <v>23.9</v>
      </c>
      <c r="AA39" s="15">
        <f t="shared" ca="1" si="25"/>
        <v>0</v>
      </c>
      <c r="AB39" s="9">
        <f t="shared" ca="1" si="26"/>
        <v>90</v>
      </c>
      <c r="AC39" s="15">
        <f t="shared" ca="1" si="27"/>
        <v>0</v>
      </c>
      <c r="AD39" s="76">
        <f t="shared" ca="1" si="28"/>
        <v>2.6</v>
      </c>
      <c r="AE39" s="15">
        <f t="shared" ca="1" si="29"/>
        <v>0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>
        <f t="shared" ca="1" si="38"/>
        <v>90</v>
      </c>
      <c r="AO39" s="15">
        <f t="shared" ca="1" si="39"/>
        <v>0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19190208</v>
      </c>
      <c r="C40" s="72">
        <f t="shared" si="1"/>
        <v>700</v>
      </c>
      <c r="D40" s="16">
        <f t="shared" ca="1" si="2"/>
        <v>26.9</v>
      </c>
      <c r="E40" s="15">
        <f t="shared" ca="1" si="3"/>
        <v>0</v>
      </c>
      <c r="F40" s="73">
        <f t="shared" ca="1" si="4"/>
        <v>766.01</v>
      </c>
      <c r="G40" s="15">
        <f t="shared" ca="1" si="5"/>
        <v>0</v>
      </c>
      <c r="H40" s="73">
        <f t="shared" ca="1" si="6"/>
        <v>6.55</v>
      </c>
      <c r="I40" s="15">
        <f t="shared" ca="1" si="7"/>
        <v>0</v>
      </c>
      <c r="J40" s="73">
        <f t="shared" ca="1" si="8"/>
        <v>759.46</v>
      </c>
      <c r="K40" s="15">
        <f t="shared" ca="1" si="9"/>
        <v>0</v>
      </c>
      <c r="L40" s="16">
        <f t="shared" ca="1" si="10"/>
        <v>761.5</v>
      </c>
      <c r="M40" s="15">
        <f t="shared" ca="1" si="11"/>
        <v>0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>
        <f t="shared" ca="1" si="22"/>
        <v>29.1</v>
      </c>
      <c r="Y40" s="15">
        <f t="shared" ca="1" si="23"/>
        <v>0</v>
      </c>
      <c r="Z40" s="16">
        <f t="shared" ca="1" si="24"/>
        <v>24.2</v>
      </c>
      <c r="AA40" s="15">
        <f t="shared" ca="1" si="25"/>
        <v>0</v>
      </c>
      <c r="AB40" s="9">
        <f t="shared" ca="1" si="26"/>
        <v>90</v>
      </c>
      <c r="AC40" s="15">
        <f t="shared" ca="1" si="27"/>
        <v>0</v>
      </c>
      <c r="AD40" s="76">
        <f t="shared" ca="1" si="28"/>
        <v>2.6</v>
      </c>
      <c r="AE40" s="15">
        <f t="shared" ca="1" si="29"/>
        <v>0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>
        <f t="shared" ca="1" si="38"/>
        <v>90</v>
      </c>
      <c r="AO40" s="15">
        <f t="shared" ca="1" si="39"/>
        <v>0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19190209</v>
      </c>
      <c r="C41" s="72">
        <f t="shared" si="1"/>
        <v>700</v>
      </c>
      <c r="D41" s="16">
        <f t="shared" ca="1" si="2"/>
        <v>26.9</v>
      </c>
      <c r="E41" s="15">
        <f t="shared" ca="1" si="3"/>
        <v>0</v>
      </c>
      <c r="F41" s="73">
        <f t="shared" ca="1" si="4"/>
        <v>765.05</v>
      </c>
      <c r="G41" s="15">
        <f t="shared" ca="1" si="5"/>
        <v>0</v>
      </c>
      <c r="H41" s="73">
        <f t="shared" ca="1" si="6"/>
        <v>6.55</v>
      </c>
      <c r="I41" s="15">
        <f t="shared" ca="1" si="7"/>
        <v>0</v>
      </c>
      <c r="J41" s="73">
        <f t="shared" ca="1" si="8"/>
        <v>756.97</v>
      </c>
      <c r="K41" s="15">
        <f t="shared" ca="1" si="9"/>
        <v>0</v>
      </c>
      <c r="L41" s="16">
        <f t="shared" ca="1" si="10"/>
        <v>760.5</v>
      </c>
      <c r="M41" s="15">
        <f t="shared" ca="1" si="11"/>
        <v>0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>
        <f t="shared" ca="1" si="22"/>
        <v>30.2</v>
      </c>
      <c r="Y41" s="15">
        <f t="shared" ca="1" si="23"/>
        <v>0</v>
      </c>
      <c r="Z41" s="16">
        <f t="shared" ca="1" si="24"/>
        <v>23.3</v>
      </c>
      <c r="AA41" s="15">
        <f t="shared" ca="1" si="25"/>
        <v>0</v>
      </c>
      <c r="AB41" s="9">
        <f t="shared" ca="1" si="26"/>
        <v>45</v>
      </c>
      <c r="AC41" s="15">
        <f t="shared" ca="1" si="27"/>
        <v>0</v>
      </c>
      <c r="AD41" s="76">
        <f t="shared" ca="1" si="28"/>
        <v>3.6</v>
      </c>
      <c r="AE41" s="15">
        <f t="shared" ca="1" si="29"/>
        <v>0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>
        <f t="shared" ca="1" si="38"/>
        <v>90</v>
      </c>
      <c r="AO41" s="15">
        <f t="shared" ca="1" si="39"/>
        <v>0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19190210</v>
      </c>
      <c r="C42" s="72">
        <f t="shared" si="1"/>
        <v>700</v>
      </c>
      <c r="D42" s="16">
        <f t="shared" ca="1" si="2"/>
        <v>26.4</v>
      </c>
      <c r="E42" s="15">
        <f t="shared" ca="1" si="3"/>
        <v>0</v>
      </c>
      <c r="F42" s="73">
        <f t="shared" ca="1" si="4"/>
        <v>764.74</v>
      </c>
      <c r="G42" s="15">
        <f t="shared" ca="1" si="5"/>
        <v>0</v>
      </c>
      <c r="H42" s="73">
        <f t="shared" ca="1" si="6"/>
        <v>6.48</v>
      </c>
      <c r="I42" s="15">
        <f t="shared" ca="1" si="7"/>
        <v>0</v>
      </c>
      <c r="J42" s="73">
        <f t="shared" ca="1" si="8"/>
        <v>758.27</v>
      </c>
      <c r="K42" s="15">
        <f t="shared" ca="1" si="9"/>
        <v>0</v>
      </c>
      <c r="L42" s="16">
        <f t="shared" ca="1" si="10"/>
        <v>760.2</v>
      </c>
      <c r="M42" s="15">
        <f t="shared" ca="1" si="11"/>
        <v>0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>
        <f t="shared" ca="1" si="22"/>
        <v>27.9</v>
      </c>
      <c r="Y42" s="15">
        <f t="shared" ca="1" si="23"/>
        <v>0</v>
      </c>
      <c r="Z42" s="16">
        <f t="shared" ca="1" si="24"/>
        <v>23.8</v>
      </c>
      <c r="AA42" s="15">
        <f t="shared" ca="1" si="25"/>
        <v>0</v>
      </c>
      <c r="AB42" s="9">
        <f t="shared" ca="1" si="26"/>
        <v>90</v>
      </c>
      <c r="AC42" s="15">
        <f t="shared" ca="1" si="27"/>
        <v>0</v>
      </c>
      <c r="AD42" s="76">
        <f t="shared" ca="1" si="28"/>
        <v>5.0999999999999996</v>
      </c>
      <c r="AE42" s="15">
        <f t="shared" ca="1" si="29"/>
        <v>0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>
        <f t="shared" ca="1" si="38"/>
        <v>90</v>
      </c>
      <c r="AO42" s="15">
        <f t="shared" ca="1" si="39"/>
        <v>0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19190211</v>
      </c>
      <c r="C43" s="72">
        <f t="shared" si="1"/>
        <v>700</v>
      </c>
      <c r="D43" s="16">
        <f t="shared" ca="1" si="2"/>
        <v>25.8</v>
      </c>
      <c r="E43" s="15">
        <f t="shared" ca="1" si="3"/>
        <v>0</v>
      </c>
      <c r="F43" s="73">
        <f t="shared" ca="1" si="4"/>
        <v>765.25</v>
      </c>
      <c r="G43" s="15">
        <f t="shared" ca="1" si="5"/>
        <v>0</v>
      </c>
      <c r="H43" s="73">
        <f t="shared" ca="1" si="6"/>
        <v>6.4</v>
      </c>
      <c r="I43" s="15">
        <f t="shared" ca="1" si="7"/>
        <v>0</v>
      </c>
      <c r="J43" s="73">
        <f t="shared" ca="1" si="8"/>
        <v>758.88</v>
      </c>
      <c r="K43" s="15">
        <f t="shared" ca="1" si="9"/>
        <v>0</v>
      </c>
      <c r="L43" s="16">
        <f t="shared" ca="1" si="10"/>
        <v>761</v>
      </c>
      <c r="M43" s="15">
        <f t="shared" ca="1" si="11"/>
        <v>0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>
        <f t="shared" ca="1" si="22"/>
        <v>29.1</v>
      </c>
      <c r="Y43" s="15">
        <f t="shared" ca="1" si="23"/>
        <v>0</v>
      </c>
      <c r="Z43" s="16">
        <f t="shared" ca="1" si="24"/>
        <v>23.1</v>
      </c>
      <c r="AA43" s="15">
        <f t="shared" ca="1" si="25"/>
        <v>0</v>
      </c>
      <c r="AB43" s="9">
        <f t="shared" ca="1" si="26"/>
        <v>90</v>
      </c>
      <c r="AC43" s="15">
        <f t="shared" ca="1" si="27"/>
        <v>0</v>
      </c>
      <c r="AD43" s="76">
        <f t="shared" ca="1" si="28"/>
        <v>3.1</v>
      </c>
      <c r="AE43" s="15">
        <f t="shared" ca="1" si="29"/>
        <v>0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>
        <f t="shared" ca="1" si="38"/>
        <v>90</v>
      </c>
      <c r="AO43" s="15">
        <f t="shared" ca="1" si="39"/>
        <v>0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19190212</v>
      </c>
      <c r="C44" s="72">
        <f t="shared" si="1"/>
        <v>700</v>
      </c>
      <c r="D44" s="16">
        <f t="shared" ca="1" si="2"/>
        <v>26.7</v>
      </c>
      <c r="E44" s="15">
        <f t="shared" ca="1" si="3"/>
        <v>0</v>
      </c>
      <c r="F44" s="73">
        <f t="shared" ca="1" si="4"/>
        <v>765.58</v>
      </c>
      <c r="G44" s="15">
        <f t="shared" ca="1" si="5"/>
        <v>0</v>
      </c>
      <c r="H44" s="73">
        <f t="shared" ca="1" si="6"/>
        <v>6.5</v>
      </c>
      <c r="I44" s="15">
        <f t="shared" ca="1" si="7"/>
        <v>0</v>
      </c>
      <c r="J44" s="73">
        <f t="shared" ca="1" si="8"/>
        <v>759.08</v>
      </c>
      <c r="K44" s="15">
        <f t="shared" ca="1" si="9"/>
        <v>0</v>
      </c>
      <c r="L44" s="16">
        <f t="shared" ca="1" si="10"/>
        <v>761</v>
      </c>
      <c r="M44" s="15">
        <f t="shared" ca="1" si="11"/>
        <v>0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>
        <f t="shared" ca="1" si="22"/>
        <v>30</v>
      </c>
      <c r="Y44" s="15">
        <f t="shared" ca="1" si="23"/>
        <v>0</v>
      </c>
      <c r="Z44" s="16">
        <f t="shared" ca="1" si="24"/>
        <v>23.8</v>
      </c>
      <c r="AA44" s="15">
        <f t="shared" ca="1" si="25"/>
        <v>0</v>
      </c>
      <c r="AB44" s="9">
        <f t="shared" ca="1" si="26"/>
        <v>90</v>
      </c>
      <c r="AC44" s="15">
        <f t="shared" ca="1" si="27"/>
        <v>0</v>
      </c>
      <c r="AD44" s="76">
        <f t="shared" ca="1" si="28"/>
        <v>1</v>
      </c>
      <c r="AE44" s="15">
        <f t="shared" ca="1" si="29"/>
        <v>0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>
        <f t="shared" ca="1" si="38"/>
        <v>90</v>
      </c>
      <c r="AO44" s="15">
        <f t="shared" ca="1" si="39"/>
        <v>0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19190213</v>
      </c>
      <c r="C45" s="72">
        <f t="shared" si="1"/>
        <v>700</v>
      </c>
      <c r="D45" s="16">
        <f t="shared" ca="1" si="2"/>
        <v>26.4</v>
      </c>
      <c r="E45" s="15">
        <f t="shared" ca="1" si="3"/>
        <v>0</v>
      </c>
      <c r="F45" s="73">
        <f t="shared" ca="1" si="4"/>
        <v>766.24</v>
      </c>
      <c r="G45" s="15">
        <f t="shared" ca="1" si="5"/>
        <v>0</v>
      </c>
      <c r="H45" s="73">
        <f t="shared" ca="1" si="6"/>
        <v>6.48</v>
      </c>
      <c r="I45" s="15">
        <f t="shared" ca="1" si="7"/>
        <v>0</v>
      </c>
      <c r="J45" s="73">
        <f t="shared" ca="1" si="8"/>
        <v>759.76</v>
      </c>
      <c r="K45" s="15">
        <f t="shared" ca="1" si="9"/>
        <v>0</v>
      </c>
      <c r="L45" s="16">
        <f t="shared" ca="1" si="10"/>
        <v>761.7</v>
      </c>
      <c r="M45" s="15">
        <f t="shared" ca="1" si="11"/>
        <v>0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>
        <f t="shared" ca="1" si="22"/>
        <v>28.3</v>
      </c>
      <c r="Y45" s="15">
        <f t="shared" ca="1" si="23"/>
        <v>0</v>
      </c>
      <c r="Z45" s="16">
        <f t="shared" ca="1" si="24"/>
        <v>22.4</v>
      </c>
      <c r="AA45" s="15">
        <f t="shared" ca="1" si="25"/>
        <v>0</v>
      </c>
      <c r="AB45" s="9">
        <f t="shared" ca="1" si="26"/>
        <v>90</v>
      </c>
      <c r="AC45" s="15">
        <f t="shared" ca="1" si="27"/>
        <v>0</v>
      </c>
      <c r="AD45" s="76">
        <f t="shared" ca="1" si="28"/>
        <v>2.1</v>
      </c>
      <c r="AE45" s="15">
        <f t="shared" ca="1" si="29"/>
        <v>0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>
        <f t="shared" ca="1" si="38"/>
        <v>90</v>
      </c>
      <c r="AO45" s="15">
        <f t="shared" ca="1" si="39"/>
        <v>0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19190214</v>
      </c>
      <c r="C46" s="72">
        <f t="shared" si="1"/>
        <v>700</v>
      </c>
      <c r="D46" s="16">
        <f t="shared" ca="1" si="2"/>
        <v>26.1</v>
      </c>
      <c r="E46" s="15">
        <f t="shared" ca="1" si="3"/>
        <v>0</v>
      </c>
      <c r="F46" s="73">
        <f t="shared" ca="1" si="4"/>
        <v>766.06</v>
      </c>
      <c r="G46" s="15">
        <f t="shared" ca="1" si="5"/>
        <v>0</v>
      </c>
      <c r="H46" s="73">
        <f t="shared" ca="1" si="6"/>
        <v>6.45</v>
      </c>
      <c r="I46" s="15">
        <f t="shared" ca="1" si="7"/>
        <v>0</v>
      </c>
      <c r="J46" s="73">
        <f t="shared" ca="1" si="8"/>
        <v>759.61</v>
      </c>
      <c r="K46" s="15">
        <f t="shared" ca="1" si="9"/>
        <v>0</v>
      </c>
      <c r="L46" s="16">
        <f t="shared" ca="1" si="10"/>
        <v>761.7</v>
      </c>
      <c r="M46" s="15">
        <f t="shared" ca="1" si="11"/>
        <v>0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>
        <f t="shared" ca="1" si="22"/>
        <v>28.9</v>
      </c>
      <c r="Y46" s="15">
        <f t="shared" ca="1" si="23"/>
        <v>0</v>
      </c>
      <c r="Z46" s="16">
        <f t="shared" ca="1" si="24"/>
        <v>22.9</v>
      </c>
      <c r="AA46" s="15">
        <f t="shared" ca="1" si="25"/>
        <v>0</v>
      </c>
      <c r="AB46" s="9">
        <f t="shared" ca="1" si="26"/>
        <v>90</v>
      </c>
      <c r="AC46" s="15">
        <f t="shared" ca="1" si="27"/>
        <v>0</v>
      </c>
      <c r="AD46" s="76">
        <f t="shared" ca="1" si="28"/>
        <v>4.0999999999999996</v>
      </c>
      <c r="AE46" s="15">
        <f t="shared" ca="1" si="29"/>
        <v>0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>
        <f t="shared" ca="1" si="38"/>
        <v>90</v>
      </c>
      <c r="AO46" s="15">
        <f t="shared" ca="1" si="39"/>
        <v>0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19190215</v>
      </c>
      <c r="C47" s="72">
        <f t="shared" si="1"/>
        <v>700</v>
      </c>
      <c r="D47" s="16">
        <f t="shared" ca="1" si="2"/>
        <v>26.7</v>
      </c>
      <c r="E47" s="15">
        <f t="shared" ca="1" si="3"/>
        <v>0</v>
      </c>
      <c r="F47" s="73">
        <f t="shared" ca="1" si="4"/>
        <v>766.11</v>
      </c>
      <c r="G47" s="15">
        <f t="shared" ca="1" si="5"/>
        <v>0</v>
      </c>
      <c r="H47" s="73">
        <f t="shared" ca="1" si="6"/>
        <v>6.5</v>
      </c>
      <c r="I47" s="15">
        <f t="shared" ca="1" si="7"/>
        <v>0</v>
      </c>
      <c r="J47" s="73">
        <f t="shared" ca="1" si="8"/>
        <v>759.61</v>
      </c>
      <c r="K47" s="15">
        <f t="shared" ca="1" si="9"/>
        <v>0</v>
      </c>
      <c r="L47" s="16">
        <f t="shared" ca="1" si="10"/>
        <v>761.7</v>
      </c>
      <c r="M47" s="15">
        <f t="shared" ca="1" si="11"/>
        <v>0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>
        <f t="shared" ca="1" si="22"/>
        <v>29.2</v>
      </c>
      <c r="Y47" s="15">
        <f t="shared" ca="1" si="23"/>
        <v>0</v>
      </c>
      <c r="Z47" s="16">
        <f t="shared" ca="1" si="24"/>
        <v>24.3</v>
      </c>
      <c r="AA47" s="15">
        <f t="shared" ca="1" si="25"/>
        <v>0</v>
      </c>
      <c r="AB47" s="9">
        <f t="shared" ca="1" si="26"/>
        <v>135</v>
      </c>
      <c r="AC47" s="15">
        <f t="shared" ca="1" si="27"/>
        <v>0</v>
      </c>
      <c r="AD47" s="76">
        <f t="shared" ca="1" si="28"/>
        <v>3.6</v>
      </c>
      <c r="AE47" s="15">
        <f t="shared" ca="1" si="29"/>
        <v>0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>
        <f t="shared" ca="1" si="38"/>
        <v>90</v>
      </c>
      <c r="AO47" s="15">
        <f t="shared" ca="1" si="39"/>
        <v>0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19190216</v>
      </c>
      <c r="C48" s="72">
        <f t="shared" si="1"/>
        <v>700</v>
      </c>
      <c r="D48" s="16">
        <f t="shared" ca="1" si="2"/>
        <v>26.1</v>
      </c>
      <c r="E48" s="15">
        <f t="shared" ca="1" si="3"/>
        <v>0</v>
      </c>
      <c r="F48" s="73">
        <f t="shared" ca="1" si="4"/>
        <v>765.84</v>
      </c>
      <c r="G48" s="15">
        <f t="shared" ca="1" si="5"/>
        <v>0</v>
      </c>
      <c r="H48" s="73">
        <f t="shared" ca="1" si="6"/>
        <v>6.45</v>
      </c>
      <c r="I48" s="15">
        <f t="shared" ca="1" si="7"/>
        <v>0</v>
      </c>
      <c r="J48" s="73">
        <f t="shared" ca="1" si="8"/>
        <v>759.38</v>
      </c>
      <c r="K48" s="15">
        <f t="shared" ca="1" si="9"/>
        <v>0</v>
      </c>
      <c r="L48" s="16">
        <f t="shared" ca="1" si="10"/>
        <v>761.5</v>
      </c>
      <c r="M48" s="15">
        <f t="shared" ca="1" si="11"/>
        <v>0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>
        <f t="shared" ca="1" si="22"/>
        <v>28.9</v>
      </c>
      <c r="Y48" s="15">
        <f t="shared" ca="1" si="23"/>
        <v>0</v>
      </c>
      <c r="Z48" s="16">
        <f t="shared" ca="1" si="24"/>
        <v>24</v>
      </c>
      <c r="AA48" s="15">
        <f t="shared" ca="1" si="25"/>
        <v>0</v>
      </c>
      <c r="AB48" s="9">
        <f t="shared" ca="1" si="26"/>
        <v>90</v>
      </c>
      <c r="AC48" s="15">
        <f t="shared" ca="1" si="27"/>
        <v>0</v>
      </c>
      <c r="AD48" s="76">
        <f t="shared" ca="1" si="28"/>
        <v>3.1</v>
      </c>
      <c r="AE48" s="15">
        <f t="shared" ca="1" si="29"/>
        <v>0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>
        <f t="shared" ca="1" si="38"/>
        <v>90</v>
      </c>
      <c r="AO48" s="15">
        <f t="shared" ca="1" si="39"/>
        <v>0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19190217</v>
      </c>
      <c r="C49" s="72">
        <f t="shared" si="1"/>
        <v>700</v>
      </c>
      <c r="D49" s="16">
        <f t="shared" ca="1" si="2"/>
        <v>26.4</v>
      </c>
      <c r="E49" s="15">
        <f t="shared" ca="1" si="3"/>
        <v>0</v>
      </c>
      <c r="F49" s="73">
        <f t="shared" ca="1" si="4"/>
        <v>766.09</v>
      </c>
      <c r="G49" s="15">
        <f t="shared" ca="1" si="5"/>
        <v>0</v>
      </c>
      <c r="H49" s="73">
        <f t="shared" ca="1" si="6"/>
        <v>6.48</v>
      </c>
      <c r="I49" s="15">
        <f t="shared" ca="1" si="7"/>
        <v>0</v>
      </c>
      <c r="J49" s="73">
        <f t="shared" ca="1" si="8"/>
        <v>759.61</v>
      </c>
      <c r="K49" s="15">
        <f t="shared" ca="1" si="9"/>
        <v>0</v>
      </c>
      <c r="L49" s="16">
        <f t="shared" ca="1" si="10"/>
        <v>761.7</v>
      </c>
      <c r="M49" s="15">
        <f t="shared" ca="1" si="11"/>
        <v>0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>
        <f t="shared" ca="1" si="22"/>
        <v>30.1</v>
      </c>
      <c r="Y49" s="15">
        <f t="shared" ca="1" si="23"/>
        <v>0</v>
      </c>
      <c r="Z49" s="16">
        <f t="shared" ca="1" si="24"/>
        <v>24</v>
      </c>
      <c r="AA49" s="15">
        <f t="shared" ca="1" si="25"/>
        <v>0</v>
      </c>
      <c r="AB49" s="9">
        <f t="shared" ca="1" si="26"/>
        <v>90</v>
      </c>
      <c r="AC49" s="15">
        <f t="shared" ca="1" si="27"/>
        <v>0</v>
      </c>
      <c r="AD49" s="76">
        <f t="shared" ca="1" si="28"/>
        <v>2.1</v>
      </c>
      <c r="AE49" s="15">
        <f t="shared" ca="1" si="29"/>
        <v>0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>
        <f t="shared" ca="1" si="38"/>
        <v>90</v>
      </c>
      <c r="AO49" s="15">
        <f t="shared" ca="1" si="39"/>
        <v>0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19190218</v>
      </c>
      <c r="C50" s="72">
        <f t="shared" si="1"/>
        <v>700</v>
      </c>
      <c r="D50" s="16">
        <f t="shared" ca="1" si="2"/>
        <v>26.1</v>
      </c>
      <c r="E50" s="15">
        <f t="shared" ca="1" si="3"/>
        <v>0</v>
      </c>
      <c r="F50" s="73">
        <f t="shared" ca="1" si="4"/>
        <v>765.86</v>
      </c>
      <c r="G50" s="15">
        <f t="shared" ca="1" si="5"/>
        <v>0</v>
      </c>
      <c r="H50" s="73">
        <f t="shared" ca="1" si="6"/>
        <v>6.45</v>
      </c>
      <c r="I50" s="15">
        <f t="shared" ca="1" si="7"/>
        <v>0</v>
      </c>
      <c r="J50" s="73">
        <f t="shared" ca="1" si="8"/>
        <v>759.41</v>
      </c>
      <c r="K50" s="15">
        <f t="shared" ca="1" si="9"/>
        <v>0</v>
      </c>
      <c r="L50" s="16">
        <f t="shared" ca="1" si="10"/>
        <v>761.5</v>
      </c>
      <c r="M50" s="15">
        <f t="shared" ca="1" si="11"/>
        <v>0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>
        <f t="shared" ca="1" si="22"/>
        <v>28.9</v>
      </c>
      <c r="Y50" s="15">
        <f t="shared" ca="1" si="23"/>
        <v>0</v>
      </c>
      <c r="Z50" s="16">
        <f t="shared" ca="1" si="24"/>
        <v>24.6</v>
      </c>
      <c r="AA50" s="15">
        <f t="shared" ca="1" si="25"/>
        <v>0</v>
      </c>
      <c r="AB50" s="9">
        <f t="shared" ca="1" si="26"/>
        <v>90</v>
      </c>
      <c r="AC50" s="15">
        <f t="shared" ca="1" si="27"/>
        <v>0</v>
      </c>
      <c r="AD50" s="76">
        <f t="shared" ca="1" si="28"/>
        <v>4.5999999999999996</v>
      </c>
      <c r="AE50" s="15">
        <f t="shared" ca="1" si="29"/>
        <v>0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>
        <f t="shared" ca="1" si="38"/>
        <v>90</v>
      </c>
      <c r="AO50" s="15">
        <f t="shared" ca="1" si="39"/>
        <v>0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19190219</v>
      </c>
      <c r="C51" s="72">
        <f t="shared" si="1"/>
        <v>700</v>
      </c>
      <c r="D51" s="16">
        <f t="shared" ca="1" si="2"/>
        <v>26.4</v>
      </c>
      <c r="E51" s="15">
        <f t="shared" ca="1" si="3"/>
        <v>0</v>
      </c>
      <c r="F51" s="73">
        <f t="shared" ca="1" si="4"/>
        <v>766.11</v>
      </c>
      <c r="G51" s="15">
        <f t="shared" ca="1" si="5"/>
        <v>0</v>
      </c>
      <c r="H51" s="73">
        <f t="shared" ca="1" si="6"/>
        <v>6.48</v>
      </c>
      <c r="I51" s="15">
        <f t="shared" ca="1" si="7"/>
        <v>0</v>
      </c>
      <c r="J51" s="73">
        <f t="shared" ca="1" si="8"/>
        <v>757.1</v>
      </c>
      <c r="K51" s="15">
        <f t="shared" ca="1" si="9"/>
        <v>0</v>
      </c>
      <c r="L51" s="16">
        <f t="shared" ca="1" si="10"/>
        <v>761.7</v>
      </c>
      <c r="M51" s="15">
        <f t="shared" ca="1" si="11"/>
        <v>0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>
        <f t="shared" ca="1" si="22"/>
        <v>29.4</v>
      </c>
      <c r="Y51" s="15">
        <f t="shared" ca="1" si="23"/>
        <v>0</v>
      </c>
      <c r="Z51" s="16">
        <f t="shared" ca="1" si="24"/>
        <v>24.8</v>
      </c>
      <c r="AA51" s="15">
        <f t="shared" ca="1" si="25"/>
        <v>0</v>
      </c>
      <c r="AB51" s="9">
        <f t="shared" ca="1" si="26"/>
        <v>135</v>
      </c>
      <c r="AC51" s="15">
        <f t="shared" ca="1" si="27"/>
        <v>0</v>
      </c>
      <c r="AD51" s="76">
        <f t="shared" ca="1" si="28"/>
        <v>5.0999999999999996</v>
      </c>
      <c r="AE51" s="15">
        <f t="shared" ca="1" si="29"/>
        <v>0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>
        <f t="shared" ca="1" si="38"/>
        <v>90</v>
      </c>
      <c r="AO51" s="15">
        <f t="shared" ca="1" si="39"/>
        <v>0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19190220</v>
      </c>
      <c r="C52" s="72">
        <f t="shared" si="1"/>
        <v>700</v>
      </c>
      <c r="D52" s="16">
        <f t="shared" ca="1" si="2"/>
        <v>26.7</v>
      </c>
      <c r="E52" s="15">
        <f t="shared" ca="1" si="3"/>
        <v>0</v>
      </c>
      <c r="F52" s="73">
        <f t="shared" ca="1" si="4"/>
        <v>766.09</v>
      </c>
      <c r="G52" s="15">
        <f t="shared" ca="1" si="5"/>
        <v>0</v>
      </c>
      <c r="H52" s="73">
        <f t="shared" ca="1" si="6"/>
        <v>6.5</v>
      </c>
      <c r="I52" s="15">
        <f t="shared" ca="1" si="7"/>
        <v>0</v>
      </c>
      <c r="J52" s="73">
        <f t="shared" ca="1" si="8"/>
        <v>759.59</v>
      </c>
      <c r="K52" s="15">
        <f t="shared" ca="1" si="9"/>
        <v>0</v>
      </c>
      <c r="L52" s="16">
        <f t="shared" ca="1" si="10"/>
        <v>761.5</v>
      </c>
      <c r="M52" s="15">
        <f t="shared" ca="1" si="11"/>
        <v>0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>
        <f t="shared" ca="1" si="22"/>
        <v>29.4</v>
      </c>
      <c r="Y52" s="15">
        <f t="shared" ca="1" si="23"/>
        <v>0</v>
      </c>
      <c r="Z52" s="16">
        <f t="shared" ca="1" si="24"/>
        <v>24.6</v>
      </c>
      <c r="AA52" s="15">
        <f t="shared" ca="1" si="25"/>
        <v>0</v>
      </c>
      <c r="AB52" s="9">
        <f t="shared" ca="1" si="26"/>
        <v>90</v>
      </c>
      <c r="AC52" s="15">
        <f t="shared" ca="1" si="27"/>
        <v>0</v>
      </c>
      <c r="AD52" s="76">
        <f t="shared" ca="1" si="28"/>
        <v>4.0999999999999996</v>
      </c>
      <c r="AE52" s="15">
        <f t="shared" ca="1" si="29"/>
        <v>0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>
        <f t="shared" ca="1" si="38"/>
        <v>90</v>
      </c>
      <c r="AO52" s="15">
        <f t="shared" ca="1" si="39"/>
        <v>0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19190221</v>
      </c>
      <c r="C53" s="72">
        <f t="shared" si="1"/>
        <v>700</v>
      </c>
      <c r="D53" s="16">
        <f t="shared" ca="1" si="2"/>
        <v>26.1</v>
      </c>
      <c r="E53" s="15">
        <f t="shared" ca="1" si="3"/>
        <v>0</v>
      </c>
      <c r="F53" s="73">
        <f t="shared" ca="1" si="4"/>
        <v>765.61</v>
      </c>
      <c r="G53" s="15">
        <f t="shared" ca="1" si="5"/>
        <v>0</v>
      </c>
      <c r="H53" s="73">
        <f t="shared" ca="1" si="6"/>
        <v>6.45</v>
      </c>
      <c r="I53" s="15">
        <f t="shared" ca="1" si="7"/>
        <v>0</v>
      </c>
      <c r="J53" s="73">
        <f t="shared" ca="1" si="8"/>
        <v>759.16</v>
      </c>
      <c r="K53" s="15">
        <f t="shared" ca="1" si="9"/>
        <v>0</v>
      </c>
      <c r="L53" s="16">
        <f t="shared" ca="1" si="10"/>
        <v>761.2</v>
      </c>
      <c r="M53" s="15">
        <f t="shared" ca="1" si="11"/>
        <v>0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>
        <f t="shared" ca="1" si="22"/>
        <v>29.3</v>
      </c>
      <c r="Y53" s="15">
        <f t="shared" ca="1" si="23"/>
        <v>0</v>
      </c>
      <c r="Z53" s="16">
        <f t="shared" ca="1" si="24"/>
        <v>23.2</v>
      </c>
      <c r="AA53" s="15">
        <f t="shared" ca="1" si="25"/>
        <v>0</v>
      </c>
      <c r="AB53" s="9">
        <f t="shared" ca="1" si="26"/>
        <v>90</v>
      </c>
      <c r="AC53" s="15">
        <f t="shared" ca="1" si="27"/>
        <v>0</v>
      </c>
      <c r="AD53" s="76">
        <f t="shared" ca="1" si="28"/>
        <v>4.0999999999999996</v>
      </c>
      <c r="AE53" s="15">
        <f t="shared" ca="1" si="29"/>
        <v>0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>
        <f t="shared" ca="1" si="38"/>
        <v>90</v>
      </c>
      <c r="AO53" s="15">
        <f t="shared" ca="1" si="39"/>
        <v>0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19190222</v>
      </c>
      <c r="C54" s="72">
        <f t="shared" si="1"/>
        <v>700</v>
      </c>
      <c r="D54" s="16">
        <f t="shared" ca="1" si="2"/>
        <v>26.1</v>
      </c>
      <c r="E54" s="15">
        <f t="shared" ca="1" si="3"/>
        <v>0</v>
      </c>
      <c r="F54" s="73">
        <f t="shared" ca="1" si="4"/>
        <v>765.76</v>
      </c>
      <c r="G54" s="15">
        <f t="shared" ca="1" si="5"/>
        <v>0</v>
      </c>
      <c r="H54" s="73">
        <f t="shared" ca="1" si="6"/>
        <v>6.45</v>
      </c>
      <c r="I54" s="15">
        <f t="shared" ca="1" si="7"/>
        <v>0</v>
      </c>
      <c r="J54" s="73">
        <f t="shared" ca="1" si="8"/>
        <v>759.31</v>
      </c>
      <c r="K54" s="15">
        <f t="shared" ca="1" si="9"/>
        <v>0</v>
      </c>
      <c r="L54" s="16">
        <f t="shared" ca="1" si="10"/>
        <v>761.2</v>
      </c>
      <c r="M54" s="15">
        <f t="shared" ca="1" si="11"/>
        <v>0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>
        <f t="shared" ca="1" si="22"/>
        <v>29.1</v>
      </c>
      <c r="Y54" s="15">
        <f t="shared" ca="1" si="23"/>
        <v>0</v>
      </c>
      <c r="Z54" s="16">
        <f t="shared" ca="1" si="24"/>
        <v>24.4</v>
      </c>
      <c r="AA54" s="15">
        <f t="shared" ca="1" si="25"/>
        <v>0</v>
      </c>
      <c r="AB54" s="9">
        <f t="shared" ca="1" si="26"/>
        <v>90</v>
      </c>
      <c r="AC54" s="15">
        <f t="shared" ca="1" si="27"/>
        <v>0</v>
      </c>
      <c r="AD54" s="76">
        <f t="shared" ca="1" si="28"/>
        <v>4.0999999999999996</v>
      </c>
      <c r="AE54" s="15">
        <f t="shared" ca="1" si="29"/>
        <v>0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>
        <f t="shared" ca="1" si="38"/>
        <v>90</v>
      </c>
      <c r="AO54" s="15">
        <f t="shared" ca="1" si="39"/>
        <v>0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19190223</v>
      </c>
      <c r="C55" s="72">
        <f t="shared" si="1"/>
        <v>700</v>
      </c>
      <c r="D55" s="16">
        <f t="shared" ca="1" si="2"/>
        <v>26.4</v>
      </c>
      <c r="E55" s="15">
        <f t="shared" ca="1" si="3"/>
        <v>0</v>
      </c>
      <c r="F55" s="73">
        <f t="shared" ca="1" si="4"/>
        <v>766.01</v>
      </c>
      <c r="G55" s="15">
        <f t="shared" ca="1" si="5"/>
        <v>0</v>
      </c>
      <c r="H55" s="73">
        <f t="shared" ca="1" si="6"/>
        <v>6.48</v>
      </c>
      <c r="I55" s="15">
        <f t="shared" ca="1" si="7"/>
        <v>0</v>
      </c>
      <c r="J55" s="73">
        <f t="shared" ca="1" si="8"/>
        <v>759.54</v>
      </c>
      <c r="K55" s="15">
        <f t="shared" ca="1" si="9"/>
        <v>0</v>
      </c>
      <c r="L55" s="16">
        <f t="shared" ca="1" si="10"/>
        <v>761.5</v>
      </c>
      <c r="M55" s="15">
        <f t="shared" ca="1" si="11"/>
        <v>0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>
        <f t="shared" ca="1" si="22"/>
        <v>29.3</v>
      </c>
      <c r="Y55" s="15">
        <f t="shared" ca="1" si="23"/>
        <v>0</v>
      </c>
      <c r="Z55" s="16">
        <f t="shared" ca="1" si="24"/>
        <v>24.6</v>
      </c>
      <c r="AA55" s="15">
        <f t="shared" ca="1" si="25"/>
        <v>0</v>
      </c>
      <c r="AB55" s="9">
        <f t="shared" ca="1" si="26"/>
        <v>90</v>
      </c>
      <c r="AC55" s="15">
        <f t="shared" ca="1" si="27"/>
        <v>0</v>
      </c>
      <c r="AD55" s="76">
        <f t="shared" ca="1" si="28"/>
        <v>6.2</v>
      </c>
      <c r="AE55" s="15">
        <f t="shared" ca="1" si="29"/>
        <v>0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>
        <f t="shared" ca="1" si="38"/>
        <v>90</v>
      </c>
      <c r="AO55" s="15">
        <f t="shared" ca="1" si="39"/>
        <v>0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19190224</v>
      </c>
      <c r="C56" s="72">
        <f t="shared" si="1"/>
        <v>700</v>
      </c>
      <c r="D56" s="16">
        <f t="shared" ca="1" si="2"/>
        <v>26.7</v>
      </c>
      <c r="E56" s="15">
        <f t="shared" ca="1" si="3"/>
        <v>0</v>
      </c>
      <c r="F56" s="73">
        <f t="shared" ca="1" si="4"/>
        <v>765.56</v>
      </c>
      <c r="G56" s="15">
        <f t="shared" ca="1" si="5"/>
        <v>0</v>
      </c>
      <c r="H56" s="73">
        <f t="shared" ca="1" si="6"/>
        <v>6.5</v>
      </c>
      <c r="I56" s="15">
        <f t="shared" ca="1" si="7"/>
        <v>0</v>
      </c>
      <c r="J56" s="73">
        <f t="shared" ca="1" si="8"/>
        <v>759.05</v>
      </c>
      <c r="K56" s="15">
        <f t="shared" ca="1" si="9"/>
        <v>0</v>
      </c>
      <c r="L56" s="16">
        <f t="shared" ca="1" si="10"/>
        <v>761</v>
      </c>
      <c r="M56" s="15">
        <f t="shared" ca="1" si="11"/>
        <v>0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>
        <f t="shared" ca="1" si="22"/>
        <v>29.9</v>
      </c>
      <c r="Y56" s="15">
        <f t="shared" ca="1" si="23"/>
        <v>0</v>
      </c>
      <c r="Z56" s="16">
        <f t="shared" ca="1" si="24"/>
        <v>24.6</v>
      </c>
      <c r="AA56" s="15">
        <f t="shared" ca="1" si="25"/>
        <v>0</v>
      </c>
      <c r="AB56" s="9">
        <f t="shared" ca="1" si="26"/>
        <v>135</v>
      </c>
      <c r="AC56" s="15">
        <f t="shared" ca="1" si="27"/>
        <v>0</v>
      </c>
      <c r="AD56" s="76">
        <f t="shared" ca="1" si="28"/>
        <v>4.0999999999999996</v>
      </c>
      <c r="AE56" s="15">
        <f t="shared" ca="1" si="29"/>
        <v>0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>
        <f t="shared" ca="1" si="38"/>
        <v>135</v>
      </c>
      <c r="AO56" s="15">
        <f t="shared" ca="1" si="39"/>
        <v>0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19190225</v>
      </c>
      <c r="C57" s="72">
        <f t="shared" si="1"/>
        <v>700</v>
      </c>
      <c r="D57" s="16">
        <f t="shared" ca="1" si="2"/>
        <v>26.4</v>
      </c>
      <c r="E57" s="15">
        <f t="shared" ca="1" si="3"/>
        <v>0</v>
      </c>
      <c r="F57" s="73">
        <f t="shared" ca="1" si="4"/>
        <v>764.84</v>
      </c>
      <c r="G57" s="15">
        <f t="shared" ca="1" si="5"/>
        <v>0</v>
      </c>
      <c r="H57" s="73">
        <f t="shared" ca="1" si="6"/>
        <v>6.48</v>
      </c>
      <c r="I57" s="15">
        <f t="shared" ca="1" si="7"/>
        <v>0</v>
      </c>
      <c r="J57" s="73">
        <f t="shared" ca="1" si="8"/>
        <v>758.37</v>
      </c>
      <c r="K57" s="15">
        <f t="shared" ca="1" si="9"/>
        <v>0</v>
      </c>
      <c r="L57" s="16">
        <f t="shared" ca="1" si="10"/>
        <v>760.5</v>
      </c>
      <c r="M57" s="15">
        <f t="shared" ca="1" si="11"/>
        <v>0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>
        <f t="shared" ca="1" si="22"/>
        <v>29.2</v>
      </c>
      <c r="Y57" s="15">
        <f t="shared" ca="1" si="23"/>
        <v>0</v>
      </c>
      <c r="Z57" s="16">
        <f t="shared" ca="1" si="24"/>
        <v>24.1</v>
      </c>
      <c r="AA57" s="15">
        <f t="shared" ca="1" si="25"/>
        <v>0</v>
      </c>
      <c r="AB57" s="9">
        <f t="shared" ca="1" si="26"/>
        <v>90</v>
      </c>
      <c r="AC57" s="15">
        <f t="shared" ca="1" si="27"/>
        <v>0</v>
      </c>
      <c r="AD57" s="76">
        <f t="shared" ca="1" si="28"/>
        <v>6.2</v>
      </c>
      <c r="AE57" s="15">
        <f t="shared" ca="1" si="29"/>
        <v>0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>
        <f t="shared" ca="1" si="38"/>
        <v>90</v>
      </c>
      <c r="AO57" s="15">
        <f t="shared" ca="1" si="39"/>
        <v>0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19190226</v>
      </c>
      <c r="C58" s="72">
        <f t="shared" si="1"/>
        <v>700</v>
      </c>
      <c r="D58" s="16">
        <f t="shared" ca="1" si="2"/>
        <v>26.9</v>
      </c>
      <c r="E58" s="15">
        <f t="shared" ca="1" si="3"/>
        <v>0</v>
      </c>
      <c r="F58" s="73">
        <f t="shared" ca="1" si="4"/>
        <v>764.29</v>
      </c>
      <c r="G58" s="15">
        <f t="shared" ca="1" si="5"/>
        <v>0</v>
      </c>
      <c r="H58" s="73">
        <f t="shared" ca="1" si="6"/>
        <v>6.55</v>
      </c>
      <c r="I58" s="15">
        <f t="shared" ca="1" si="7"/>
        <v>0</v>
      </c>
      <c r="J58" s="73">
        <f t="shared" ca="1" si="8"/>
        <v>757.73</v>
      </c>
      <c r="K58" s="15">
        <f t="shared" ca="1" si="9"/>
        <v>0</v>
      </c>
      <c r="L58" s="16">
        <f t="shared" ca="1" si="10"/>
        <v>759.7</v>
      </c>
      <c r="M58" s="15">
        <f t="shared" ca="1" si="11"/>
        <v>0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>
        <f t="shared" ca="1" si="22"/>
        <v>29.4</v>
      </c>
      <c r="Y58" s="15">
        <f t="shared" ca="1" si="23"/>
        <v>0</v>
      </c>
      <c r="Z58" s="16">
        <f t="shared" ca="1" si="24"/>
        <v>25</v>
      </c>
      <c r="AA58" s="15">
        <f t="shared" ca="1" si="25"/>
        <v>0</v>
      </c>
      <c r="AB58" s="9">
        <f t="shared" ca="1" si="26"/>
        <v>45</v>
      </c>
      <c r="AC58" s="15">
        <f t="shared" ca="1" si="27"/>
        <v>0</v>
      </c>
      <c r="AD58" s="76">
        <f t="shared" ca="1" si="28"/>
        <v>4.0999999999999996</v>
      </c>
      <c r="AE58" s="15">
        <f t="shared" ca="1" si="29"/>
        <v>0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>
        <f t="shared" ca="1" si="38"/>
        <v>90</v>
      </c>
      <c r="AO58" s="15">
        <f t="shared" ca="1" si="39"/>
        <v>0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19190227</v>
      </c>
      <c r="C59" s="72">
        <f t="shared" si="1"/>
        <v>700</v>
      </c>
      <c r="D59" s="16">
        <f t="shared" ca="1" si="2"/>
        <v>26.7</v>
      </c>
      <c r="E59" s="15">
        <f t="shared" ca="1" si="3"/>
        <v>0</v>
      </c>
      <c r="F59" s="73">
        <f t="shared" ca="1" si="4"/>
        <v>764.54</v>
      </c>
      <c r="G59" s="15">
        <f t="shared" ca="1" si="5"/>
        <v>0</v>
      </c>
      <c r="H59" s="73">
        <f t="shared" ca="1" si="6"/>
        <v>6.5</v>
      </c>
      <c r="I59" s="15">
        <f t="shared" ca="1" si="7"/>
        <v>0</v>
      </c>
      <c r="J59" s="73">
        <f t="shared" ca="1" si="8"/>
        <v>758.04</v>
      </c>
      <c r="K59" s="15">
        <f t="shared" ca="1" si="9"/>
        <v>0</v>
      </c>
      <c r="L59" s="16">
        <f t="shared" ca="1" si="10"/>
        <v>760</v>
      </c>
      <c r="M59" s="15">
        <f t="shared" ca="1" si="11"/>
        <v>0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>
        <f t="shared" ca="1" si="22"/>
        <v>30.1</v>
      </c>
      <c r="Y59" s="15">
        <f t="shared" ca="1" si="23"/>
        <v>0</v>
      </c>
      <c r="Z59" s="16">
        <f t="shared" ca="1" si="24"/>
        <v>25</v>
      </c>
      <c r="AA59" s="15">
        <f t="shared" ca="1" si="25"/>
        <v>0</v>
      </c>
      <c r="AB59" s="9">
        <f t="shared" ca="1" si="26"/>
        <v>135</v>
      </c>
      <c r="AC59" s="15">
        <f t="shared" ca="1" si="27"/>
        <v>0</v>
      </c>
      <c r="AD59" s="76">
        <f t="shared" ca="1" si="28"/>
        <v>4.5999999999999996</v>
      </c>
      <c r="AE59" s="15">
        <f t="shared" ca="1" si="29"/>
        <v>0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>
        <f t="shared" ca="1" si="38"/>
        <v>90</v>
      </c>
      <c r="AO59" s="15">
        <f t="shared" ca="1" si="39"/>
        <v>0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19190228</v>
      </c>
      <c r="C60" s="72">
        <f t="shared" si="1"/>
        <v>700</v>
      </c>
      <c r="D60" s="16">
        <f t="shared" ca="1" si="2"/>
        <v>26.7</v>
      </c>
      <c r="E60" s="15">
        <f t="shared" ca="1" si="3"/>
        <v>0</v>
      </c>
      <c r="F60" s="73">
        <f t="shared" ca="1" si="4"/>
        <v>765.61</v>
      </c>
      <c r="G60" s="15">
        <f t="shared" ca="1" si="5"/>
        <v>0</v>
      </c>
      <c r="H60" s="73">
        <f t="shared" ca="1" si="6"/>
        <v>6.5</v>
      </c>
      <c r="I60" s="15">
        <f t="shared" ca="1" si="7"/>
        <v>0</v>
      </c>
      <c r="J60" s="73">
        <f t="shared" ca="1" si="8"/>
        <v>759.1</v>
      </c>
      <c r="K60" s="15">
        <f t="shared" ca="1" si="9"/>
        <v>0</v>
      </c>
      <c r="L60" s="16">
        <f t="shared" ca="1" si="10"/>
        <v>761.2</v>
      </c>
      <c r="M60" s="15">
        <f t="shared" ca="1" si="11"/>
        <v>0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>
        <f t="shared" ca="1" si="22"/>
        <v>29.3</v>
      </c>
      <c r="Y60" s="15">
        <f t="shared" ca="1" si="23"/>
        <v>0</v>
      </c>
      <c r="Z60" s="16">
        <f t="shared" ca="1" si="24"/>
        <v>24.9</v>
      </c>
      <c r="AA60" s="15">
        <f t="shared" ca="1" si="25"/>
        <v>0</v>
      </c>
      <c r="AB60" s="9">
        <f t="shared" ca="1" si="26"/>
        <v>90</v>
      </c>
      <c r="AC60" s="15">
        <f t="shared" ca="1" si="27"/>
        <v>0</v>
      </c>
      <c r="AD60" s="76">
        <f t="shared" ca="1" si="28"/>
        <v>5.0999999999999996</v>
      </c>
      <c r="AE60" s="15">
        <f t="shared" ca="1" si="29"/>
        <v>0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>
        <f t="shared" ca="1" si="38"/>
        <v>90</v>
      </c>
      <c r="AO60" s="15">
        <f t="shared" ca="1" si="39"/>
        <v>0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19190301</v>
      </c>
      <c r="C61" s="72">
        <f t="shared" si="1"/>
        <v>700</v>
      </c>
      <c r="D61" s="16">
        <f t="shared" ca="1" si="2"/>
        <v>26.7</v>
      </c>
      <c r="E61" s="15">
        <f t="shared" ca="1" si="3"/>
        <v>0</v>
      </c>
      <c r="F61" s="73">
        <f t="shared" ca="1" si="4"/>
        <v>765.56</v>
      </c>
      <c r="G61" s="15">
        <f t="shared" ca="1" si="5"/>
        <v>0</v>
      </c>
      <c r="H61" s="73">
        <f t="shared" ca="1" si="6"/>
        <v>6.5</v>
      </c>
      <c r="I61" s="15">
        <f t="shared" ca="1" si="7"/>
        <v>0</v>
      </c>
      <c r="J61" s="73">
        <f t="shared" ca="1" si="8"/>
        <v>759.05</v>
      </c>
      <c r="K61" s="15">
        <f t="shared" ca="1" si="9"/>
        <v>0</v>
      </c>
      <c r="L61" s="16">
        <f t="shared" ca="1" si="10"/>
        <v>761</v>
      </c>
      <c r="M61" s="15">
        <f t="shared" ca="1" si="11"/>
        <v>0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>
        <f t="shared" ca="1" si="22"/>
        <v>30</v>
      </c>
      <c r="Y61" s="15">
        <f t="shared" ca="1" si="23"/>
        <v>0</v>
      </c>
      <c r="Z61" s="16">
        <f t="shared" ca="1" si="24"/>
        <v>24.8</v>
      </c>
      <c r="AA61" s="15">
        <f t="shared" ca="1" si="25"/>
        <v>0</v>
      </c>
      <c r="AB61" s="9">
        <f t="shared" ca="1" si="26"/>
        <v>90</v>
      </c>
      <c r="AC61" s="15">
        <f t="shared" ca="1" si="27"/>
        <v>0</v>
      </c>
      <c r="AD61" s="76">
        <f t="shared" ca="1" si="28"/>
        <v>5.0999999999999996</v>
      </c>
      <c r="AE61" s="15">
        <f t="shared" ca="1" si="29"/>
        <v>0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>
        <f t="shared" ca="1" si="38"/>
        <v>90</v>
      </c>
      <c r="AO61" s="15">
        <f t="shared" ca="1" si="39"/>
        <v>0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19190302</v>
      </c>
      <c r="C62" s="72">
        <f t="shared" si="1"/>
        <v>700</v>
      </c>
      <c r="D62" s="16">
        <f t="shared" ca="1" si="2"/>
        <v>26.7</v>
      </c>
      <c r="E62" s="15">
        <f t="shared" ca="1" si="3"/>
        <v>0</v>
      </c>
      <c r="F62" s="73">
        <f t="shared" ca="1" si="4"/>
        <v>765.33</v>
      </c>
      <c r="G62" s="15">
        <f t="shared" ca="1" si="5"/>
        <v>0</v>
      </c>
      <c r="H62" s="73">
        <f t="shared" ca="1" si="6"/>
        <v>6.5</v>
      </c>
      <c r="I62" s="15">
        <f t="shared" ca="1" si="7"/>
        <v>0</v>
      </c>
      <c r="J62" s="73">
        <f t="shared" ca="1" si="8"/>
        <v>758.83</v>
      </c>
      <c r="K62" s="15">
        <f t="shared" ca="1" si="9"/>
        <v>0</v>
      </c>
      <c r="L62" s="16">
        <f t="shared" ca="1" si="10"/>
        <v>761</v>
      </c>
      <c r="M62" s="15">
        <f t="shared" ca="1" si="11"/>
        <v>0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>
        <f t="shared" ca="1" si="22"/>
        <v>29.3</v>
      </c>
      <c r="Y62" s="15">
        <f t="shared" ca="1" si="23"/>
        <v>0</v>
      </c>
      <c r="Z62" s="16">
        <f t="shared" ca="1" si="24"/>
        <v>24.4</v>
      </c>
      <c r="AA62" s="15">
        <f t="shared" ca="1" si="25"/>
        <v>0</v>
      </c>
      <c r="AB62" s="9">
        <f t="shared" ca="1" si="26"/>
        <v>90</v>
      </c>
      <c r="AC62" s="15">
        <f t="shared" ca="1" si="27"/>
        <v>0</v>
      </c>
      <c r="AD62" s="76">
        <f t="shared" ca="1" si="28"/>
        <v>3.6</v>
      </c>
      <c r="AE62" s="15">
        <f t="shared" ca="1" si="29"/>
        <v>0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>
        <f t="shared" ca="1" si="38"/>
        <v>90</v>
      </c>
      <c r="AO62" s="15">
        <f t="shared" ca="1" si="39"/>
        <v>0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19190303</v>
      </c>
      <c r="C63" s="72">
        <f t="shared" si="1"/>
        <v>700</v>
      </c>
      <c r="D63" s="16">
        <f t="shared" ca="1" si="2"/>
        <v>26.1</v>
      </c>
      <c r="E63" s="15">
        <f t="shared" ca="1" si="3"/>
        <v>0</v>
      </c>
      <c r="F63" s="73">
        <f t="shared" ca="1" si="4"/>
        <v>765.33</v>
      </c>
      <c r="G63" s="15">
        <f t="shared" ca="1" si="5"/>
        <v>0</v>
      </c>
      <c r="H63" s="73">
        <f t="shared" ca="1" si="6"/>
        <v>6.45</v>
      </c>
      <c r="I63" s="15">
        <f t="shared" ca="1" si="7"/>
        <v>0</v>
      </c>
      <c r="J63" s="73">
        <f t="shared" ca="1" si="8"/>
        <v>758.88</v>
      </c>
      <c r="K63" s="15">
        <f t="shared" ca="1" si="9"/>
        <v>0</v>
      </c>
      <c r="L63" s="16">
        <f t="shared" ca="1" si="10"/>
        <v>761</v>
      </c>
      <c r="M63" s="15">
        <f t="shared" ca="1" si="11"/>
        <v>0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>
        <f t="shared" ca="1" si="22"/>
        <v>28.7</v>
      </c>
      <c r="Y63" s="15">
        <f t="shared" ca="1" si="23"/>
        <v>0</v>
      </c>
      <c r="Z63" s="16">
        <f t="shared" ca="1" si="24"/>
        <v>24.4</v>
      </c>
      <c r="AA63" s="15">
        <f t="shared" ca="1" si="25"/>
        <v>0</v>
      </c>
      <c r="AB63" s="9">
        <f t="shared" ca="1" si="26"/>
        <v>90</v>
      </c>
      <c r="AC63" s="15">
        <f t="shared" ca="1" si="27"/>
        <v>0</v>
      </c>
      <c r="AD63" s="76">
        <f t="shared" ca="1" si="28"/>
        <v>3.1</v>
      </c>
      <c r="AE63" s="15">
        <f t="shared" ca="1" si="29"/>
        <v>0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>
        <f t="shared" ca="1" si="38"/>
        <v>90</v>
      </c>
      <c r="AO63" s="15">
        <f t="shared" ca="1" si="39"/>
        <v>0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19190304</v>
      </c>
      <c r="C64" s="72">
        <f t="shared" si="1"/>
        <v>700</v>
      </c>
      <c r="D64" s="16">
        <f t="shared" ca="1" si="2"/>
        <v>26.1</v>
      </c>
      <c r="E64" s="15">
        <f t="shared" ca="1" si="3"/>
        <v>0</v>
      </c>
      <c r="F64" s="73">
        <f t="shared" ca="1" si="4"/>
        <v>765</v>
      </c>
      <c r="G64" s="15">
        <f t="shared" ca="1" si="5"/>
        <v>0</v>
      </c>
      <c r="H64" s="73">
        <f t="shared" ca="1" si="6"/>
        <v>6.45</v>
      </c>
      <c r="I64" s="15">
        <f t="shared" ca="1" si="7"/>
        <v>0</v>
      </c>
      <c r="J64" s="73">
        <f t="shared" ca="1" si="8"/>
        <v>758.55</v>
      </c>
      <c r="K64" s="15">
        <f t="shared" ca="1" si="9"/>
        <v>0</v>
      </c>
      <c r="L64" s="16">
        <f t="shared" ca="1" si="10"/>
        <v>760.5</v>
      </c>
      <c r="M64" s="15">
        <f t="shared" ca="1" si="11"/>
        <v>0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>
        <f t="shared" ca="1" si="22"/>
        <v>29.1</v>
      </c>
      <c r="Y64" s="15">
        <f t="shared" ca="1" si="23"/>
        <v>0</v>
      </c>
      <c r="Z64" s="16">
        <f t="shared" ca="1" si="24"/>
        <v>24.3</v>
      </c>
      <c r="AA64" s="15">
        <f t="shared" ca="1" si="25"/>
        <v>0</v>
      </c>
      <c r="AB64" s="9">
        <f t="shared" ca="1" si="26"/>
        <v>90</v>
      </c>
      <c r="AC64" s="15">
        <f t="shared" ca="1" si="27"/>
        <v>0</v>
      </c>
      <c r="AD64" s="76">
        <f t="shared" ca="1" si="28"/>
        <v>4.5999999999999996</v>
      </c>
      <c r="AE64" s="15">
        <f t="shared" ca="1" si="29"/>
        <v>0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>
        <f t="shared" ca="1" si="38"/>
        <v>90</v>
      </c>
      <c r="AO64" s="15">
        <f t="shared" ca="1" si="39"/>
        <v>0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19190305</v>
      </c>
      <c r="C65" s="72">
        <f t="shared" si="1"/>
        <v>700</v>
      </c>
      <c r="D65" s="16">
        <f t="shared" ca="1" si="2"/>
        <v>25.8</v>
      </c>
      <c r="E65" s="15">
        <f t="shared" ca="1" si="3"/>
        <v>0</v>
      </c>
      <c r="F65" s="73">
        <f t="shared" ca="1" si="4"/>
        <v>765.05</v>
      </c>
      <c r="G65" s="15">
        <f t="shared" ca="1" si="5"/>
        <v>0</v>
      </c>
      <c r="H65" s="73">
        <f t="shared" ca="1" si="6"/>
        <v>6.4</v>
      </c>
      <c r="I65" s="15">
        <f t="shared" ca="1" si="7"/>
        <v>0</v>
      </c>
      <c r="J65" s="73">
        <f t="shared" ca="1" si="8"/>
        <v>758.65</v>
      </c>
      <c r="K65" s="15">
        <f t="shared" ca="1" si="9"/>
        <v>0</v>
      </c>
      <c r="L65" s="16">
        <f t="shared" ca="1" si="10"/>
        <v>760.7</v>
      </c>
      <c r="M65" s="15">
        <f t="shared" ca="1" si="11"/>
        <v>0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>
        <f t="shared" ca="1" si="22"/>
        <v>28.9</v>
      </c>
      <c r="Y65" s="15">
        <f t="shared" ca="1" si="23"/>
        <v>0</v>
      </c>
      <c r="Z65" s="16">
        <f t="shared" ca="1" si="24"/>
        <v>24.1</v>
      </c>
      <c r="AA65" s="15">
        <f t="shared" ca="1" si="25"/>
        <v>0</v>
      </c>
      <c r="AB65" s="9">
        <f t="shared" ca="1" si="26"/>
        <v>90</v>
      </c>
      <c r="AC65" s="15">
        <f t="shared" ca="1" si="27"/>
        <v>0</v>
      </c>
      <c r="AD65" s="76">
        <f t="shared" ca="1" si="28"/>
        <v>4.0999999999999996</v>
      </c>
      <c r="AE65" s="15">
        <f t="shared" ca="1" si="29"/>
        <v>0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>
        <f t="shared" ca="1" si="38"/>
        <v>90</v>
      </c>
      <c r="AO65" s="15">
        <f t="shared" ca="1" si="39"/>
        <v>0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19190306</v>
      </c>
      <c r="C66" s="72">
        <f t="shared" ref="C66:C129" si="41">Tijd</f>
        <v>700</v>
      </c>
      <c r="D66" s="16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26.1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66" s="73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765.84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66" s="73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6.45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66" s="73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759.38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66" s="16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761.5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29.4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66" s="16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24.5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66" s="9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45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66" s="76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5.0999999999999996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19190307</v>
      </c>
      <c r="C67" s="72">
        <f t="shared" si="41"/>
        <v>700</v>
      </c>
      <c r="D67" s="16">
        <f t="shared" ca="1" si="42"/>
        <v>26.1</v>
      </c>
      <c r="E67" s="15">
        <f t="shared" ca="1" si="43"/>
        <v>0</v>
      </c>
      <c r="F67" s="73">
        <f t="shared" ca="1" si="44"/>
        <v>765.63</v>
      </c>
      <c r="G67" s="15">
        <f t="shared" ca="1" si="45"/>
        <v>0</v>
      </c>
      <c r="H67" s="73">
        <f t="shared" ca="1" si="46"/>
        <v>6.45</v>
      </c>
      <c r="I67" s="15">
        <f t="shared" ca="1" si="47"/>
        <v>0</v>
      </c>
      <c r="J67" s="73">
        <f t="shared" ca="1" si="48"/>
        <v>759.18</v>
      </c>
      <c r="K67" s="15">
        <f t="shared" ca="1" si="49"/>
        <v>0</v>
      </c>
      <c r="L67" s="16">
        <f t="shared" ca="1" si="50"/>
        <v>761.2</v>
      </c>
      <c r="M67" s="15">
        <f t="shared" ca="1" si="51"/>
        <v>0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>
        <f t="shared" ca="1" si="62"/>
        <v>29.1</v>
      </c>
      <c r="Y67" s="15">
        <f t="shared" ca="1" si="63"/>
        <v>0</v>
      </c>
      <c r="Z67" s="16">
        <f t="shared" ca="1" si="64"/>
        <v>24.8</v>
      </c>
      <c r="AA67" s="15">
        <f t="shared" ca="1" si="65"/>
        <v>0</v>
      </c>
      <c r="AB67" s="9">
        <f t="shared" ca="1" si="66"/>
        <v>45</v>
      </c>
      <c r="AC67" s="15">
        <f t="shared" ca="1" si="67"/>
        <v>0</v>
      </c>
      <c r="AD67" s="76">
        <f t="shared" ca="1" si="68"/>
        <v>5.0999999999999996</v>
      </c>
      <c r="AE67" s="15">
        <f t="shared" ca="1" si="69"/>
        <v>0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>
        <f t="shared" ca="1" si="78"/>
        <v>90</v>
      </c>
      <c r="AO67" s="15">
        <f t="shared" ca="1" si="79"/>
        <v>0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19190308</v>
      </c>
      <c r="C68" s="72">
        <f t="shared" si="41"/>
        <v>700</v>
      </c>
      <c r="D68" s="16">
        <f t="shared" ca="1" si="42"/>
        <v>26.1</v>
      </c>
      <c r="E68" s="15">
        <f t="shared" ca="1" si="43"/>
        <v>0</v>
      </c>
      <c r="F68" s="73">
        <f t="shared" ca="1" si="44"/>
        <v>765.38</v>
      </c>
      <c r="G68" s="15">
        <f t="shared" ca="1" si="45"/>
        <v>0</v>
      </c>
      <c r="H68" s="73">
        <f t="shared" ca="1" si="46"/>
        <v>6.45</v>
      </c>
      <c r="I68" s="15">
        <f t="shared" ca="1" si="47"/>
        <v>0</v>
      </c>
      <c r="J68" s="73">
        <f t="shared" ca="1" si="48"/>
        <v>758.93</v>
      </c>
      <c r="K68" s="15">
        <f t="shared" ca="1" si="49"/>
        <v>0</v>
      </c>
      <c r="L68" s="16">
        <f t="shared" ca="1" si="50"/>
        <v>761</v>
      </c>
      <c r="M68" s="15">
        <f t="shared" ca="1" si="51"/>
        <v>0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>
        <f t="shared" ca="1" si="62"/>
        <v>28.3</v>
      </c>
      <c r="Y68" s="15">
        <f t="shared" ca="1" si="63"/>
        <v>0</v>
      </c>
      <c r="Z68" s="16">
        <f t="shared" ca="1" si="64"/>
        <v>24.1</v>
      </c>
      <c r="AA68" s="15">
        <f t="shared" ca="1" si="65"/>
        <v>0</v>
      </c>
      <c r="AB68" s="9">
        <f t="shared" ca="1" si="66"/>
        <v>90</v>
      </c>
      <c r="AC68" s="15">
        <f t="shared" ca="1" si="67"/>
        <v>0</v>
      </c>
      <c r="AD68" s="76">
        <f t="shared" ca="1" si="68"/>
        <v>4.0999999999999996</v>
      </c>
      <c r="AE68" s="15">
        <f t="shared" ca="1" si="69"/>
        <v>0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>
        <f t="shared" ca="1" si="78"/>
        <v>90</v>
      </c>
      <c r="AO68" s="15">
        <f t="shared" ca="1" si="79"/>
        <v>0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19190309</v>
      </c>
      <c r="C69" s="72">
        <f t="shared" si="41"/>
        <v>700</v>
      </c>
      <c r="D69" s="16">
        <f t="shared" ca="1" si="42"/>
        <v>26.4</v>
      </c>
      <c r="E69" s="15">
        <f t="shared" ca="1" si="43"/>
        <v>0</v>
      </c>
      <c r="F69" s="73">
        <f t="shared" ca="1" si="44"/>
        <v>765.51</v>
      </c>
      <c r="G69" s="15">
        <f t="shared" ca="1" si="45"/>
        <v>0</v>
      </c>
      <c r="H69" s="73">
        <f t="shared" ca="1" si="46"/>
        <v>6.48</v>
      </c>
      <c r="I69" s="15">
        <f t="shared" ca="1" si="47"/>
        <v>0</v>
      </c>
      <c r="J69" s="73">
        <f t="shared" ca="1" si="48"/>
        <v>759.03</v>
      </c>
      <c r="K69" s="15">
        <f t="shared" ca="1" si="49"/>
        <v>0</v>
      </c>
      <c r="L69" s="16">
        <f t="shared" ca="1" si="50"/>
        <v>761</v>
      </c>
      <c r="M69" s="15">
        <f t="shared" ca="1" si="51"/>
        <v>0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>
        <f t="shared" ca="1" si="62"/>
        <v>29.1</v>
      </c>
      <c r="Y69" s="15">
        <f t="shared" ca="1" si="63"/>
        <v>0</v>
      </c>
      <c r="Z69" s="16">
        <f t="shared" ca="1" si="64"/>
        <v>24.4</v>
      </c>
      <c r="AA69" s="15">
        <f t="shared" ca="1" si="65"/>
        <v>0</v>
      </c>
      <c r="AB69" s="9">
        <f t="shared" ca="1" si="66"/>
        <v>90</v>
      </c>
      <c r="AC69" s="15">
        <f t="shared" ca="1" si="67"/>
        <v>0</v>
      </c>
      <c r="AD69" s="76">
        <f t="shared" ca="1" si="68"/>
        <v>4.5999999999999996</v>
      </c>
      <c r="AE69" s="15">
        <f t="shared" ca="1" si="69"/>
        <v>0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>
        <f t="shared" ca="1" si="78"/>
        <v>90</v>
      </c>
      <c r="AO69" s="15">
        <f t="shared" ca="1" si="79"/>
        <v>0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19190310</v>
      </c>
      <c r="C70" s="72">
        <f t="shared" si="41"/>
        <v>700</v>
      </c>
      <c r="D70" s="16">
        <f t="shared" ca="1" si="42"/>
        <v>26.1</v>
      </c>
      <c r="E70" s="15">
        <f t="shared" ca="1" si="43"/>
        <v>0</v>
      </c>
      <c r="F70" s="73">
        <f t="shared" ca="1" si="44"/>
        <v>764.79</v>
      </c>
      <c r="G70" s="15">
        <f t="shared" ca="1" si="45"/>
        <v>0</v>
      </c>
      <c r="H70" s="73">
        <f t="shared" ca="1" si="46"/>
        <v>6.45</v>
      </c>
      <c r="I70" s="15">
        <f t="shared" ca="1" si="47"/>
        <v>0</v>
      </c>
      <c r="J70" s="73">
        <f t="shared" ca="1" si="48"/>
        <v>758.34</v>
      </c>
      <c r="K70" s="15">
        <f t="shared" ca="1" si="49"/>
        <v>0</v>
      </c>
      <c r="L70" s="16">
        <f t="shared" ca="1" si="50"/>
        <v>760.5</v>
      </c>
      <c r="M70" s="15">
        <f t="shared" ca="1" si="51"/>
        <v>0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>
        <f t="shared" ca="1" si="62"/>
        <v>29.2</v>
      </c>
      <c r="Y70" s="15">
        <f t="shared" ca="1" si="63"/>
        <v>0</v>
      </c>
      <c r="Z70" s="16">
        <f t="shared" ca="1" si="64"/>
        <v>24.5</v>
      </c>
      <c r="AA70" s="15">
        <f t="shared" ca="1" si="65"/>
        <v>0</v>
      </c>
      <c r="AB70" s="9">
        <f t="shared" ca="1" si="66"/>
        <v>45</v>
      </c>
      <c r="AC70" s="15">
        <f t="shared" ca="1" si="67"/>
        <v>0</v>
      </c>
      <c r="AD70" s="76">
        <f t="shared" ca="1" si="68"/>
        <v>3.1</v>
      </c>
      <c r="AE70" s="15">
        <f t="shared" ca="1" si="69"/>
        <v>0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>
        <f t="shared" ca="1" si="78"/>
        <v>90</v>
      </c>
      <c r="AO70" s="15">
        <f t="shared" ca="1" si="79"/>
        <v>0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19190311</v>
      </c>
      <c r="C71" s="72">
        <f t="shared" si="41"/>
        <v>700</v>
      </c>
      <c r="D71" s="16">
        <f t="shared" ca="1" si="42"/>
        <v>26.1</v>
      </c>
      <c r="E71" s="15">
        <f t="shared" ca="1" si="43"/>
        <v>0</v>
      </c>
      <c r="F71" s="73">
        <f t="shared" ca="1" si="44"/>
        <v>764.31</v>
      </c>
      <c r="G71" s="15">
        <f t="shared" ca="1" si="45"/>
        <v>0</v>
      </c>
      <c r="H71" s="73">
        <f t="shared" ca="1" si="46"/>
        <v>6.45</v>
      </c>
      <c r="I71" s="15">
        <f t="shared" ca="1" si="47"/>
        <v>0</v>
      </c>
      <c r="J71" s="73">
        <f t="shared" ca="1" si="48"/>
        <v>757.86</v>
      </c>
      <c r="K71" s="15">
        <f t="shared" ca="1" si="49"/>
        <v>0</v>
      </c>
      <c r="L71" s="16">
        <f t="shared" ca="1" si="50"/>
        <v>760</v>
      </c>
      <c r="M71" s="15">
        <f t="shared" ca="1" si="51"/>
        <v>0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>
        <f t="shared" ca="1" si="62"/>
        <v>29.5</v>
      </c>
      <c r="Y71" s="15">
        <f t="shared" ca="1" si="63"/>
        <v>0</v>
      </c>
      <c r="Z71" s="16">
        <f t="shared" ca="1" si="64"/>
        <v>24.4</v>
      </c>
      <c r="AA71" s="15">
        <f t="shared" ca="1" si="65"/>
        <v>0</v>
      </c>
      <c r="AB71" s="9">
        <f t="shared" ca="1" si="66"/>
        <v>90</v>
      </c>
      <c r="AC71" s="15">
        <f t="shared" ca="1" si="67"/>
        <v>0</v>
      </c>
      <c r="AD71" s="76">
        <f t="shared" ca="1" si="68"/>
        <v>5.0999999999999996</v>
      </c>
      <c r="AE71" s="15">
        <f t="shared" ca="1" si="69"/>
        <v>0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>
        <f t="shared" ca="1" si="78"/>
        <v>90</v>
      </c>
      <c r="AO71" s="15">
        <f t="shared" ca="1" si="79"/>
        <v>0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19190312</v>
      </c>
      <c r="C72" s="72">
        <f t="shared" si="41"/>
        <v>700</v>
      </c>
      <c r="D72" s="16">
        <f t="shared" ca="1" si="42"/>
        <v>26.1</v>
      </c>
      <c r="E72" s="15">
        <f t="shared" ca="1" si="43"/>
        <v>0</v>
      </c>
      <c r="F72" s="73">
        <f t="shared" ca="1" si="44"/>
        <v>764.36</v>
      </c>
      <c r="G72" s="15">
        <f t="shared" ca="1" si="45"/>
        <v>0</v>
      </c>
      <c r="H72" s="73">
        <f t="shared" ca="1" si="46"/>
        <v>6.45</v>
      </c>
      <c r="I72" s="15">
        <f t="shared" ca="1" si="47"/>
        <v>0</v>
      </c>
      <c r="J72" s="73">
        <f t="shared" ca="1" si="48"/>
        <v>757.91</v>
      </c>
      <c r="K72" s="15">
        <f t="shared" ca="1" si="49"/>
        <v>0</v>
      </c>
      <c r="L72" s="16">
        <f t="shared" ca="1" si="50"/>
        <v>760</v>
      </c>
      <c r="M72" s="15">
        <f t="shared" ca="1" si="51"/>
        <v>0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>
        <f t="shared" ca="1" si="62"/>
        <v>29.1</v>
      </c>
      <c r="Y72" s="15">
        <f t="shared" ca="1" si="63"/>
        <v>0</v>
      </c>
      <c r="Z72" s="16">
        <f t="shared" ca="1" si="64"/>
        <v>24</v>
      </c>
      <c r="AA72" s="15">
        <f t="shared" ca="1" si="65"/>
        <v>0</v>
      </c>
      <c r="AB72" s="9">
        <f t="shared" ca="1" si="66"/>
        <v>90</v>
      </c>
      <c r="AC72" s="15">
        <f t="shared" ca="1" si="67"/>
        <v>0</v>
      </c>
      <c r="AD72" s="76">
        <f t="shared" ca="1" si="68"/>
        <v>6.2</v>
      </c>
      <c r="AE72" s="15">
        <f t="shared" ca="1" si="69"/>
        <v>0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>
        <f t="shared" ca="1" si="78"/>
        <v>90</v>
      </c>
      <c r="AO72" s="15">
        <f t="shared" ca="1" si="79"/>
        <v>0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19190313</v>
      </c>
      <c r="C73" s="72">
        <f t="shared" si="41"/>
        <v>700</v>
      </c>
      <c r="D73" s="16">
        <f t="shared" ca="1" si="42"/>
        <v>26.1</v>
      </c>
      <c r="E73" s="15">
        <f t="shared" ca="1" si="43"/>
        <v>0</v>
      </c>
      <c r="F73" s="73">
        <f t="shared" ca="1" si="44"/>
        <v>765.51</v>
      </c>
      <c r="G73" s="15">
        <f t="shared" ca="1" si="45"/>
        <v>0</v>
      </c>
      <c r="H73" s="73">
        <f t="shared" ca="1" si="46"/>
        <v>6.45</v>
      </c>
      <c r="I73" s="15">
        <f t="shared" ca="1" si="47"/>
        <v>0</v>
      </c>
      <c r="J73" s="73">
        <f t="shared" ca="1" si="48"/>
        <v>759.05</v>
      </c>
      <c r="K73" s="15">
        <f t="shared" ca="1" si="49"/>
        <v>0</v>
      </c>
      <c r="L73" s="16">
        <f t="shared" ca="1" si="50"/>
        <v>761</v>
      </c>
      <c r="M73" s="15">
        <f t="shared" ca="1" si="51"/>
        <v>0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>
        <f t="shared" ca="1" si="62"/>
        <v>29.5</v>
      </c>
      <c r="Y73" s="15">
        <f t="shared" ca="1" si="63"/>
        <v>0</v>
      </c>
      <c r="Z73" s="16">
        <f t="shared" ca="1" si="64"/>
        <v>23.5</v>
      </c>
      <c r="AA73" s="15">
        <f t="shared" ca="1" si="65"/>
        <v>0</v>
      </c>
      <c r="AB73" s="9">
        <f t="shared" ca="1" si="66"/>
        <v>90</v>
      </c>
      <c r="AC73" s="15">
        <f t="shared" ca="1" si="67"/>
        <v>0</v>
      </c>
      <c r="AD73" s="76">
        <f t="shared" ca="1" si="68"/>
        <v>2.1</v>
      </c>
      <c r="AE73" s="15">
        <f t="shared" ca="1" si="69"/>
        <v>0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>
        <f t="shared" ca="1" si="78"/>
        <v>90</v>
      </c>
      <c r="AO73" s="15">
        <f t="shared" ca="1" si="79"/>
        <v>0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19190314</v>
      </c>
      <c r="C74" s="72">
        <f t="shared" si="41"/>
        <v>700</v>
      </c>
      <c r="D74" s="16">
        <f t="shared" ca="1" si="42"/>
        <v>26.1</v>
      </c>
      <c r="E74" s="15">
        <f t="shared" ca="1" si="43"/>
        <v>0</v>
      </c>
      <c r="F74" s="73">
        <f t="shared" ca="1" si="44"/>
        <v>765.05</v>
      </c>
      <c r="G74" s="15">
        <f t="shared" ca="1" si="45"/>
        <v>0</v>
      </c>
      <c r="H74" s="73">
        <f t="shared" ca="1" si="46"/>
        <v>6.45</v>
      </c>
      <c r="I74" s="15">
        <f t="shared" ca="1" si="47"/>
        <v>0</v>
      </c>
      <c r="J74" s="73">
        <f t="shared" ca="1" si="48"/>
        <v>758.6</v>
      </c>
      <c r="K74" s="15">
        <f t="shared" ca="1" si="49"/>
        <v>0</v>
      </c>
      <c r="L74" s="16">
        <f t="shared" ca="1" si="50"/>
        <v>760.7</v>
      </c>
      <c r="M74" s="15">
        <f t="shared" ca="1" si="51"/>
        <v>0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>
        <f t="shared" ca="1" si="62"/>
        <v>29.3</v>
      </c>
      <c r="Y74" s="15">
        <f t="shared" ca="1" si="63"/>
        <v>0</v>
      </c>
      <c r="Z74" s="16">
        <f t="shared" ca="1" si="64"/>
        <v>23.5</v>
      </c>
      <c r="AA74" s="15">
        <f t="shared" ca="1" si="65"/>
        <v>0</v>
      </c>
      <c r="AB74" s="9">
        <f t="shared" ca="1" si="66"/>
        <v>90</v>
      </c>
      <c r="AC74" s="15">
        <f t="shared" ca="1" si="67"/>
        <v>0</v>
      </c>
      <c r="AD74" s="76">
        <f t="shared" ca="1" si="68"/>
        <v>2.6</v>
      </c>
      <c r="AE74" s="15">
        <f t="shared" ca="1" si="69"/>
        <v>0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>
        <f t="shared" ca="1" si="78"/>
        <v>90</v>
      </c>
      <c r="AO74" s="15">
        <f t="shared" ca="1" si="79"/>
        <v>0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19190315</v>
      </c>
      <c r="C75" s="72">
        <f t="shared" si="41"/>
        <v>700</v>
      </c>
      <c r="D75" s="16">
        <f t="shared" ca="1" si="42"/>
        <v>26.1</v>
      </c>
      <c r="E75" s="15">
        <f t="shared" ca="1" si="43"/>
        <v>0</v>
      </c>
      <c r="F75" s="73">
        <f t="shared" ca="1" si="44"/>
        <v>765.84</v>
      </c>
      <c r="G75" s="15">
        <f t="shared" ca="1" si="45"/>
        <v>0</v>
      </c>
      <c r="H75" s="73">
        <f t="shared" ca="1" si="46"/>
        <v>6.45</v>
      </c>
      <c r="I75" s="15">
        <f t="shared" ca="1" si="47"/>
        <v>0</v>
      </c>
      <c r="J75" s="73">
        <f t="shared" ca="1" si="48"/>
        <v>759.38</v>
      </c>
      <c r="K75" s="15">
        <f t="shared" ca="1" si="49"/>
        <v>0</v>
      </c>
      <c r="L75" s="16">
        <f t="shared" ca="1" si="50"/>
        <v>761.5</v>
      </c>
      <c r="M75" s="15">
        <f t="shared" ca="1" si="51"/>
        <v>0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>
        <f t="shared" ca="1" si="62"/>
        <v>29.1</v>
      </c>
      <c r="Y75" s="15">
        <f t="shared" ca="1" si="63"/>
        <v>0</v>
      </c>
      <c r="Z75" s="16">
        <f t="shared" ca="1" si="64"/>
        <v>24.2</v>
      </c>
      <c r="AA75" s="15">
        <f t="shared" ca="1" si="65"/>
        <v>0</v>
      </c>
      <c r="AB75" s="9">
        <f t="shared" ca="1" si="66"/>
        <v>90</v>
      </c>
      <c r="AC75" s="15">
        <f t="shared" ca="1" si="67"/>
        <v>0</v>
      </c>
      <c r="AD75" s="76">
        <f t="shared" ca="1" si="68"/>
        <v>4.0999999999999996</v>
      </c>
      <c r="AE75" s="15">
        <f t="shared" ca="1" si="69"/>
        <v>0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>
        <f t="shared" ca="1" si="78"/>
        <v>90</v>
      </c>
      <c r="AO75" s="15">
        <f t="shared" ca="1" si="79"/>
        <v>0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19190316</v>
      </c>
      <c r="C76" s="72">
        <f t="shared" si="41"/>
        <v>700</v>
      </c>
      <c r="D76" s="16">
        <f t="shared" ca="1" si="42"/>
        <v>26.4</v>
      </c>
      <c r="E76" s="15">
        <f t="shared" ca="1" si="43"/>
        <v>0</v>
      </c>
      <c r="F76" s="73">
        <f t="shared" ca="1" si="44"/>
        <v>766.29</v>
      </c>
      <c r="G76" s="15">
        <f t="shared" ca="1" si="45"/>
        <v>0</v>
      </c>
      <c r="H76" s="73">
        <f t="shared" ca="1" si="46"/>
        <v>6.48</v>
      </c>
      <c r="I76" s="15">
        <f t="shared" ca="1" si="47"/>
        <v>0</v>
      </c>
      <c r="J76" s="73">
        <f t="shared" ca="1" si="48"/>
        <v>759.82</v>
      </c>
      <c r="K76" s="15">
        <f t="shared" ca="1" si="49"/>
        <v>0</v>
      </c>
      <c r="L76" s="16">
        <f t="shared" ca="1" si="50"/>
        <v>761.7</v>
      </c>
      <c r="M76" s="15">
        <f t="shared" ca="1" si="51"/>
        <v>0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>
        <f t="shared" ca="1" si="62"/>
        <v>29.3</v>
      </c>
      <c r="Y76" s="15">
        <f t="shared" ca="1" si="63"/>
        <v>0</v>
      </c>
      <c r="Z76" s="16">
        <f t="shared" ca="1" si="64"/>
        <v>23.3</v>
      </c>
      <c r="AA76" s="15">
        <f t="shared" ca="1" si="65"/>
        <v>0</v>
      </c>
      <c r="AB76" s="9">
        <f t="shared" ca="1" si="66"/>
        <v>90</v>
      </c>
      <c r="AC76" s="15">
        <f t="shared" ca="1" si="67"/>
        <v>0</v>
      </c>
      <c r="AD76" s="76">
        <f t="shared" ca="1" si="68"/>
        <v>4.5999999999999996</v>
      </c>
      <c r="AE76" s="15">
        <f t="shared" ca="1" si="69"/>
        <v>0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>
        <f t="shared" ca="1" si="78"/>
        <v>90</v>
      </c>
      <c r="AO76" s="15">
        <f t="shared" ca="1" si="79"/>
        <v>0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19190317</v>
      </c>
      <c r="C77" s="72">
        <f t="shared" si="41"/>
        <v>700</v>
      </c>
      <c r="D77" s="16">
        <f t="shared" ca="1" si="42"/>
        <v>26.4</v>
      </c>
      <c r="E77" s="15">
        <f t="shared" ca="1" si="43"/>
        <v>0</v>
      </c>
      <c r="F77" s="73">
        <f t="shared" ca="1" si="44"/>
        <v>766.11</v>
      </c>
      <c r="G77" s="15">
        <f t="shared" ca="1" si="45"/>
        <v>0</v>
      </c>
      <c r="H77" s="73">
        <f t="shared" ca="1" si="46"/>
        <v>6.48</v>
      </c>
      <c r="I77" s="15">
        <f t="shared" ca="1" si="47"/>
        <v>0</v>
      </c>
      <c r="J77" s="73">
        <f t="shared" ca="1" si="48"/>
        <v>759.64</v>
      </c>
      <c r="K77" s="15">
        <f t="shared" ca="1" si="49"/>
        <v>0</v>
      </c>
      <c r="L77" s="16">
        <f t="shared" ca="1" si="50"/>
        <v>761.7</v>
      </c>
      <c r="M77" s="15">
        <f t="shared" ca="1" si="51"/>
        <v>0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>
        <f t="shared" ca="1" si="62"/>
        <v>29.6</v>
      </c>
      <c r="Y77" s="15">
        <f t="shared" ca="1" si="63"/>
        <v>0</v>
      </c>
      <c r="Z77" s="16">
        <f t="shared" ca="1" si="64"/>
        <v>23.9</v>
      </c>
      <c r="AA77" s="15">
        <f t="shared" ca="1" si="65"/>
        <v>0</v>
      </c>
      <c r="AB77" s="9">
        <f t="shared" ca="1" si="66"/>
        <v>45</v>
      </c>
      <c r="AC77" s="15">
        <f t="shared" ca="1" si="67"/>
        <v>0</v>
      </c>
      <c r="AD77" s="76">
        <f t="shared" ca="1" si="68"/>
        <v>3.1</v>
      </c>
      <c r="AE77" s="15">
        <f t="shared" ca="1" si="69"/>
        <v>0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>
        <f t="shared" ca="1" si="78"/>
        <v>90</v>
      </c>
      <c r="AO77" s="15">
        <f t="shared" ca="1" si="79"/>
        <v>0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19190318</v>
      </c>
      <c r="C78" s="72">
        <f t="shared" si="41"/>
        <v>700</v>
      </c>
      <c r="D78" s="16">
        <f t="shared" ca="1" si="42"/>
        <v>26.1</v>
      </c>
      <c r="E78" s="15">
        <f t="shared" ca="1" si="43"/>
        <v>0</v>
      </c>
      <c r="F78" s="73">
        <f t="shared" ca="1" si="44"/>
        <v>766.01</v>
      </c>
      <c r="G78" s="15">
        <f t="shared" ca="1" si="45"/>
        <v>0</v>
      </c>
      <c r="H78" s="73">
        <f t="shared" ca="1" si="46"/>
        <v>6.45</v>
      </c>
      <c r="I78" s="15">
        <f t="shared" ca="1" si="47"/>
        <v>0</v>
      </c>
      <c r="J78" s="73">
        <f t="shared" ca="1" si="48"/>
        <v>759.56</v>
      </c>
      <c r="K78" s="15">
        <f t="shared" ca="1" si="49"/>
        <v>0</v>
      </c>
      <c r="L78" s="16">
        <f t="shared" ca="1" si="50"/>
        <v>761.5</v>
      </c>
      <c r="M78" s="15">
        <f t="shared" ca="1" si="51"/>
        <v>0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>
        <f t="shared" ca="1" si="62"/>
        <v>28.6</v>
      </c>
      <c r="Y78" s="15">
        <f t="shared" ca="1" si="63"/>
        <v>0</v>
      </c>
      <c r="Z78" s="16">
        <f t="shared" ca="1" si="64"/>
        <v>23.4</v>
      </c>
      <c r="AA78" s="15">
        <f t="shared" ca="1" si="65"/>
        <v>0</v>
      </c>
      <c r="AB78" s="9">
        <f t="shared" ca="1" si="66"/>
        <v>45</v>
      </c>
      <c r="AC78" s="15">
        <f t="shared" ca="1" si="67"/>
        <v>0</v>
      </c>
      <c r="AD78" s="76">
        <f t="shared" ca="1" si="68"/>
        <v>5.0999999999999996</v>
      </c>
      <c r="AE78" s="15">
        <f t="shared" ca="1" si="69"/>
        <v>0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>
        <f t="shared" ca="1" si="78"/>
        <v>90</v>
      </c>
      <c r="AO78" s="15">
        <f t="shared" ca="1" si="79"/>
        <v>0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19190319</v>
      </c>
      <c r="C79" s="72">
        <f t="shared" si="41"/>
        <v>700</v>
      </c>
      <c r="D79" s="16">
        <f t="shared" ca="1" si="42"/>
        <v>25.6</v>
      </c>
      <c r="E79" s="15">
        <f t="shared" ca="1" si="43"/>
        <v>0</v>
      </c>
      <c r="F79" s="73">
        <f t="shared" ca="1" si="44"/>
        <v>765.1</v>
      </c>
      <c r="G79" s="15">
        <f t="shared" ca="1" si="45"/>
        <v>0</v>
      </c>
      <c r="H79" s="73">
        <f t="shared" ca="1" si="46"/>
        <v>6.38</v>
      </c>
      <c r="I79" s="15">
        <f t="shared" ca="1" si="47"/>
        <v>0</v>
      </c>
      <c r="J79" s="73">
        <f t="shared" ca="1" si="48"/>
        <v>758.72</v>
      </c>
      <c r="K79" s="15">
        <f t="shared" ca="1" si="49"/>
        <v>0</v>
      </c>
      <c r="L79" s="16">
        <f t="shared" ca="1" si="50"/>
        <v>760.7</v>
      </c>
      <c r="M79" s="15">
        <f t="shared" ca="1" si="51"/>
        <v>0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>
        <f t="shared" ca="1" si="62"/>
        <v>28.3</v>
      </c>
      <c r="Y79" s="15">
        <f t="shared" ca="1" si="63"/>
        <v>0</v>
      </c>
      <c r="Z79" s="16">
        <f t="shared" ca="1" si="64"/>
        <v>22.2</v>
      </c>
      <c r="AA79" s="15">
        <f t="shared" ca="1" si="65"/>
        <v>0</v>
      </c>
      <c r="AB79" s="9">
        <f t="shared" ca="1" si="66"/>
        <v>90</v>
      </c>
      <c r="AC79" s="15">
        <f t="shared" ca="1" si="67"/>
        <v>0</v>
      </c>
      <c r="AD79" s="76">
        <f t="shared" ca="1" si="68"/>
        <v>3.6</v>
      </c>
      <c r="AE79" s="15">
        <f t="shared" ca="1" si="69"/>
        <v>0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>
        <f t="shared" ca="1" si="78"/>
        <v>90</v>
      </c>
      <c r="AO79" s="15">
        <f t="shared" ca="1" si="79"/>
        <v>0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19190320</v>
      </c>
      <c r="C80" s="72">
        <f t="shared" si="41"/>
        <v>700</v>
      </c>
      <c r="D80" s="16">
        <f t="shared" ca="1" si="42"/>
        <v>25.3</v>
      </c>
      <c r="E80" s="15">
        <f t="shared" ca="1" si="43"/>
        <v>0</v>
      </c>
      <c r="F80" s="73">
        <f t="shared" ca="1" si="44"/>
        <v>765.56</v>
      </c>
      <c r="G80" s="15">
        <f t="shared" ca="1" si="45"/>
        <v>0</v>
      </c>
      <c r="H80" s="73">
        <f t="shared" ca="1" si="46"/>
        <v>6.35</v>
      </c>
      <c r="I80" s="15">
        <f t="shared" ca="1" si="47"/>
        <v>0</v>
      </c>
      <c r="J80" s="73">
        <f t="shared" ca="1" si="48"/>
        <v>759.21</v>
      </c>
      <c r="K80" s="15">
        <f t="shared" ca="1" si="49"/>
        <v>0</v>
      </c>
      <c r="L80" s="16">
        <f t="shared" ca="1" si="50"/>
        <v>761.2</v>
      </c>
      <c r="M80" s="15">
        <f t="shared" ca="1" si="51"/>
        <v>0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>
        <f t="shared" ca="1" si="62"/>
        <v>28.4</v>
      </c>
      <c r="Y80" s="15">
        <f t="shared" ca="1" si="63"/>
        <v>0</v>
      </c>
      <c r="Z80" s="16">
        <f t="shared" ca="1" si="64"/>
        <v>22.1</v>
      </c>
      <c r="AA80" s="15">
        <f t="shared" ca="1" si="65"/>
        <v>0</v>
      </c>
      <c r="AB80" s="9">
        <f t="shared" ca="1" si="66"/>
        <v>90</v>
      </c>
      <c r="AC80" s="15">
        <f t="shared" ca="1" si="67"/>
        <v>0</v>
      </c>
      <c r="AD80" s="76">
        <f t="shared" ca="1" si="68"/>
        <v>2.6</v>
      </c>
      <c r="AE80" s="15">
        <f t="shared" ca="1" si="69"/>
        <v>0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>
        <f t="shared" ca="1" si="78"/>
        <v>90</v>
      </c>
      <c r="AO80" s="15">
        <f t="shared" ca="1" si="79"/>
        <v>0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19190321</v>
      </c>
      <c r="C81" s="72">
        <f t="shared" si="41"/>
        <v>700</v>
      </c>
      <c r="D81" s="16">
        <f t="shared" ca="1" si="42"/>
        <v>26.1</v>
      </c>
      <c r="E81" s="15">
        <f t="shared" ca="1" si="43"/>
        <v>0</v>
      </c>
      <c r="F81" s="73">
        <f t="shared" ca="1" si="44"/>
        <v>765.56</v>
      </c>
      <c r="G81" s="15">
        <f t="shared" ca="1" si="45"/>
        <v>0</v>
      </c>
      <c r="H81" s="73">
        <f t="shared" ca="1" si="46"/>
        <v>6.45</v>
      </c>
      <c r="I81" s="15">
        <f t="shared" ca="1" si="47"/>
        <v>0</v>
      </c>
      <c r="J81" s="73">
        <f t="shared" ca="1" si="48"/>
        <v>759.1</v>
      </c>
      <c r="K81" s="15">
        <f t="shared" ca="1" si="49"/>
        <v>0</v>
      </c>
      <c r="L81" s="16">
        <f t="shared" ca="1" si="50"/>
        <v>761.2</v>
      </c>
      <c r="M81" s="15">
        <f t="shared" ca="1" si="51"/>
        <v>0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>
        <f t="shared" ca="1" si="62"/>
        <v>28.3</v>
      </c>
      <c r="Y81" s="15">
        <f t="shared" ca="1" si="63"/>
        <v>0</v>
      </c>
      <c r="Z81" s="16">
        <f t="shared" ca="1" si="64"/>
        <v>23.4</v>
      </c>
      <c r="AA81" s="15">
        <f t="shared" ca="1" si="65"/>
        <v>0</v>
      </c>
      <c r="AB81" s="9">
        <f t="shared" ca="1" si="66"/>
        <v>135</v>
      </c>
      <c r="AC81" s="15">
        <f t="shared" ca="1" si="67"/>
        <v>0</v>
      </c>
      <c r="AD81" s="76">
        <f t="shared" ca="1" si="68"/>
        <v>2.1</v>
      </c>
      <c r="AE81" s="15">
        <f t="shared" ca="1" si="69"/>
        <v>0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>
        <f t="shared" ca="1" si="78"/>
        <v>90</v>
      </c>
      <c r="AO81" s="15">
        <f t="shared" ca="1" si="79"/>
        <v>0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19190322</v>
      </c>
      <c r="C82" s="72">
        <f t="shared" si="41"/>
        <v>700</v>
      </c>
      <c r="D82" s="16">
        <f t="shared" ca="1" si="42"/>
        <v>26.4</v>
      </c>
      <c r="E82" s="15">
        <f t="shared" ca="1" si="43"/>
        <v>0</v>
      </c>
      <c r="F82" s="73">
        <f t="shared" ca="1" si="44"/>
        <v>765.3</v>
      </c>
      <c r="G82" s="15">
        <f t="shared" ca="1" si="45"/>
        <v>0</v>
      </c>
      <c r="H82" s="73">
        <f t="shared" ca="1" si="46"/>
        <v>6.48</v>
      </c>
      <c r="I82" s="15">
        <f t="shared" ca="1" si="47"/>
        <v>0</v>
      </c>
      <c r="J82" s="73">
        <f t="shared" ca="1" si="48"/>
        <v>758.83</v>
      </c>
      <c r="K82" s="15">
        <f t="shared" ca="1" si="49"/>
        <v>0</v>
      </c>
      <c r="L82" s="16">
        <f t="shared" ca="1" si="50"/>
        <v>761</v>
      </c>
      <c r="M82" s="15">
        <f t="shared" ca="1" si="51"/>
        <v>0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>
        <f t="shared" ca="1" si="62"/>
        <v>28.5</v>
      </c>
      <c r="Y82" s="15">
        <f t="shared" ca="1" si="63"/>
        <v>0</v>
      </c>
      <c r="Z82" s="16">
        <f t="shared" ca="1" si="64"/>
        <v>23.3</v>
      </c>
      <c r="AA82" s="15">
        <f t="shared" ca="1" si="65"/>
        <v>0</v>
      </c>
      <c r="AB82" s="9">
        <f t="shared" ca="1" si="66"/>
        <v>0</v>
      </c>
      <c r="AC82" s="15">
        <f t="shared" ca="1" si="67"/>
        <v>0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19190323</v>
      </c>
      <c r="C83" s="72">
        <f t="shared" si="41"/>
        <v>700</v>
      </c>
      <c r="D83" s="16">
        <f t="shared" ca="1" si="42"/>
        <v>26.7</v>
      </c>
      <c r="E83" s="15">
        <f t="shared" ca="1" si="43"/>
        <v>0</v>
      </c>
      <c r="F83" s="73">
        <f t="shared" ca="1" si="44"/>
        <v>765</v>
      </c>
      <c r="G83" s="15">
        <f t="shared" ca="1" si="45"/>
        <v>0</v>
      </c>
      <c r="H83" s="73">
        <f t="shared" ca="1" si="46"/>
        <v>6.5</v>
      </c>
      <c r="I83" s="15">
        <f t="shared" ca="1" si="47"/>
        <v>0</v>
      </c>
      <c r="J83" s="73">
        <f t="shared" ca="1" si="48"/>
        <v>758.24</v>
      </c>
      <c r="K83" s="15">
        <f t="shared" ca="1" si="49"/>
        <v>0</v>
      </c>
      <c r="L83" s="16">
        <f t="shared" ca="1" si="50"/>
        <v>760.5</v>
      </c>
      <c r="M83" s="15">
        <f t="shared" ca="1" si="51"/>
        <v>0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>
        <f t="shared" ca="1" si="62"/>
        <v>28.4</v>
      </c>
      <c r="Y83" s="15">
        <f t="shared" ca="1" si="63"/>
        <v>0</v>
      </c>
      <c r="Z83" s="16">
        <f t="shared" ca="1" si="64"/>
        <v>23.5</v>
      </c>
      <c r="AA83" s="15">
        <f t="shared" ca="1" si="65"/>
        <v>0</v>
      </c>
      <c r="AB83" s="9">
        <f t="shared" ca="1" si="66"/>
        <v>45</v>
      </c>
      <c r="AC83" s="15">
        <f t="shared" ca="1" si="67"/>
        <v>0</v>
      </c>
      <c r="AD83" s="76">
        <f t="shared" ca="1" si="68"/>
        <v>2.1</v>
      </c>
      <c r="AE83" s="15">
        <f t="shared" ca="1" si="69"/>
        <v>0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>
        <f t="shared" ca="1" si="78"/>
        <v>45</v>
      </c>
      <c r="AO83" s="15">
        <f t="shared" ca="1" si="79"/>
        <v>0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19190324</v>
      </c>
      <c r="C84" s="72">
        <f t="shared" si="41"/>
        <v>700</v>
      </c>
      <c r="D84" s="16">
        <f t="shared" ca="1" si="42"/>
        <v>27.2</v>
      </c>
      <c r="E84" s="15">
        <f t="shared" ca="1" si="43"/>
        <v>0</v>
      </c>
      <c r="F84" s="73">
        <f t="shared" ca="1" si="44"/>
        <v>765.1</v>
      </c>
      <c r="G84" s="15">
        <f t="shared" ca="1" si="45"/>
        <v>0</v>
      </c>
      <c r="H84" s="73">
        <f t="shared" ca="1" si="46"/>
        <v>6.58</v>
      </c>
      <c r="I84" s="15">
        <f t="shared" ca="1" si="47"/>
        <v>0</v>
      </c>
      <c r="J84" s="73">
        <f t="shared" ca="1" si="48"/>
        <v>758.52</v>
      </c>
      <c r="K84" s="15">
        <f t="shared" ca="1" si="49"/>
        <v>0</v>
      </c>
      <c r="L84" s="16">
        <f t="shared" ca="1" si="50"/>
        <v>760.5</v>
      </c>
      <c r="M84" s="15">
        <f t="shared" ca="1" si="51"/>
        <v>0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>
        <f t="shared" ca="1" si="62"/>
        <v>29.5</v>
      </c>
      <c r="Y84" s="15">
        <f t="shared" ca="1" si="63"/>
        <v>0</v>
      </c>
      <c r="Z84" s="16">
        <f t="shared" ca="1" si="64"/>
        <v>24.4</v>
      </c>
      <c r="AA84" s="15">
        <f t="shared" ca="1" si="65"/>
        <v>0</v>
      </c>
      <c r="AB84" s="9">
        <f t="shared" ca="1" si="66"/>
        <v>90</v>
      </c>
      <c r="AC84" s="15">
        <f t="shared" ca="1" si="67"/>
        <v>0</v>
      </c>
      <c r="AD84" s="76">
        <f t="shared" ca="1" si="68"/>
        <v>2.6</v>
      </c>
      <c r="AE84" s="15">
        <f t="shared" ca="1" si="69"/>
        <v>0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>
        <f t="shared" ca="1" si="78"/>
        <v>90</v>
      </c>
      <c r="AO84" s="15">
        <f t="shared" ca="1" si="79"/>
        <v>0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19190325</v>
      </c>
      <c r="C85" s="72">
        <f t="shared" si="41"/>
        <v>700</v>
      </c>
      <c r="D85" s="16">
        <f t="shared" ca="1" si="42"/>
        <v>27.5</v>
      </c>
      <c r="E85" s="15">
        <f t="shared" ca="1" si="43"/>
        <v>0</v>
      </c>
      <c r="F85" s="73">
        <f t="shared" ca="1" si="44"/>
        <v>764.74</v>
      </c>
      <c r="G85" s="15">
        <f t="shared" ca="1" si="45"/>
        <v>0</v>
      </c>
      <c r="H85" s="73">
        <f t="shared" ca="1" si="46"/>
        <v>6.6</v>
      </c>
      <c r="I85" s="15">
        <f t="shared" ca="1" si="47"/>
        <v>0</v>
      </c>
      <c r="J85" s="73">
        <f t="shared" ca="1" si="48"/>
        <v>758.14</v>
      </c>
      <c r="K85" s="15">
        <f t="shared" ca="1" si="49"/>
        <v>0</v>
      </c>
      <c r="L85" s="16">
        <f t="shared" ca="1" si="50"/>
        <v>760.2</v>
      </c>
      <c r="M85" s="15">
        <f t="shared" ca="1" si="51"/>
        <v>0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>
        <f t="shared" ca="1" si="62"/>
        <v>30.5</v>
      </c>
      <c r="Y85" s="15">
        <f t="shared" ca="1" si="63"/>
        <v>0</v>
      </c>
      <c r="Z85" s="16">
        <f t="shared" ca="1" si="64"/>
        <v>25.2</v>
      </c>
      <c r="AA85" s="15">
        <f t="shared" ca="1" si="65"/>
        <v>0</v>
      </c>
      <c r="AB85" s="9">
        <f t="shared" ca="1" si="66"/>
        <v>45</v>
      </c>
      <c r="AC85" s="15">
        <f t="shared" ca="1" si="67"/>
        <v>0</v>
      </c>
      <c r="AD85" s="76">
        <f t="shared" ca="1" si="68"/>
        <v>4.5999999999999996</v>
      </c>
      <c r="AE85" s="15">
        <f t="shared" ca="1" si="69"/>
        <v>0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>
        <f t="shared" ca="1" si="78"/>
        <v>90</v>
      </c>
      <c r="AO85" s="15">
        <f t="shared" ca="1" si="79"/>
        <v>0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19190326</v>
      </c>
      <c r="C86" s="72">
        <f t="shared" si="41"/>
        <v>700</v>
      </c>
      <c r="D86" s="16">
        <f t="shared" ca="1" si="42"/>
        <v>27.5</v>
      </c>
      <c r="E86" s="15">
        <f t="shared" ca="1" si="43"/>
        <v>0</v>
      </c>
      <c r="F86" s="73">
        <f t="shared" ca="1" si="44"/>
        <v>765.25</v>
      </c>
      <c r="G86" s="15">
        <f t="shared" ca="1" si="45"/>
        <v>0</v>
      </c>
      <c r="H86" s="73">
        <f t="shared" ca="1" si="46"/>
        <v>6.6</v>
      </c>
      <c r="I86" s="15">
        <f t="shared" ca="1" si="47"/>
        <v>0</v>
      </c>
      <c r="J86" s="73">
        <f t="shared" ca="1" si="48"/>
        <v>758.65</v>
      </c>
      <c r="K86" s="15">
        <f t="shared" ca="1" si="49"/>
        <v>0</v>
      </c>
      <c r="L86" s="16">
        <f t="shared" ca="1" si="50"/>
        <v>760.7</v>
      </c>
      <c r="M86" s="15">
        <f t="shared" ca="1" si="51"/>
        <v>0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>
        <f t="shared" ca="1" si="62"/>
        <v>29</v>
      </c>
      <c r="Y86" s="15">
        <f t="shared" ca="1" si="63"/>
        <v>0</v>
      </c>
      <c r="Z86" s="16">
        <f t="shared" ca="1" si="64"/>
        <v>25.6</v>
      </c>
      <c r="AA86" s="15">
        <f t="shared" ca="1" si="65"/>
        <v>0</v>
      </c>
      <c r="AB86" s="9">
        <f t="shared" ca="1" si="66"/>
        <v>45</v>
      </c>
      <c r="AC86" s="15">
        <f t="shared" ca="1" si="67"/>
        <v>0</v>
      </c>
      <c r="AD86" s="76">
        <f t="shared" ca="1" si="68"/>
        <v>6.2</v>
      </c>
      <c r="AE86" s="15">
        <f t="shared" ca="1" si="69"/>
        <v>0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>
        <f t="shared" ca="1" si="78"/>
        <v>90</v>
      </c>
      <c r="AO86" s="15">
        <f t="shared" ca="1" si="79"/>
        <v>0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19190327</v>
      </c>
      <c r="C87" s="72">
        <f t="shared" si="41"/>
        <v>700</v>
      </c>
      <c r="D87" s="16">
        <f t="shared" ca="1" si="42"/>
        <v>26.7</v>
      </c>
      <c r="E87" s="15">
        <f t="shared" ca="1" si="43"/>
        <v>0</v>
      </c>
      <c r="F87" s="73">
        <f t="shared" ca="1" si="44"/>
        <v>764.54</v>
      </c>
      <c r="G87" s="15">
        <f t="shared" ca="1" si="45"/>
        <v>0</v>
      </c>
      <c r="H87" s="73">
        <f t="shared" ca="1" si="46"/>
        <v>6.5</v>
      </c>
      <c r="I87" s="15">
        <f t="shared" ca="1" si="47"/>
        <v>0</v>
      </c>
      <c r="J87" s="73">
        <f t="shared" ca="1" si="48"/>
        <v>758.04</v>
      </c>
      <c r="K87" s="15">
        <f t="shared" ca="1" si="49"/>
        <v>0</v>
      </c>
      <c r="L87" s="16">
        <f t="shared" ca="1" si="50"/>
        <v>760</v>
      </c>
      <c r="M87" s="15">
        <f t="shared" ca="1" si="51"/>
        <v>0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>
        <f t="shared" ca="1" si="62"/>
        <v>29.4</v>
      </c>
      <c r="Y87" s="15">
        <f t="shared" ca="1" si="63"/>
        <v>0</v>
      </c>
      <c r="Z87" s="16">
        <f t="shared" ca="1" si="64"/>
        <v>24.2</v>
      </c>
      <c r="AA87" s="15">
        <f t="shared" ca="1" si="65"/>
        <v>0</v>
      </c>
      <c r="AB87" s="9">
        <f t="shared" ca="1" si="66"/>
        <v>90</v>
      </c>
      <c r="AC87" s="15">
        <f t="shared" ca="1" si="67"/>
        <v>0</v>
      </c>
      <c r="AD87" s="76">
        <f t="shared" ca="1" si="68"/>
        <v>2.6</v>
      </c>
      <c r="AE87" s="15">
        <f t="shared" ca="1" si="69"/>
        <v>0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>
        <f t="shared" ca="1" si="78"/>
        <v>90</v>
      </c>
      <c r="AO87" s="15">
        <f t="shared" ca="1" si="79"/>
        <v>0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19190328</v>
      </c>
      <c r="C88" s="72">
        <f t="shared" si="41"/>
        <v>700</v>
      </c>
      <c r="D88" s="16">
        <f t="shared" ca="1" si="42"/>
        <v>26.7</v>
      </c>
      <c r="E88" s="15">
        <f t="shared" ca="1" si="43"/>
        <v>0</v>
      </c>
      <c r="F88" s="73">
        <f t="shared" ca="1" si="44"/>
        <v>765</v>
      </c>
      <c r="G88" s="15">
        <f t="shared" ca="1" si="45"/>
        <v>0</v>
      </c>
      <c r="H88" s="73">
        <f t="shared" ca="1" si="46"/>
        <v>6.5</v>
      </c>
      <c r="I88" s="15">
        <f t="shared" ca="1" si="47"/>
        <v>0</v>
      </c>
      <c r="J88" s="73">
        <f t="shared" ca="1" si="48"/>
        <v>758.49</v>
      </c>
      <c r="K88" s="15">
        <f t="shared" ca="1" si="49"/>
        <v>0</v>
      </c>
      <c r="L88" s="16">
        <f t="shared" ca="1" si="50"/>
        <v>760.5</v>
      </c>
      <c r="M88" s="15">
        <f t="shared" ca="1" si="51"/>
        <v>0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>
        <f t="shared" ca="1" si="62"/>
        <v>28.8</v>
      </c>
      <c r="Y88" s="15">
        <f t="shared" ca="1" si="63"/>
        <v>0</v>
      </c>
      <c r="Z88" s="16">
        <f t="shared" ca="1" si="64"/>
        <v>24.9</v>
      </c>
      <c r="AA88" s="15">
        <f t="shared" ca="1" si="65"/>
        <v>0</v>
      </c>
      <c r="AB88" s="9">
        <f t="shared" ca="1" si="66"/>
        <v>90</v>
      </c>
      <c r="AC88" s="15">
        <f t="shared" ca="1" si="67"/>
        <v>0</v>
      </c>
      <c r="AD88" s="76">
        <f t="shared" ca="1" si="68"/>
        <v>5.0999999999999996</v>
      </c>
      <c r="AE88" s="15">
        <f t="shared" ca="1" si="69"/>
        <v>0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>
        <f t="shared" ca="1" si="78"/>
        <v>90</v>
      </c>
      <c r="AO88" s="15">
        <f t="shared" ca="1" si="79"/>
        <v>0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19190329</v>
      </c>
      <c r="C89" s="72">
        <f t="shared" si="41"/>
        <v>700</v>
      </c>
      <c r="D89" s="16">
        <f t="shared" ca="1" si="42"/>
        <v>26.7</v>
      </c>
      <c r="E89" s="15">
        <f t="shared" ca="1" si="43"/>
        <v>0</v>
      </c>
      <c r="F89" s="73">
        <f t="shared" ca="1" si="44"/>
        <v>764.29</v>
      </c>
      <c r="G89" s="15">
        <f t="shared" ca="1" si="45"/>
        <v>0</v>
      </c>
      <c r="H89" s="73">
        <f t="shared" ca="1" si="46"/>
        <v>6.5</v>
      </c>
      <c r="I89" s="15">
        <f t="shared" ca="1" si="47"/>
        <v>0</v>
      </c>
      <c r="J89" s="73">
        <f t="shared" ca="1" si="48"/>
        <v>757.78</v>
      </c>
      <c r="K89" s="15">
        <f t="shared" ca="1" si="49"/>
        <v>0</v>
      </c>
      <c r="L89" s="16">
        <f t="shared" ca="1" si="50"/>
        <v>759.7</v>
      </c>
      <c r="M89" s="15">
        <f t="shared" ca="1" si="51"/>
        <v>0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>
        <f t="shared" ca="1" si="62"/>
        <v>30.1</v>
      </c>
      <c r="Y89" s="15">
        <f t="shared" ca="1" si="63"/>
        <v>0</v>
      </c>
      <c r="Z89" s="16">
        <f t="shared" ca="1" si="64"/>
        <v>25.5</v>
      </c>
      <c r="AA89" s="15">
        <f t="shared" ca="1" si="65"/>
        <v>0</v>
      </c>
      <c r="AB89" s="9">
        <f t="shared" ca="1" si="66"/>
        <v>90</v>
      </c>
      <c r="AC89" s="15">
        <f t="shared" ca="1" si="67"/>
        <v>0</v>
      </c>
      <c r="AD89" s="76">
        <f t="shared" ca="1" si="68"/>
        <v>1</v>
      </c>
      <c r="AE89" s="15">
        <f t="shared" ca="1" si="69"/>
        <v>0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>
        <f t="shared" ca="1" si="78"/>
        <v>90</v>
      </c>
      <c r="AO89" s="15">
        <f t="shared" ca="1" si="79"/>
        <v>0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19190330</v>
      </c>
      <c r="C90" s="72">
        <f t="shared" si="41"/>
        <v>700</v>
      </c>
      <c r="D90" s="16">
        <f t="shared" ca="1" si="42"/>
        <v>26.7</v>
      </c>
      <c r="E90" s="15">
        <f t="shared" ca="1" si="43"/>
        <v>0</v>
      </c>
      <c r="F90" s="73">
        <f t="shared" ca="1" si="44"/>
        <v>764.79</v>
      </c>
      <c r="G90" s="15">
        <f t="shared" ca="1" si="45"/>
        <v>0</v>
      </c>
      <c r="H90" s="73">
        <f t="shared" ca="1" si="46"/>
        <v>6.5</v>
      </c>
      <c r="I90" s="15">
        <f t="shared" ca="1" si="47"/>
        <v>0</v>
      </c>
      <c r="J90" s="73">
        <f t="shared" ca="1" si="48"/>
        <v>758.29</v>
      </c>
      <c r="K90" s="15">
        <f t="shared" ca="1" si="49"/>
        <v>0</v>
      </c>
      <c r="L90" s="16">
        <f t="shared" ca="1" si="50"/>
        <v>760.2</v>
      </c>
      <c r="M90" s="15">
        <f t="shared" ca="1" si="51"/>
        <v>0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>
        <f t="shared" ca="1" si="62"/>
        <v>29.3</v>
      </c>
      <c r="Y90" s="15">
        <f t="shared" ca="1" si="63"/>
        <v>0</v>
      </c>
      <c r="Z90" s="16">
        <f t="shared" ca="1" si="64"/>
        <v>24.6</v>
      </c>
      <c r="AA90" s="15">
        <f t="shared" ca="1" si="65"/>
        <v>0</v>
      </c>
      <c r="AB90" s="9">
        <f t="shared" ca="1" si="66"/>
        <v>135</v>
      </c>
      <c r="AC90" s="15">
        <f t="shared" ca="1" si="67"/>
        <v>0</v>
      </c>
      <c r="AD90" s="76">
        <f t="shared" ca="1" si="68"/>
        <v>4.0999999999999996</v>
      </c>
      <c r="AE90" s="15">
        <f t="shared" ca="1" si="69"/>
        <v>0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>
        <f t="shared" ca="1" si="78"/>
        <v>90</v>
      </c>
      <c r="AO90" s="15">
        <f t="shared" ca="1" si="79"/>
        <v>0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19190331</v>
      </c>
      <c r="C91" s="72">
        <f t="shared" si="41"/>
        <v>700</v>
      </c>
      <c r="D91" s="16">
        <f t="shared" ca="1" si="42"/>
        <v>26.9</v>
      </c>
      <c r="E91" s="15">
        <f t="shared" ca="1" si="43"/>
        <v>0</v>
      </c>
      <c r="F91" s="73">
        <f t="shared" ca="1" si="44"/>
        <v>765</v>
      </c>
      <c r="G91" s="15">
        <f t="shared" ca="1" si="45"/>
        <v>0</v>
      </c>
      <c r="H91" s="73">
        <f t="shared" ca="1" si="46"/>
        <v>6.55</v>
      </c>
      <c r="I91" s="15">
        <f t="shared" ca="1" si="47"/>
        <v>0</v>
      </c>
      <c r="J91" s="73">
        <f t="shared" ca="1" si="48"/>
        <v>758.44</v>
      </c>
      <c r="K91" s="15">
        <f t="shared" ca="1" si="49"/>
        <v>0</v>
      </c>
      <c r="L91" s="16">
        <f t="shared" ca="1" si="50"/>
        <v>760.5</v>
      </c>
      <c r="M91" s="15">
        <f t="shared" ca="1" si="51"/>
        <v>0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>
        <f t="shared" ca="1" si="62"/>
        <v>30</v>
      </c>
      <c r="Y91" s="15">
        <f t="shared" ca="1" si="63"/>
        <v>0</v>
      </c>
      <c r="Z91" s="16">
        <f t="shared" ca="1" si="64"/>
        <v>25.3</v>
      </c>
      <c r="AA91" s="15">
        <f t="shared" ca="1" si="65"/>
        <v>0</v>
      </c>
      <c r="AB91" s="9">
        <f t="shared" ca="1" si="66"/>
        <v>90</v>
      </c>
      <c r="AC91" s="15">
        <f t="shared" ca="1" si="67"/>
        <v>0</v>
      </c>
      <c r="AD91" s="76">
        <f t="shared" ca="1" si="68"/>
        <v>3.1</v>
      </c>
      <c r="AE91" s="15">
        <f t="shared" ca="1" si="69"/>
        <v>0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>
        <f t="shared" ca="1" si="78"/>
        <v>90</v>
      </c>
      <c r="AO91" s="15">
        <f t="shared" ca="1" si="79"/>
        <v>0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19190401</v>
      </c>
      <c r="C92" s="72">
        <f t="shared" si="41"/>
        <v>700</v>
      </c>
      <c r="D92" s="16">
        <f t="shared" ca="1" si="42"/>
        <v>27.2</v>
      </c>
      <c r="E92" s="15">
        <f t="shared" ca="1" si="43"/>
        <v>0</v>
      </c>
      <c r="F92" s="73">
        <f t="shared" ca="1" si="44"/>
        <v>764.29</v>
      </c>
      <c r="G92" s="15">
        <f t="shared" ca="1" si="45"/>
        <v>0</v>
      </c>
      <c r="H92" s="73">
        <f t="shared" ca="1" si="46"/>
        <v>6.58</v>
      </c>
      <c r="I92" s="15">
        <f t="shared" ca="1" si="47"/>
        <v>0</v>
      </c>
      <c r="J92" s="73">
        <f t="shared" ca="1" si="48"/>
        <v>757.71</v>
      </c>
      <c r="K92" s="15">
        <f t="shared" ca="1" si="49"/>
        <v>0</v>
      </c>
      <c r="L92" s="16">
        <f t="shared" ca="1" si="50"/>
        <v>759.7</v>
      </c>
      <c r="M92" s="15">
        <f t="shared" ca="1" si="51"/>
        <v>0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>
        <f t="shared" ca="1" si="62"/>
        <v>31</v>
      </c>
      <c r="Y92" s="15">
        <f t="shared" ca="1" si="63"/>
        <v>0</v>
      </c>
      <c r="Z92" s="16">
        <f t="shared" ca="1" si="64"/>
        <v>25.3</v>
      </c>
      <c r="AA92" s="15">
        <f t="shared" ca="1" si="65"/>
        <v>0</v>
      </c>
      <c r="AB92" s="9">
        <f t="shared" ca="1" si="66"/>
        <v>90</v>
      </c>
      <c r="AC92" s="15">
        <f t="shared" ca="1" si="67"/>
        <v>0</v>
      </c>
      <c r="AD92" s="76">
        <f t="shared" ca="1" si="68"/>
        <v>5.0999999999999996</v>
      </c>
      <c r="AE92" s="15">
        <f t="shared" ca="1" si="69"/>
        <v>0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>
        <f t="shared" ca="1" si="78"/>
        <v>90</v>
      </c>
      <c r="AO92" s="15">
        <f t="shared" ca="1" si="79"/>
        <v>0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19190402</v>
      </c>
      <c r="C93" s="72">
        <f t="shared" si="41"/>
        <v>700</v>
      </c>
      <c r="D93" s="16">
        <f t="shared" ca="1" si="42"/>
        <v>26.9</v>
      </c>
      <c r="E93" s="15">
        <f t="shared" ca="1" si="43"/>
        <v>0</v>
      </c>
      <c r="F93" s="73">
        <f t="shared" ca="1" si="44"/>
        <v>764.54</v>
      </c>
      <c r="G93" s="15">
        <f t="shared" ca="1" si="45"/>
        <v>0</v>
      </c>
      <c r="H93" s="73">
        <f t="shared" ca="1" si="46"/>
        <v>6.55</v>
      </c>
      <c r="I93" s="15">
        <f t="shared" ca="1" si="47"/>
        <v>0</v>
      </c>
      <c r="J93" s="73">
        <f t="shared" ca="1" si="48"/>
        <v>757.99</v>
      </c>
      <c r="K93" s="15">
        <f t="shared" ca="1" si="49"/>
        <v>0</v>
      </c>
      <c r="L93" s="16">
        <f t="shared" ca="1" si="50"/>
        <v>760</v>
      </c>
      <c r="M93" s="15">
        <f t="shared" ca="1" si="51"/>
        <v>0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>
        <f t="shared" ca="1" si="62"/>
        <v>28.3</v>
      </c>
      <c r="Y93" s="15">
        <f t="shared" ca="1" si="63"/>
        <v>0</v>
      </c>
      <c r="Z93" s="16">
        <f t="shared" ca="1" si="64"/>
        <v>25.6</v>
      </c>
      <c r="AA93" s="15">
        <f t="shared" ca="1" si="65"/>
        <v>0</v>
      </c>
      <c r="AB93" s="9">
        <f t="shared" ca="1" si="66"/>
        <v>135</v>
      </c>
      <c r="AC93" s="15">
        <f t="shared" ca="1" si="67"/>
        <v>0</v>
      </c>
      <c r="AD93" s="76">
        <f t="shared" ca="1" si="68"/>
        <v>4.5999999999999996</v>
      </c>
      <c r="AE93" s="15">
        <f t="shared" ca="1" si="69"/>
        <v>0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>
        <f t="shared" ca="1" si="78"/>
        <v>90</v>
      </c>
      <c r="AO93" s="15">
        <f t="shared" ca="1" si="79"/>
        <v>0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19190403</v>
      </c>
      <c r="C94" s="72">
        <f t="shared" si="41"/>
        <v>700</v>
      </c>
      <c r="D94" s="16">
        <f t="shared" ca="1" si="42"/>
        <v>27.2</v>
      </c>
      <c r="E94" s="15">
        <f t="shared" ca="1" si="43"/>
        <v>0</v>
      </c>
      <c r="F94" s="73">
        <f t="shared" ca="1" si="44"/>
        <v>765.56</v>
      </c>
      <c r="G94" s="15">
        <f t="shared" ca="1" si="45"/>
        <v>0</v>
      </c>
      <c r="H94" s="73">
        <f t="shared" ca="1" si="46"/>
        <v>6.58</v>
      </c>
      <c r="I94" s="15">
        <f t="shared" ca="1" si="47"/>
        <v>0</v>
      </c>
      <c r="J94" s="73">
        <f t="shared" ca="1" si="48"/>
        <v>758.98</v>
      </c>
      <c r="K94" s="15">
        <f t="shared" ca="1" si="49"/>
        <v>0</v>
      </c>
      <c r="L94" s="16">
        <f t="shared" ca="1" si="50"/>
        <v>761</v>
      </c>
      <c r="M94" s="15">
        <f t="shared" ca="1" si="51"/>
        <v>0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>
        <f t="shared" ca="1" si="62"/>
        <v>30.7</v>
      </c>
      <c r="Y94" s="15">
        <f t="shared" ca="1" si="63"/>
        <v>0</v>
      </c>
      <c r="Z94" s="16">
        <f t="shared" ca="1" si="64"/>
        <v>25.6</v>
      </c>
      <c r="AA94" s="15">
        <f t="shared" ca="1" si="65"/>
        <v>0</v>
      </c>
      <c r="AB94" s="9">
        <f t="shared" ca="1" si="66"/>
        <v>90</v>
      </c>
      <c r="AC94" s="15">
        <f t="shared" ca="1" si="67"/>
        <v>0</v>
      </c>
      <c r="AD94" s="76">
        <f t="shared" ca="1" si="68"/>
        <v>5.0999999999999996</v>
      </c>
      <c r="AE94" s="15">
        <f t="shared" ca="1" si="69"/>
        <v>0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>
        <f t="shared" ca="1" si="78"/>
        <v>90</v>
      </c>
      <c r="AO94" s="15">
        <f t="shared" ca="1" si="79"/>
        <v>0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19190404</v>
      </c>
      <c r="C95" s="72">
        <f t="shared" si="41"/>
        <v>700</v>
      </c>
      <c r="D95" s="16">
        <f t="shared" ca="1" si="42"/>
        <v>26.9</v>
      </c>
      <c r="E95" s="15">
        <f t="shared" ca="1" si="43"/>
        <v>0</v>
      </c>
      <c r="F95" s="73">
        <f t="shared" ca="1" si="44"/>
        <v>764.79</v>
      </c>
      <c r="G95" s="15">
        <f t="shared" ca="1" si="45"/>
        <v>0</v>
      </c>
      <c r="H95" s="73">
        <f t="shared" ca="1" si="46"/>
        <v>6.55</v>
      </c>
      <c r="I95" s="15">
        <f t="shared" ca="1" si="47"/>
        <v>0</v>
      </c>
      <c r="J95" s="73">
        <f t="shared" ca="1" si="48"/>
        <v>758.24</v>
      </c>
      <c r="K95" s="15">
        <f t="shared" ca="1" si="49"/>
        <v>0</v>
      </c>
      <c r="L95" s="16">
        <f t="shared" ca="1" si="50"/>
        <v>760.2</v>
      </c>
      <c r="M95" s="15">
        <f t="shared" ca="1" si="51"/>
        <v>0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>
        <f t="shared" ca="1" si="62"/>
        <v>30.2</v>
      </c>
      <c r="Y95" s="15">
        <f t="shared" ca="1" si="63"/>
        <v>0</v>
      </c>
      <c r="Z95" s="16">
        <f t="shared" ca="1" si="64"/>
        <v>24.2</v>
      </c>
      <c r="AA95" s="15">
        <f t="shared" ca="1" si="65"/>
        <v>0</v>
      </c>
      <c r="AB95" s="9">
        <f t="shared" ca="1" si="66"/>
        <v>90</v>
      </c>
      <c r="AC95" s="15">
        <f t="shared" ca="1" si="67"/>
        <v>0</v>
      </c>
      <c r="AD95" s="76">
        <f t="shared" ca="1" si="68"/>
        <v>4.0999999999999996</v>
      </c>
      <c r="AE95" s="15">
        <f t="shared" ca="1" si="69"/>
        <v>0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>
        <f t="shared" ca="1" si="78"/>
        <v>90</v>
      </c>
      <c r="AO95" s="15">
        <f t="shared" ca="1" si="79"/>
        <v>0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19190405</v>
      </c>
      <c r="C96" s="72">
        <f t="shared" si="41"/>
        <v>700</v>
      </c>
      <c r="D96" s="16">
        <f t="shared" ca="1" si="42"/>
        <v>27.5</v>
      </c>
      <c r="E96" s="15">
        <f t="shared" ca="1" si="43"/>
        <v>0</v>
      </c>
      <c r="F96" s="73">
        <f t="shared" ca="1" si="44"/>
        <v>764.79</v>
      </c>
      <c r="G96" s="15">
        <f t="shared" ca="1" si="45"/>
        <v>0</v>
      </c>
      <c r="H96" s="73">
        <f t="shared" ca="1" si="46"/>
        <v>6.6</v>
      </c>
      <c r="I96" s="15">
        <f t="shared" ca="1" si="47"/>
        <v>0</v>
      </c>
      <c r="J96" s="73">
        <f t="shared" ca="1" si="48"/>
        <v>758.19</v>
      </c>
      <c r="K96" s="15">
        <f t="shared" ca="1" si="49"/>
        <v>0</v>
      </c>
      <c r="L96" s="16">
        <f t="shared" ca="1" si="50"/>
        <v>760.2</v>
      </c>
      <c r="M96" s="15">
        <f t="shared" ca="1" si="51"/>
        <v>0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>
        <f t="shared" ca="1" si="62"/>
        <v>30</v>
      </c>
      <c r="Y96" s="15">
        <f t="shared" ca="1" si="63"/>
        <v>0</v>
      </c>
      <c r="Z96" s="16">
        <f t="shared" ca="1" si="64"/>
        <v>25.2</v>
      </c>
      <c r="AA96" s="15">
        <f t="shared" ca="1" si="65"/>
        <v>0</v>
      </c>
      <c r="AB96" s="9">
        <f t="shared" ca="1" si="66"/>
        <v>45</v>
      </c>
      <c r="AC96" s="15">
        <f t="shared" ca="1" si="67"/>
        <v>0</v>
      </c>
      <c r="AD96" s="76">
        <f t="shared" ca="1" si="68"/>
        <v>6.2</v>
      </c>
      <c r="AE96" s="15">
        <f t="shared" ca="1" si="69"/>
        <v>0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>
        <f t="shared" ca="1" si="78"/>
        <v>90</v>
      </c>
      <c r="AO96" s="15">
        <f t="shared" ca="1" si="79"/>
        <v>0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19190406</v>
      </c>
      <c r="C97" s="72">
        <f t="shared" si="41"/>
        <v>700</v>
      </c>
      <c r="D97" s="16">
        <f t="shared" ca="1" si="42"/>
        <v>27.5</v>
      </c>
      <c r="E97" s="15">
        <f t="shared" ca="1" si="43"/>
        <v>0</v>
      </c>
      <c r="F97" s="73">
        <f t="shared" ca="1" si="44"/>
        <v>763.73</v>
      </c>
      <c r="G97" s="15">
        <f t="shared" ca="1" si="45"/>
        <v>0</v>
      </c>
      <c r="H97" s="73">
        <f t="shared" ca="1" si="46"/>
        <v>6.6</v>
      </c>
      <c r="I97" s="15">
        <f t="shared" ca="1" si="47"/>
        <v>0</v>
      </c>
      <c r="J97" s="73">
        <f t="shared" ca="1" si="48"/>
        <v>757.12</v>
      </c>
      <c r="K97" s="15">
        <f t="shared" ca="1" si="49"/>
        <v>0</v>
      </c>
      <c r="L97" s="16">
        <f t="shared" ca="1" si="50"/>
        <v>759.2</v>
      </c>
      <c r="M97" s="15">
        <f t="shared" ca="1" si="51"/>
        <v>0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>
        <f t="shared" ca="1" si="62"/>
        <v>30.7</v>
      </c>
      <c r="Y97" s="15">
        <f t="shared" ca="1" si="63"/>
        <v>0</v>
      </c>
      <c r="Z97" s="16">
        <f t="shared" ca="1" si="64"/>
        <v>25.3</v>
      </c>
      <c r="AA97" s="15">
        <f t="shared" ca="1" si="65"/>
        <v>0</v>
      </c>
      <c r="AB97" s="9">
        <f t="shared" ca="1" si="66"/>
        <v>90</v>
      </c>
      <c r="AC97" s="15">
        <f t="shared" ca="1" si="67"/>
        <v>0</v>
      </c>
      <c r="AD97" s="76">
        <f t="shared" ca="1" si="68"/>
        <v>4.0999999999999996</v>
      </c>
      <c r="AE97" s="15">
        <f t="shared" ca="1" si="69"/>
        <v>0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>
        <f t="shared" ca="1" si="78"/>
        <v>90</v>
      </c>
      <c r="AO97" s="15">
        <f t="shared" ca="1" si="79"/>
        <v>0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19190407</v>
      </c>
      <c r="C98" s="72">
        <f t="shared" si="41"/>
        <v>700</v>
      </c>
      <c r="D98" s="16">
        <f t="shared" ca="1" si="42"/>
        <v>27.8</v>
      </c>
      <c r="E98" s="15">
        <f t="shared" ca="1" si="43"/>
        <v>0</v>
      </c>
      <c r="F98" s="73">
        <f t="shared" ca="1" si="44"/>
        <v>765.51</v>
      </c>
      <c r="G98" s="15">
        <f t="shared" ca="1" si="45"/>
        <v>0</v>
      </c>
      <c r="H98" s="73">
        <f t="shared" ca="1" si="46"/>
        <v>6.65</v>
      </c>
      <c r="I98" s="15">
        <f t="shared" ca="1" si="47"/>
        <v>0</v>
      </c>
      <c r="J98" s="73">
        <f t="shared" ca="1" si="48"/>
        <v>758.85</v>
      </c>
      <c r="K98" s="15">
        <f t="shared" ca="1" si="49"/>
        <v>0</v>
      </c>
      <c r="L98" s="16">
        <f t="shared" ca="1" si="50"/>
        <v>761</v>
      </c>
      <c r="M98" s="15">
        <f t="shared" ca="1" si="51"/>
        <v>0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>
        <f t="shared" ca="1" si="62"/>
        <v>30.2</v>
      </c>
      <c r="Y98" s="15">
        <f t="shared" ca="1" si="63"/>
        <v>0</v>
      </c>
      <c r="Z98" s="16">
        <f t="shared" ca="1" si="64"/>
        <v>25.3</v>
      </c>
      <c r="AA98" s="15">
        <f t="shared" ca="1" si="65"/>
        <v>0</v>
      </c>
      <c r="AB98" s="9">
        <f t="shared" ca="1" si="66"/>
        <v>90</v>
      </c>
      <c r="AC98" s="15">
        <f t="shared" ca="1" si="67"/>
        <v>0</v>
      </c>
      <c r="AD98" s="76">
        <f t="shared" ca="1" si="68"/>
        <v>4.0999999999999996</v>
      </c>
      <c r="AE98" s="15">
        <f t="shared" ca="1" si="69"/>
        <v>0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>
        <f t="shared" ca="1" si="78"/>
        <v>90</v>
      </c>
      <c r="AO98" s="15">
        <f t="shared" ca="1" si="79"/>
        <v>0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19190408</v>
      </c>
      <c r="C99" s="72">
        <f t="shared" si="41"/>
        <v>700</v>
      </c>
      <c r="D99" s="16">
        <f t="shared" ca="1" si="42"/>
        <v>27.8</v>
      </c>
      <c r="E99" s="15">
        <f t="shared" ca="1" si="43"/>
        <v>0</v>
      </c>
      <c r="F99" s="73">
        <f t="shared" ca="1" si="44"/>
        <v>764.31</v>
      </c>
      <c r="G99" s="15">
        <f t="shared" ca="1" si="45"/>
        <v>0</v>
      </c>
      <c r="H99" s="73">
        <f t="shared" ca="1" si="46"/>
        <v>6.65</v>
      </c>
      <c r="I99" s="15">
        <f t="shared" ca="1" si="47"/>
        <v>0</v>
      </c>
      <c r="J99" s="73">
        <f t="shared" ca="1" si="48"/>
        <v>757.66</v>
      </c>
      <c r="K99" s="15">
        <f t="shared" ca="1" si="49"/>
        <v>0</v>
      </c>
      <c r="L99" s="16">
        <f t="shared" ca="1" si="50"/>
        <v>759.7</v>
      </c>
      <c r="M99" s="15">
        <f t="shared" ca="1" si="51"/>
        <v>0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>
        <f t="shared" ca="1" si="62"/>
        <v>31</v>
      </c>
      <c r="Y99" s="15">
        <f t="shared" ca="1" si="63"/>
        <v>0</v>
      </c>
      <c r="Z99" s="16">
        <f t="shared" ca="1" si="64"/>
        <v>25.7</v>
      </c>
      <c r="AA99" s="15">
        <f t="shared" ca="1" si="65"/>
        <v>0</v>
      </c>
      <c r="AB99" s="9">
        <f t="shared" ca="1" si="66"/>
        <v>45</v>
      </c>
      <c r="AC99" s="15">
        <f t="shared" ca="1" si="67"/>
        <v>0</v>
      </c>
      <c r="AD99" s="76">
        <f t="shared" ca="1" si="68"/>
        <v>5.0999999999999996</v>
      </c>
      <c r="AE99" s="15">
        <f t="shared" ca="1" si="69"/>
        <v>0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>
        <f t="shared" ca="1" si="78"/>
        <v>90</v>
      </c>
      <c r="AO99" s="15">
        <f t="shared" ca="1" si="79"/>
        <v>0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19190409</v>
      </c>
      <c r="C100" s="72">
        <f t="shared" si="41"/>
        <v>700</v>
      </c>
      <c r="D100" s="16">
        <f t="shared" ca="1" si="42"/>
        <v>27.8</v>
      </c>
      <c r="E100" s="15">
        <f t="shared" ca="1" si="43"/>
        <v>0</v>
      </c>
      <c r="F100" s="73">
        <f t="shared" ca="1" si="44"/>
        <v>763.85</v>
      </c>
      <c r="G100" s="15">
        <f t="shared" ca="1" si="45"/>
        <v>0</v>
      </c>
      <c r="H100" s="73">
        <f t="shared" ca="1" si="46"/>
        <v>6.65</v>
      </c>
      <c r="I100" s="15">
        <f t="shared" ca="1" si="47"/>
        <v>0</v>
      </c>
      <c r="J100" s="73">
        <f t="shared" ca="1" si="48"/>
        <v>757.2</v>
      </c>
      <c r="K100" s="15">
        <f t="shared" ca="1" si="49"/>
        <v>0</v>
      </c>
      <c r="L100" s="16">
        <f t="shared" ca="1" si="50"/>
        <v>759.2</v>
      </c>
      <c r="M100" s="15">
        <f t="shared" ca="1" si="51"/>
        <v>0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>
        <f t="shared" ca="1" si="62"/>
        <v>31.1</v>
      </c>
      <c r="Y100" s="15">
        <f t="shared" ca="1" si="63"/>
        <v>0</v>
      </c>
      <c r="Z100" s="16">
        <f t="shared" ca="1" si="64"/>
        <v>25.7</v>
      </c>
      <c r="AA100" s="15">
        <f t="shared" ca="1" si="65"/>
        <v>0</v>
      </c>
      <c r="AB100" s="9">
        <f t="shared" ca="1" si="66"/>
        <v>90</v>
      </c>
      <c r="AC100" s="15">
        <f t="shared" ca="1" si="67"/>
        <v>0</v>
      </c>
      <c r="AD100" s="76">
        <f t="shared" ca="1" si="68"/>
        <v>5.0999999999999996</v>
      </c>
      <c r="AE100" s="15">
        <f t="shared" ca="1" si="69"/>
        <v>0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>
        <f t="shared" ca="1" si="78"/>
        <v>90</v>
      </c>
      <c r="AO100" s="15">
        <f t="shared" ca="1" si="79"/>
        <v>0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19190410</v>
      </c>
      <c r="C101" s="72">
        <f t="shared" si="41"/>
        <v>700</v>
      </c>
      <c r="D101" s="16">
        <f t="shared" ca="1" si="42"/>
        <v>27.8</v>
      </c>
      <c r="E101" s="15">
        <f t="shared" ca="1" si="43"/>
        <v>0</v>
      </c>
      <c r="F101" s="73">
        <f t="shared" ca="1" si="44"/>
        <v>763.24</v>
      </c>
      <c r="G101" s="15">
        <f t="shared" ca="1" si="45"/>
        <v>0</v>
      </c>
      <c r="H101" s="73">
        <f t="shared" ca="1" si="46"/>
        <v>6.65</v>
      </c>
      <c r="I101" s="15">
        <f t="shared" ca="1" si="47"/>
        <v>0</v>
      </c>
      <c r="J101" s="73">
        <f t="shared" ca="1" si="48"/>
        <v>756.59</v>
      </c>
      <c r="K101" s="15">
        <f t="shared" ca="1" si="49"/>
        <v>0</v>
      </c>
      <c r="L101" s="16">
        <f t="shared" ca="1" si="50"/>
        <v>758.7</v>
      </c>
      <c r="M101" s="15">
        <f t="shared" ca="1" si="51"/>
        <v>0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>
        <f t="shared" ca="1" si="62"/>
        <v>30.1</v>
      </c>
      <c r="Y101" s="15">
        <f t="shared" ca="1" si="63"/>
        <v>0</v>
      </c>
      <c r="Z101" s="16">
        <f t="shared" ca="1" si="64"/>
        <v>24.8</v>
      </c>
      <c r="AA101" s="15">
        <f t="shared" ca="1" si="65"/>
        <v>0</v>
      </c>
      <c r="AB101" s="9">
        <f t="shared" ca="1" si="66"/>
        <v>45</v>
      </c>
      <c r="AC101" s="15">
        <f t="shared" ca="1" si="67"/>
        <v>0</v>
      </c>
      <c r="AD101" s="76">
        <f t="shared" ca="1" si="68"/>
        <v>4.0999999999999996</v>
      </c>
      <c r="AE101" s="15">
        <f t="shared" ca="1" si="69"/>
        <v>0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>
        <f t="shared" ca="1" si="78"/>
        <v>90</v>
      </c>
      <c r="AO101" s="15">
        <f t="shared" ca="1" si="79"/>
        <v>0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19190411</v>
      </c>
      <c r="C102" s="72">
        <f t="shared" si="41"/>
        <v>700</v>
      </c>
      <c r="D102" s="16">
        <f t="shared" ca="1" si="42"/>
        <v>27.5</v>
      </c>
      <c r="E102" s="15">
        <f t="shared" ca="1" si="43"/>
        <v>0</v>
      </c>
      <c r="F102" s="73">
        <f t="shared" ca="1" si="44"/>
        <v>764.59</v>
      </c>
      <c r="G102" s="15">
        <f t="shared" ca="1" si="45"/>
        <v>0</v>
      </c>
      <c r="H102" s="73">
        <f t="shared" ca="1" si="46"/>
        <v>6.6</v>
      </c>
      <c r="I102" s="15">
        <f t="shared" ca="1" si="47"/>
        <v>0</v>
      </c>
      <c r="J102" s="73">
        <f t="shared" ca="1" si="48"/>
        <v>757.99</v>
      </c>
      <c r="K102" s="15">
        <f t="shared" ca="1" si="49"/>
        <v>0</v>
      </c>
      <c r="L102" s="16">
        <f t="shared" ca="1" si="50"/>
        <v>760</v>
      </c>
      <c r="M102" s="15">
        <f t="shared" ca="1" si="51"/>
        <v>0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>
        <f t="shared" ca="1" si="62"/>
        <v>28.3</v>
      </c>
      <c r="Y102" s="15">
        <f t="shared" ca="1" si="63"/>
        <v>0</v>
      </c>
      <c r="Z102" s="16">
        <f t="shared" ca="1" si="64"/>
        <v>24.6</v>
      </c>
      <c r="AA102" s="15">
        <f t="shared" ca="1" si="65"/>
        <v>0</v>
      </c>
      <c r="AB102" s="9">
        <f t="shared" ca="1" si="66"/>
        <v>45</v>
      </c>
      <c r="AC102" s="15">
        <f t="shared" ca="1" si="67"/>
        <v>0</v>
      </c>
      <c r="AD102" s="76">
        <f t="shared" ca="1" si="68"/>
        <v>4.5999999999999996</v>
      </c>
      <c r="AE102" s="15">
        <f t="shared" ca="1" si="69"/>
        <v>0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>
        <f t="shared" ca="1" si="78"/>
        <v>45</v>
      </c>
      <c r="AO102" s="15">
        <f t="shared" ca="1" si="79"/>
        <v>0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19190412</v>
      </c>
      <c r="C103" s="72">
        <f t="shared" si="41"/>
        <v>700</v>
      </c>
      <c r="D103" s="16">
        <f t="shared" ca="1" si="42"/>
        <v>27.8</v>
      </c>
      <c r="E103" s="15">
        <f t="shared" ca="1" si="43"/>
        <v>0</v>
      </c>
      <c r="F103" s="73">
        <f t="shared" ca="1" si="44"/>
        <v>765.4</v>
      </c>
      <c r="G103" s="15">
        <f t="shared" ca="1" si="45"/>
        <v>0</v>
      </c>
      <c r="H103" s="73">
        <f t="shared" ca="1" si="46"/>
        <v>6.65</v>
      </c>
      <c r="I103" s="15">
        <f t="shared" ca="1" si="47"/>
        <v>0</v>
      </c>
      <c r="J103" s="73">
        <f t="shared" ca="1" si="48"/>
        <v>758.75</v>
      </c>
      <c r="K103" s="15">
        <f t="shared" ca="1" si="49"/>
        <v>0</v>
      </c>
      <c r="L103" s="16">
        <f t="shared" ca="1" si="50"/>
        <v>760.7</v>
      </c>
      <c r="M103" s="15">
        <f t="shared" ca="1" si="51"/>
        <v>0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>
        <f t="shared" ca="1" si="62"/>
        <v>30.6</v>
      </c>
      <c r="Y103" s="15">
        <f t="shared" ca="1" si="63"/>
        <v>0</v>
      </c>
      <c r="Z103" s="16">
        <f t="shared" ca="1" si="64"/>
        <v>24.7</v>
      </c>
      <c r="AA103" s="15">
        <f t="shared" ca="1" si="65"/>
        <v>0</v>
      </c>
      <c r="AB103" s="9">
        <f t="shared" ca="1" si="66"/>
        <v>90</v>
      </c>
      <c r="AC103" s="15">
        <f t="shared" ca="1" si="67"/>
        <v>0</v>
      </c>
      <c r="AD103" s="76">
        <f t="shared" ca="1" si="68"/>
        <v>6.2</v>
      </c>
      <c r="AE103" s="15">
        <f t="shared" ca="1" si="69"/>
        <v>0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>
        <f t="shared" ca="1" si="78"/>
        <v>90</v>
      </c>
      <c r="AO103" s="15">
        <f t="shared" ca="1" si="79"/>
        <v>0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19190413</v>
      </c>
      <c r="C104" s="72">
        <f t="shared" si="41"/>
        <v>700</v>
      </c>
      <c r="D104" s="16">
        <f t="shared" ca="1" si="42"/>
        <v>27.5</v>
      </c>
      <c r="E104" s="15">
        <f t="shared" ca="1" si="43"/>
        <v>0</v>
      </c>
      <c r="F104" s="73">
        <f t="shared" ca="1" si="44"/>
        <v>765.48</v>
      </c>
      <c r="G104" s="15">
        <f t="shared" ca="1" si="45"/>
        <v>0</v>
      </c>
      <c r="H104" s="73">
        <f t="shared" ca="1" si="46"/>
        <v>6.6</v>
      </c>
      <c r="I104" s="15">
        <f t="shared" ca="1" si="47"/>
        <v>0</v>
      </c>
      <c r="J104" s="73">
        <f t="shared" ca="1" si="48"/>
        <v>758.88</v>
      </c>
      <c r="K104" s="15">
        <f t="shared" ca="1" si="49"/>
        <v>0</v>
      </c>
      <c r="L104" s="16">
        <f t="shared" ca="1" si="50"/>
        <v>761</v>
      </c>
      <c r="M104" s="15">
        <f t="shared" ca="1" si="51"/>
        <v>0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>
        <f t="shared" ca="1" si="62"/>
        <v>30.5</v>
      </c>
      <c r="Y104" s="15">
        <f t="shared" ca="1" si="63"/>
        <v>0</v>
      </c>
      <c r="Z104" s="16">
        <f t="shared" ca="1" si="64"/>
        <v>26</v>
      </c>
      <c r="AA104" s="15">
        <f t="shared" ca="1" si="65"/>
        <v>0</v>
      </c>
      <c r="AB104" s="9">
        <f t="shared" ca="1" si="66"/>
        <v>45</v>
      </c>
      <c r="AC104" s="15">
        <f t="shared" ca="1" si="67"/>
        <v>0</v>
      </c>
      <c r="AD104" s="76">
        <f t="shared" ca="1" si="68"/>
        <v>6.2</v>
      </c>
      <c r="AE104" s="15">
        <f t="shared" ca="1" si="69"/>
        <v>0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>
        <f t="shared" ca="1" si="78"/>
        <v>90</v>
      </c>
      <c r="AO104" s="15">
        <f t="shared" ca="1" si="79"/>
        <v>0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19190414</v>
      </c>
      <c r="C105" s="72">
        <f t="shared" si="41"/>
        <v>700</v>
      </c>
      <c r="D105" s="16">
        <f t="shared" ca="1" si="42"/>
        <v>27.5</v>
      </c>
      <c r="E105" s="15">
        <f t="shared" ca="1" si="43"/>
        <v>0</v>
      </c>
      <c r="F105" s="73">
        <f t="shared" ca="1" si="44"/>
        <v>763.5</v>
      </c>
      <c r="G105" s="15">
        <f t="shared" ca="1" si="45"/>
        <v>0</v>
      </c>
      <c r="H105" s="73">
        <f t="shared" ca="1" si="46"/>
        <v>6.6</v>
      </c>
      <c r="I105" s="15">
        <f t="shared" ca="1" si="47"/>
        <v>0</v>
      </c>
      <c r="J105" s="73">
        <f t="shared" ca="1" si="48"/>
        <v>756.89</v>
      </c>
      <c r="K105" s="15">
        <f t="shared" ca="1" si="49"/>
        <v>0</v>
      </c>
      <c r="L105" s="16">
        <f t="shared" ca="1" si="50"/>
        <v>759</v>
      </c>
      <c r="M105" s="15">
        <f t="shared" ca="1" si="51"/>
        <v>0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>
        <f t="shared" ca="1" si="62"/>
        <v>30.4</v>
      </c>
      <c r="Y105" s="15">
        <f t="shared" ca="1" si="63"/>
        <v>0</v>
      </c>
      <c r="Z105" s="16">
        <f t="shared" ca="1" si="64"/>
        <v>25.6</v>
      </c>
      <c r="AA105" s="15">
        <f t="shared" ca="1" si="65"/>
        <v>0</v>
      </c>
      <c r="AB105" s="9">
        <f t="shared" ca="1" si="66"/>
        <v>90</v>
      </c>
      <c r="AC105" s="15">
        <f t="shared" ca="1" si="67"/>
        <v>0</v>
      </c>
      <c r="AD105" s="76">
        <f t="shared" ca="1" si="68"/>
        <v>6.2</v>
      </c>
      <c r="AE105" s="15">
        <f t="shared" ca="1" si="69"/>
        <v>0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>
        <f t="shared" ca="1" si="78"/>
        <v>90</v>
      </c>
      <c r="AO105" s="15">
        <f t="shared" ca="1" si="79"/>
        <v>0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19190415</v>
      </c>
      <c r="C106" s="72">
        <f t="shared" si="41"/>
        <v>700</v>
      </c>
      <c r="D106" s="16">
        <f t="shared" ca="1" si="42"/>
        <v>27.5</v>
      </c>
      <c r="E106" s="15">
        <f t="shared" ca="1" si="43"/>
        <v>0</v>
      </c>
      <c r="F106" s="73">
        <f t="shared" ca="1" si="44"/>
        <v>763.27</v>
      </c>
      <c r="G106" s="15">
        <f t="shared" ca="1" si="45"/>
        <v>0</v>
      </c>
      <c r="H106" s="73">
        <f t="shared" ca="1" si="46"/>
        <v>6.6</v>
      </c>
      <c r="I106" s="15">
        <f t="shared" ca="1" si="47"/>
        <v>0</v>
      </c>
      <c r="J106" s="73">
        <f t="shared" ca="1" si="48"/>
        <v>756.67</v>
      </c>
      <c r="K106" s="15">
        <f t="shared" ca="1" si="49"/>
        <v>0</v>
      </c>
      <c r="L106" s="16">
        <f t="shared" ca="1" si="50"/>
        <v>758.7</v>
      </c>
      <c r="M106" s="15">
        <f t="shared" ca="1" si="51"/>
        <v>0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>
        <f t="shared" ca="1" si="62"/>
        <v>29.9</v>
      </c>
      <c r="Y106" s="15">
        <f t="shared" ca="1" si="63"/>
        <v>0</v>
      </c>
      <c r="Z106" s="16">
        <f t="shared" ca="1" si="64"/>
        <v>25.6</v>
      </c>
      <c r="AA106" s="15">
        <f t="shared" ca="1" si="65"/>
        <v>0</v>
      </c>
      <c r="AB106" s="9">
        <f t="shared" ca="1" si="66"/>
        <v>90</v>
      </c>
      <c r="AC106" s="15">
        <f t="shared" ca="1" si="67"/>
        <v>0</v>
      </c>
      <c r="AD106" s="76">
        <f t="shared" ca="1" si="68"/>
        <v>5.0999999999999996</v>
      </c>
      <c r="AE106" s="15">
        <f t="shared" ca="1" si="69"/>
        <v>0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>
        <f t="shared" ca="1" si="78"/>
        <v>90</v>
      </c>
      <c r="AO106" s="15">
        <f t="shared" ca="1" si="79"/>
        <v>0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19190416</v>
      </c>
      <c r="C107" s="72">
        <f t="shared" si="41"/>
        <v>700</v>
      </c>
      <c r="D107" s="16">
        <f t="shared" ca="1" si="42"/>
        <v>27.5</v>
      </c>
      <c r="E107" s="15">
        <f t="shared" ca="1" si="43"/>
        <v>0</v>
      </c>
      <c r="F107" s="73">
        <f t="shared" ca="1" si="44"/>
        <v>763.8</v>
      </c>
      <c r="G107" s="15">
        <f t="shared" ca="1" si="45"/>
        <v>0</v>
      </c>
      <c r="H107" s="73">
        <f t="shared" ca="1" si="46"/>
        <v>6.6</v>
      </c>
      <c r="I107" s="15">
        <f t="shared" ca="1" si="47"/>
        <v>0</v>
      </c>
      <c r="J107" s="73">
        <f t="shared" ca="1" si="48"/>
        <v>757.2</v>
      </c>
      <c r="K107" s="15">
        <f t="shared" ca="1" si="49"/>
        <v>0</v>
      </c>
      <c r="L107" s="16">
        <f t="shared" ca="1" si="50"/>
        <v>759.2</v>
      </c>
      <c r="M107" s="15">
        <f t="shared" ca="1" si="51"/>
        <v>0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>
        <f t="shared" ca="1" si="62"/>
        <v>29.6</v>
      </c>
      <c r="Y107" s="15">
        <f t="shared" ca="1" si="63"/>
        <v>0</v>
      </c>
      <c r="Z107" s="16">
        <f t="shared" ca="1" si="64"/>
        <v>25.9</v>
      </c>
      <c r="AA107" s="15">
        <f t="shared" ca="1" si="65"/>
        <v>0</v>
      </c>
      <c r="AB107" s="9">
        <f t="shared" ca="1" si="66"/>
        <v>135</v>
      </c>
      <c r="AC107" s="15">
        <f t="shared" ca="1" si="67"/>
        <v>0</v>
      </c>
      <c r="AD107" s="76">
        <f t="shared" ca="1" si="68"/>
        <v>5.0999999999999996</v>
      </c>
      <c r="AE107" s="15">
        <f t="shared" ca="1" si="69"/>
        <v>0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>
        <f t="shared" ca="1" si="78"/>
        <v>90</v>
      </c>
      <c r="AO107" s="15">
        <f t="shared" ca="1" si="79"/>
        <v>0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19190417</v>
      </c>
      <c r="C108" s="72">
        <f t="shared" si="41"/>
        <v>700</v>
      </c>
      <c r="D108" s="16">
        <f t="shared" ca="1" si="42"/>
        <v>27.8</v>
      </c>
      <c r="E108" s="15">
        <f t="shared" ca="1" si="43"/>
        <v>0</v>
      </c>
      <c r="F108" s="73">
        <f t="shared" ca="1" si="44"/>
        <v>764.54</v>
      </c>
      <c r="G108" s="15">
        <f t="shared" ca="1" si="45"/>
        <v>0</v>
      </c>
      <c r="H108" s="73">
        <f t="shared" ca="1" si="46"/>
        <v>6.65</v>
      </c>
      <c r="I108" s="15">
        <f t="shared" ca="1" si="47"/>
        <v>0</v>
      </c>
      <c r="J108" s="73">
        <f t="shared" ca="1" si="48"/>
        <v>757.89</v>
      </c>
      <c r="K108" s="15">
        <f t="shared" ca="1" si="49"/>
        <v>0</v>
      </c>
      <c r="L108" s="16">
        <f t="shared" ca="1" si="50"/>
        <v>760</v>
      </c>
      <c r="M108" s="15">
        <f t="shared" ca="1" si="51"/>
        <v>0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>
        <f t="shared" ca="1" si="62"/>
        <v>30.7</v>
      </c>
      <c r="Y108" s="15">
        <f t="shared" ca="1" si="63"/>
        <v>0</v>
      </c>
      <c r="Z108" s="16">
        <f t="shared" ca="1" si="64"/>
        <v>26.1</v>
      </c>
      <c r="AA108" s="15">
        <f t="shared" ca="1" si="65"/>
        <v>0</v>
      </c>
      <c r="AB108" s="9">
        <f t="shared" ca="1" si="66"/>
        <v>90</v>
      </c>
      <c r="AC108" s="15">
        <f t="shared" ca="1" si="67"/>
        <v>0</v>
      </c>
      <c r="AD108" s="76">
        <f t="shared" ca="1" si="68"/>
        <v>6.2</v>
      </c>
      <c r="AE108" s="15">
        <f t="shared" ca="1" si="69"/>
        <v>0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>
        <f t="shared" ca="1" si="78"/>
        <v>90</v>
      </c>
      <c r="AO108" s="15">
        <f t="shared" ca="1" si="79"/>
        <v>0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19190418</v>
      </c>
      <c r="C109" s="72">
        <f t="shared" si="41"/>
        <v>700</v>
      </c>
      <c r="D109" s="16">
        <f t="shared" ca="1" si="42"/>
        <v>27.5</v>
      </c>
      <c r="E109" s="15">
        <f t="shared" ca="1" si="43"/>
        <v>0</v>
      </c>
      <c r="F109" s="73">
        <f t="shared" ca="1" si="44"/>
        <v>763.98</v>
      </c>
      <c r="G109" s="15">
        <f t="shared" ca="1" si="45"/>
        <v>0</v>
      </c>
      <c r="H109" s="73">
        <f t="shared" ca="1" si="46"/>
        <v>6.6</v>
      </c>
      <c r="I109" s="15">
        <f t="shared" ca="1" si="47"/>
        <v>0</v>
      </c>
      <c r="J109" s="73">
        <f t="shared" ca="1" si="48"/>
        <v>757.38</v>
      </c>
      <c r="K109" s="15">
        <f t="shared" ca="1" si="49"/>
        <v>0</v>
      </c>
      <c r="L109" s="16">
        <f t="shared" ca="1" si="50"/>
        <v>759.5</v>
      </c>
      <c r="M109" s="15">
        <f t="shared" ca="1" si="51"/>
        <v>0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>
        <f t="shared" ca="1" si="62"/>
        <v>30.9</v>
      </c>
      <c r="Y109" s="15">
        <f t="shared" ca="1" si="63"/>
        <v>0</v>
      </c>
      <c r="Z109" s="16">
        <f t="shared" ca="1" si="64"/>
        <v>26.2</v>
      </c>
      <c r="AA109" s="15">
        <f t="shared" ca="1" si="65"/>
        <v>0</v>
      </c>
      <c r="AB109" s="9">
        <f t="shared" ca="1" si="66"/>
        <v>90</v>
      </c>
      <c r="AC109" s="15">
        <f t="shared" ca="1" si="67"/>
        <v>0</v>
      </c>
      <c r="AD109" s="76">
        <f t="shared" ca="1" si="68"/>
        <v>7.7</v>
      </c>
      <c r="AE109" s="15">
        <f t="shared" ca="1" si="69"/>
        <v>0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>
        <f t="shared" ca="1" si="78"/>
        <v>90</v>
      </c>
      <c r="AO109" s="15">
        <f t="shared" ca="1" si="79"/>
        <v>0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19190419</v>
      </c>
      <c r="C110" s="72">
        <f t="shared" si="41"/>
        <v>700</v>
      </c>
      <c r="D110" s="16">
        <f t="shared" ca="1" si="42"/>
        <v>27.5</v>
      </c>
      <c r="E110" s="15">
        <f t="shared" ca="1" si="43"/>
        <v>0</v>
      </c>
      <c r="F110" s="73">
        <f t="shared" ca="1" si="44"/>
        <v>763.7</v>
      </c>
      <c r="G110" s="15">
        <f t="shared" ca="1" si="45"/>
        <v>0</v>
      </c>
      <c r="H110" s="73">
        <f t="shared" ca="1" si="46"/>
        <v>6.6</v>
      </c>
      <c r="I110" s="15">
        <f t="shared" ca="1" si="47"/>
        <v>0</v>
      </c>
      <c r="J110" s="73">
        <f t="shared" ca="1" si="48"/>
        <v>757.1</v>
      </c>
      <c r="K110" s="15">
        <f t="shared" ca="1" si="49"/>
        <v>0</v>
      </c>
      <c r="L110" s="16">
        <f t="shared" ca="1" si="50"/>
        <v>759.2</v>
      </c>
      <c r="M110" s="15">
        <f t="shared" ca="1" si="51"/>
        <v>0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>
        <f t="shared" ca="1" si="62"/>
        <v>29.2</v>
      </c>
      <c r="Y110" s="15">
        <f t="shared" ca="1" si="63"/>
        <v>0</v>
      </c>
      <c r="Z110" s="16">
        <f t="shared" ca="1" si="64"/>
        <v>25.3</v>
      </c>
      <c r="AA110" s="15">
        <f t="shared" ca="1" si="65"/>
        <v>0</v>
      </c>
      <c r="AB110" s="9">
        <f t="shared" ca="1" si="66"/>
        <v>90</v>
      </c>
      <c r="AC110" s="15">
        <f t="shared" ca="1" si="67"/>
        <v>0</v>
      </c>
      <c r="AD110" s="76">
        <f t="shared" ca="1" si="68"/>
        <v>4.5999999999999996</v>
      </c>
      <c r="AE110" s="15">
        <f t="shared" ca="1" si="69"/>
        <v>0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>
        <f t="shared" ca="1" si="78"/>
        <v>90</v>
      </c>
      <c r="AO110" s="15">
        <f t="shared" ca="1" si="79"/>
        <v>0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19190420</v>
      </c>
      <c r="C111" s="72">
        <f t="shared" si="41"/>
        <v>700</v>
      </c>
      <c r="D111" s="16">
        <f t="shared" ca="1" si="42"/>
        <v>27.2</v>
      </c>
      <c r="E111" s="15">
        <f t="shared" ca="1" si="43"/>
        <v>0</v>
      </c>
      <c r="F111" s="73">
        <f t="shared" ca="1" si="44"/>
        <v>764.34</v>
      </c>
      <c r="G111" s="15">
        <f t="shared" ca="1" si="45"/>
        <v>0</v>
      </c>
      <c r="H111" s="73">
        <f t="shared" ca="1" si="46"/>
        <v>6.58</v>
      </c>
      <c r="I111" s="15">
        <f t="shared" ca="1" si="47"/>
        <v>0</v>
      </c>
      <c r="J111" s="73">
        <f t="shared" ca="1" si="48"/>
        <v>757.76</v>
      </c>
      <c r="K111" s="15">
        <f t="shared" ca="1" si="49"/>
        <v>0</v>
      </c>
      <c r="L111" s="16">
        <f t="shared" ca="1" si="50"/>
        <v>759.7</v>
      </c>
      <c r="M111" s="15">
        <f t="shared" ca="1" si="51"/>
        <v>0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>
        <f t="shared" ca="1" si="62"/>
        <v>29.5</v>
      </c>
      <c r="Y111" s="15">
        <f t="shared" ca="1" si="63"/>
        <v>0</v>
      </c>
      <c r="Z111" s="16">
        <f t="shared" ca="1" si="64"/>
        <v>25.2</v>
      </c>
      <c r="AA111" s="15">
        <f t="shared" ca="1" si="65"/>
        <v>0</v>
      </c>
      <c r="AB111" s="9">
        <f t="shared" ca="1" si="66"/>
        <v>135</v>
      </c>
      <c r="AC111" s="15">
        <f t="shared" ca="1" si="67"/>
        <v>0</v>
      </c>
      <c r="AD111" s="76">
        <f t="shared" ca="1" si="68"/>
        <v>4.0999999999999996</v>
      </c>
      <c r="AE111" s="15">
        <f t="shared" ca="1" si="69"/>
        <v>0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>
        <f t="shared" ca="1" si="78"/>
        <v>90</v>
      </c>
      <c r="AO111" s="15">
        <f t="shared" ca="1" si="79"/>
        <v>0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19190421</v>
      </c>
      <c r="C112" s="72">
        <f t="shared" si="41"/>
        <v>700</v>
      </c>
      <c r="D112" s="16">
        <f t="shared" ca="1" si="42"/>
        <v>27.5</v>
      </c>
      <c r="E112" s="15">
        <f t="shared" ca="1" si="43"/>
        <v>0</v>
      </c>
      <c r="F112" s="73">
        <f t="shared" ca="1" si="44"/>
        <v>763.75</v>
      </c>
      <c r="G112" s="15">
        <f t="shared" ca="1" si="45"/>
        <v>0</v>
      </c>
      <c r="H112" s="73">
        <f t="shared" ca="1" si="46"/>
        <v>6.6</v>
      </c>
      <c r="I112" s="15">
        <f t="shared" ca="1" si="47"/>
        <v>0</v>
      </c>
      <c r="J112" s="73">
        <f t="shared" ca="1" si="48"/>
        <v>757.15</v>
      </c>
      <c r="K112" s="15">
        <f t="shared" ca="1" si="49"/>
        <v>0</v>
      </c>
      <c r="L112" s="16">
        <f t="shared" ca="1" si="50"/>
        <v>759.2</v>
      </c>
      <c r="M112" s="15">
        <f t="shared" ca="1" si="51"/>
        <v>0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>
        <f t="shared" ca="1" si="62"/>
        <v>31</v>
      </c>
      <c r="Y112" s="15">
        <f t="shared" ca="1" si="63"/>
        <v>0</v>
      </c>
      <c r="Z112" s="16">
        <f t="shared" ca="1" si="64"/>
        <v>25.1</v>
      </c>
      <c r="AA112" s="15">
        <f t="shared" ca="1" si="65"/>
        <v>0</v>
      </c>
      <c r="AB112" s="9">
        <f t="shared" ca="1" si="66"/>
        <v>90</v>
      </c>
      <c r="AC112" s="15">
        <f t="shared" ca="1" si="67"/>
        <v>0</v>
      </c>
      <c r="AD112" s="76">
        <f t="shared" ca="1" si="68"/>
        <v>4.5999999999999996</v>
      </c>
      <c r="AE112" s="15">
        <f t="shared" ca="1" si="69"/>
        <v>0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>
        <f t="shared" ca="1" si="78"/>
        <v>90</v>
      </c>
      <c r="AO112" s="15">
        <f t="shared" ca="1" si="79"/>
        <v>0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19190422</v>
      </c>
      <c r="C113" s="72">
        <f t="shared" si="41"/>
        <v>700</v>
      </c>
      <c r="D113" s="16">
        <f t="shared" ca="1" si="42"/>
        <v>27.5</v>
      </c>
      <c r="E113" s="15">
        <f t="shared" ca="1" si="43"/>
        <v>0</v>
      </c>
      <c r="F113" s="73">
        <f t="shared" ca="1" si="44"/>
        <v>763.27</v>
      </c>
      <c r="G113" s="15">
        <f t="shared" ca="1" si="45"/>
        <v>0</v>
      </c>
      <c r="H113" s="73">
        <f t="shared" ca="1" si="46"/>
        <v>6.6</v>
      </c>
      <c r="I113" s="15">
        <f t="shared" ca="1" si="47"/>
        <v>0</v>
      </c>
      <c r="J113" s="73">
        <f t="shared" ca="1" si="48"/>
        <v>756.67</v>
      </c>
      <c r="K113" s="15">
        <f t="shared" ca="1" si="49"/>
        <v>0</v>
      </c>
      <c r="L113" s="16">
        <f t="shared" ca="1" si="50"/>
        <v>758.7</v>
      </c>
      <c r="M113" s="15">
        <f t="shared" ca="1" si="51"/>
        <v>0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>
        <f t="shared" ca="1" si="62"/>
        <v>30.7</v>
      </c>
      <c r="Y113" s="15">
        <f t="shared" ca="1" si="63"/>
        <v>0</v>
      </c>
      <c r="Z113" s="16">
        <f t="shared" ca="1" si="64"/>
        <v>25.3</v>
      </c>
      <c r="AA113" s="15">
        <f t="shared" ca="1" si="65"/>
        <v>0</v>
      </c>
      <c r="AB113" s="9">
        <f t="shared" ca="1" si="66"/>
        <v>90</v>
      </c>
      <c r="AC113" s="15">
        <f t="shared" ca="1" si="67"/>
        <v>0</v>
      </c>
      <c r="AD113" s="76">
        <f t="shared" ca="1" si="68"/>
        <v>4.5999999999999996</v>
      </c>
      <c r="AE113" s="15">
        <f t="shared" ca="1" si="69"/>
        <v>0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>
        <f t="shared" ca="1" si="78"/>
        <v>90</v>
      </c>
      <c r="AO113" s="15">
        <f t="shared" ca="1" si="79"/>
        <v>0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19190423</v>
      </c>
      <c r="C114" s="72">
        <f t="shared" si="41"/>
        <v>700</v>
      </c>
      <c r="D114" s="16">
        <f t="shared" ca="1" si="42"/>
        <v>27.5</v>
      </c>
      <c r="E114" s="15">
        <f t="shared" ca="1" si="43"/>
        <v>0</v>
      </c>
      <c r="F114" s="73">
        <f t="shared" ca="1" si="44"/>
        <v>763.52</v>
      </c>
      <c r="G114" s="15">
        <f t="shared" ca="1" si="45"/>
        <v>0</v>
      </c>
      <c r="H114" s="73">
        <f t="shared" ca="1" si="46"/>
        <v>6.6</v>
      </c>
      <c r="I114" s="15">
        <f t="shared" ca="1" si="47"/>
        <v>0</v>
      </c>
      <c r="J114" s="73">
        <f t="shared" ca="1" si="48"/>
        <v>756.92</v>
      </c>
      <c r="K114" s="15">
        <f t="shared" ca="1" si="49"/>
        <v>0</v>
      </c>
      <c r="L114" s="16">
        <f t="shared" ca="1" si="50"/>
        <v>759</v>
      </c>
      <c r="M114" s="15">
        <f t="shared" ca="1" si="51"/>
        <v>0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>
        <f t="shared" ca="1" si="62"/>
        <v>30</v>
      </c>
      <c r="Y114" s="15">
        <f t="shared" ca="1" si="63"/>
        <v>0</v>
      </c>
      <c r="Z114" s="16">
        <f t="shared" ca="1" si="64"/>
        <v>25.6</v>
      </c>
      <c r="AA114" s="15">
        <f t="shared" ca="1" si="65"/>
        <v>0</v>
      </c>
      <c r="AB114" s="9">
        <f t="shared" ca="1" si="66"/>
        <v>90</v>
      </c>
      <c r="AC114" s="15">
        <f t="shared" ca="1" si="67"/>
        <v>0</v>
      </c>
      <c r="AD114" s="76">
        <f t="shared" ca="1" si="68"/>
        <v>5.0999999999999996</v>
      </c>
      <c r="AE114" s="15">
        <f t="shared" ca="1" si="69"/>
        <v>0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>
        <f t="shared" ca="1" si="78"/>
        <v>90</v>
      </c>
      <c r="AO114" s="15">
        <f t="shared" ca="1" si="79"/>
        <v>0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19190424</v>
      </c>
      <c r="C115" s="72">
        <f t="shared" si="41"/>
        <v>700</v>
      </c>
      <c r="D115" s="16">
        <f t="shared" ca="1" si="42"/>
        <v>27.8</v>
      </c>
      <c r="E115" s="15">
        <f t="shared" ca="1" si="43"/>
        <v>0</v>
      </c>
      <c r="F115" s="73">
        <f t="shared" ca="1" si="44"/>
        <v>763.27</v>
      </c>
      <c r="G115" s="15">
        <f t="shared" ca="1" si="45"/>
        <v>0</v>
      </c>
      <c r="H115" s="73">
        <f t="shared" ca="1" si="46"/>
        <v>6.65</v>
      </c>
      <c r="I115" s="15">
        <f t="shared" ca="1" si="47"/>
        <v>0</v>
      </c>
      <c r="J115" s="73">
        <f t="shared" ca="1" si="48"/>
        <v>756.62</v>
      </c>
      <c r="K115" s="15">
        <f t="shared" ca="1" si="49"/>
        <v>0</v>
      </c>
      <c r="L115" s="16">
        <f t="shared" ca="1" si="50"/>
        <v>758.7</v>
      </c>
      <c r="M115" s="15">
        <f t="shared" ca="1" si="51"/>
        <v>0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>
        <f t="shared" ca="1" si="62"/>
        <v>30.5</v>
      </c>
      <c r="Y115" s="15">
        <f t="shared" ca="1" si="63"/>
        <v>0</v>
      </c>
      <c r="Z115" s="16">
        <f t="shared" ca="1" si="64"/>
        <v>26.2</v>
      </c>
      <c r="AA115" s="15">
        <f t="shared" ca="1" si="65"/>
        <v>0</v>
      </c>
      <c r="AB115" s="9">
        <f t="shared" ca="1" si="66"/>
        <v>45</v>
      </c>
      <c r="AC115" s="15">
        <f t="shared" ca="1" si="67"/>
        <v>0</v>
      </c>
      <c r="AD115" s="76">
        <f t="shared" ca="1" si="68"/>
        <v>4.0999999999999996</v>
      </c>
      <c r="AE115" s="15">
        <f t="shared" ca="1" si="69"/>
        <v>0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>
        <f t="shared" ca="1" si="78"/>
        <v>90</v>
      </c>
      <c r="AO115" s="15">
        <f t="shared" ca="1" si="79"/>
        <v>0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19190425</v>
      </c>
      <c r="C116" s="72">
        <f t="shared" si="41"/>
        <v>700</v>
      </c>
      <c r="D116" s="16">
        <f t="shared" ca="1" si="42"/>
        <v>27.8</v>
      </c>
      <c r="E116" s="15">
        <f t="shared" ca="1" si="43"/>
        <v>0</v>
      </c>
      <c r="F116" s="73">
        <f t="shared" ca="1" si="44"/>
        <v>762</v>
      </c>
      <c r="G116" s="15">
        <f t="shared" ca="1" si="45"/>
        <v>0</v>
      </c>
      <c r="H116" s="73">
        <f t="shared" ca="1" si="46"/>
        <v>6.65</v>
      </c>
      <c r="I116" s="15">
        <f t="shared" ca="1" si="47"/>
        <v>0</v>
      </c>
      <c r="J116" s="73">
        <f t="shared" ca="1" si="48"/>
        <v>755.35</v>
      </c>
      <c r="K116" s="15">
        <f t="shared" ca="1" si="49"/>
        <v>0</v>
      </c>
      <c r="L116" s="16">
        <f t="shared" ca="1" si="50"/>
        <v>757.4</v>
      </c>
      <c r="M116" s="15">
        <f t="shared" ca="1" si="51"/>
        <v>0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>
        <f t="shared" ca="1" si="62"/>
        <v>28.8</v>
      </c>
      <c r="Y116" s="15">
        <f t="shared" ca="1" si="63"/>
        <v>0</v>
      </c>
      <c r="Z116" s="16">
        <f t="shared" ca="1" si="64"/>
        <v>25.3</v>
      </c>
      <c r="AA116" s="15">
        <f t="shared" ca="1" si="65"/>
        <v>0</v>
      </c>
      <c r="AB116" s="9">
        <f t="shared" ca="1" si="66"/>
        <v>90</v>
      </c>
      <c r="AC116" s="15">
        <f t="shared" ca="1" si="67"/>
        <v>0</v>
      </c>
      <c r="AD116" s="76">
        <f t="shared" ca="1" si="68"/>
        <v>5.0999999999999996</v>
      </c>
      <c r="AE116" s="15">
        <f t="shared" ca="1" si="69"/>
        <v>0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>
        <f t="shared" ca="1" si="78"/>
        <v>90</v>
      </c>
      <c r="AO116" s="15">
        <f t="shared" ca="1" si="79"/>
        <v>0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19190426</v>
      </c>
      <c r="C117" s="72">
        <f t="shared" si="41"/>
        <v>700</v>
      </c>
      <c r="D117" s="16">
        <f t="shared" ca="1" si="42"/>
        <v>26.7</v>
      </c>
      <c r="E117" s="15">
        <f t="shared" ca="1" si="43"/>
        <v>0</v>
      </c>
      <c r="F117" s="73">
        <f t="shared" ca="1" si="44"/>
        <v>762.46</v>
      </c>
      <c r="G117" s="15">
        <f t="shared" ca="1" si="45"/>
        <v>0</v>
      </c>
      <c r="H117" s="73">
        <f t="shared" ca="1" si="46"/>
        <v>6.5</v>
      </c>
      <c r="I117" s="15">
        <f t="shared" ca="1" si="47"/>
        <v>0</v>
      </c>
      <c r="J117" s="73">
        <f t="shared" ca="1" si="48"/>
        <v>755.95</v>
      </c>
      <c r="K117" s="15">
        <f t="shared" ca="1" si="49"/>
        <v>0</v>
      </c>
      <c r="L117" s="16">
        <f t="shared" ca="1" si="50"/>
        <v>757.9</v>
      </c>
      <c r="M117" s="15">
        <f t="shared" ca="1" si="51"/>
        <v>0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>
        <f t="shared" ca="1" si="62"/>
        <v>30.7</v>
      </c>
      <c r="Y117" s="15">
        <f t="shared" ca="1" si="63"/>
        <v>0</v>
      </c>
      <c r="Z117" s="16">
        <f t="shared" ca="1" si="64"/>
        <v>24.8</v>
      </c>
      <c r="AA117" s="15">
        <f t="shared" ca="1" si="65"/>
        <v>0</v>
      </c>
      <c r="AB117" s="9">
        <f t="shared" ca="1" si="66"/>
        <v>135</v>
      </c>
      <c r="AC117" s="15">
        <f t="shared" ca="1" si="67"/>
        <v>0</v>
      </c>
      <c r="AD117" s="76">
        <f t="shared" ca="1" si="68"/>
        <v>6.2</v>
      </c>
      <c r="AE117" s="15">
        <f t="shared" ca="1" si="69"/>
        <v>0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>
        <f t="shared" ca="1" si="78"/>
        <v>90</v>
      </c>
      <c r="AO117" s="15">
        <f t="shared" ca="1" si="79"/>
        <v>0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19190427</v>
      </c>
      <c r="C118" s="72">
        <f t="shared" si="41"/>
        <v>700</v>
      </c>
      <c r="D118" s="16">
        <f t="shared" ca="1" si="42"/>
        <v>26.9</v>
      </c>
      <c r="E118" s="15">
        <f t="shared" ca="1" si="43"/>
        <v>0</v>
      </c>
      <c r="F118" s="73">
        <f t="shared" ca="1" si="44"/>
        <v>763.93</v>
      </c>
      <c r="G118" s="15">
        <f t="shared" ca="1" si="45"/>
        <v>0</v>
      </c>
      <c r="H118" s="73">
        <f t="shared" ca="1" si="46"/>
        <v>6.55</v>
      </c>
      <c r="I118" s="15">
        <f t="shared" ca="1" si="47"/>
        <v>0</v>
      </c>
      <c r="J118" s="73">
        <f t="shared" ca="1" si="48"/>
        <v>757.38</v>
      </c>
      <c r="K118" s="15">
        <f t="shared" ca="1" si="49"/>
        <v>0</v>
      </c>
      <c r="L118" s="16">
        <f t="shared" ca="1" si="50"/>
        <v>759.5</v>
      </c>
      <c r="M118" s="15">
        <f t="shared" ca="1" si="51"/>
        <v>0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>
        <f t="shared" ca="1" si="62"/>
        <v>28.3</v>
      </c>
      <c r="Y118" s="15">
        <f t="shared" ca="1" si="63"/>
        <v>0</v>
      </c>
      <c r="Z118" s="16">
        <f t="shared" ca="1" si="64"/>
        <v>24.9</v>
      </c>
      <c r="AA118" s="15">
        <f t="shared" ca="1" si="65"/>
        <v>0</v>
      </c>
      <c r="AB118" s="9">
        <f t="shared" ca="1" si="66"/>
        <v>45</v>
      </c>
      <c r="AC118" s="15">
        <f t="shared" ca="1" si="67"/>
        <v>0</v>
      </c>
      <c r="AD118" s="76">
        <f t="shared" ca="1" si="68"/>
        <v>2.6</v>
      </c>
      <c r="AE118" s="15">
        <f t="shared" ca="1" si="69"/>
        <v>0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>
        <f t="shared" ca="1" si="78"/>
        <v>90</v>
      </c>
      <c r="AO118" s="15">
        <f t="shared" ca="1" si="79"/>
        <v>0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19190428</v>
      </c>
      <c r="C119" s="72">
        <f t="shared" si="41"/>
        <v>700</v>
      </c>
      <c r="D119" s="16">
        <f t="shared" ca="1" si="42"/>
        <v>26.9</v>
      </c>
      <c r="E119" s="15">
        <f t="shared" ca="1" si="43"/>
        <v>0</v>
      </c>
      <c r="F119" s="73">
        <f t="shared" ca="1" si="44"/>
        <v>763.85</v>
      </c>
      <c r="G119" s="15">
        <f t="shared" ca="1" si="45"/>
        <v>0</v>
      </c>
      <c r="H119" s="73">
        <f t="shared" ca="1" si="46"/>
        <v>6.55</v>
      </c>
      <c r="I119" s="15">
        <f t="shared" ca="1" si="47"/>
        <v>0</v>
      </c>
      <c r="J119" s="73">
        <f t="shared" ca="1" si="48"/>
        <v>757.3</v>
      </c>
      <c r="K119" s="15">
        <f t="shared" ca="1" si="49"/>
        <v>0</v>
      </c>
      <c r="L119" s="16">
        <f t="shared" ca="1" si="50"/>
        <v>759.5</v>
      </c>
      <c r="M119" s="15">
        <f t="shared" ca="1" si="51"/>
        <v>0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>
        <f t="shared" ca="1" si="62"/>
        <v>28.1</v>
      </c>
      <c r="Y119" s="15">
        <f t="shared" ca="1" si="63"/>
        <v>0</v>
      </c>
      <c r="Z119" s="16">
        <f t="shared" ca="1" si="64"/>
        <v>24.8</v>
      </c>
      <c r="AA119" s="15">
        <f t="shared" ca="1" si="65"/>
        <v>0</v>
      </c>
      <c r="AB119" s="9">
        <f t="shared" ca="1" si="66"/>
        <v>45</v>
      </c>
      <c r="AC119" s="15">
        <f t="shared" ca="1" si="67"/>
        <v>0</v>
      </c>
      <c r="AD119" s="76">
        <f t="shared" ca="1" si="68"/>
        <v>2.6</v>
      </c>
      <c r="AE119" s="15">
        <f t="shared" ca="1" si="69"/>
        <v>0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>
        <f t="shared" ca="1" si="78"/>
        <v>45</v>
      </c>
      <c r="AO119" s="15">
        <f t="shared" ca="1" si="79"/>
        <v>0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19190429</v>
      </c>
      <c r="C120" s="72">
        <f t="shared" si="41"/>
        <v>700</v>
      </c>
      <c r="D120" s="16">
        <f t="shared" ca="1" si="42"/>
        <v>27.2</v>
      </c>
      <c r="E120" s="15">
        <f t="shared" ca="1" si="43"/>
        <v>0</v>
      </c>
      <c r="F120" s="73">
        <f t="shared" ca="1" si="44"/>
        <v>763.02</v>
      </c>
      <c r="G120" s="15">
        <f t="shared" ca="1" si="45"/>
        <v>0</v>
      </c>
      <c r="H120" s="73">
        <f t="shared" ca="1" si="46"/>
        <v>6.58</v>
      </c>
      <c r="I120" s="15">
        <f t="shared" ca="1" si="47"/>
        <v>0</v>
      </c>
      <c r="J120" s="73">
        <f t="shared" ca="1" si="48"/>
        <v>756.59</v>
      </c>
      <c r="K120" s="15">
        <f t="shared" ca="1" si="49"/>
        <v>0</v>
      </c>
      <c r="L120" s="16">
        <f t="shared" ca="1" si="50"/>
        <v>758.4</v>
      </c>
      <c r="M120" s="15">
        <f t="shared" ca="1" si="51"/>
        <v>0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>
        <f t="shared" ca="1" si="62"/>
        <v>30.4</v>
      </c>
      <c r="Y120" s="15">
        <f t="shared" ca="1" si="63"/>
        <v>0</v>
      </c>
      <c r="Z120" s="16">
        <f t="shared" ca="1" si="64"/>
        <v>25.2</v>
      </c>
      <c r="AA120" s="15">
        <f t="shared" ca="1" si="65"/>
        <v>0</v>
      </c>
      <c r="AB120" s="9">
        <f t="shared" ca="1" si="66"/>
        <v>90</v>
      </c>
      <c r="AC120" s="15">
        <f t="shared" ca="1" si="67"/>
        <v>0</v>
      </c>
      <c r="AD120" s="76">
        <f t="shared" ca="1" si="68"/>
        <v>4.0999999999999996</v>
      </c>
      <c r="AE120" s="15">
        <f t="shared" ca="1" si="69"/>
        <v>0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>
        <f t="shared" ca="1" si="78"/>
        <v>90</v>
      </c>
      <c r="AO120" s="15">
        <f t="shared" ca="1" si="79"/>
        <v>0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19190430</v>
      </c>
      <c r="C121" s="72">
        <f t="shared" si="41"/>
        <v>700</v>
      </c>
      <c r="D121" s="16">
        <f t="shared" ca="1" si="42"/>
        <v>27.8</v>
      </c>
      <c r="E121" s="15">
        <f t="shared" ca="1" si="43"/>
        <v>0</v>
      </c>
      <c r="F121" s="73">
        <f t="shared" ca="1" si="44"/>
        <v>762.79</v>
      </c>
      <c r="G121" s="15">
        <f t="shared" ca="1" si="45"/>
        <v>0</v>
      </c>
      <c r="H121" s="73">
        <f t="shared" ca="1" si="46"/>
        <v>6.65</v>
      </c>
      <c r="I121" s="15">
        <f t="shared" ca="1" si="47"/>
        <v>0</v>
      </c>
      <c r="J121" s="73">
        <f t="shared" ca="1" si="48"/>
        <v>756.13</v>
      </c>
      <c r="K121" s="15">
        <f t="shared" ca="1" si="49"/>
        <v>0</v>
      </c>
      <c r="L121" s="16">
        <f t="shared" ca="1" si="50"/>
        <v>758.2</v>
      </c>
      <c r="M121" s="15">
        <f t="shared" ca="1" si="51"/>
        <v>0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>
        <f t="shared" ca="1" si="62"/>
        <v>30.4</v>
      </c>
      <c r="Y121" s="15">
        <f t="shared" ca="1" si="63"/>
        <v>0</v>
      </c>
      <c r="Z121" s="16">
        <f t="shared" ca="1" si="64"/>
        <v>25.6</v>
      </c>
      <c r="AA121" s="15">
        <f t="shared" ca="1" si="65"/>
        <v>0</v>
      </c>
      <c r="AB121" s="9">
        <f t="shared" ca="1" si="66"/>
        <v>45</v>
      </c>
      <c r="AC121" s="15">
        <f t="shared" ca="1" si="67"/>
        <v>0</v>
      </c>
      <c r="AD121" s="76">
        <f t="shared" ca="1" si="68"/>
        <v>5.0999999999999996</v>
      </c>
      <c r="AE121" s="15">
        <f t="shared" ca="1" si="69"/>
        <v>0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>
        <f t="shared" ca="1" si="78"/>
        <v>90</v>
      </c>
      <c r="AO121" s="15">
        <f t="shared" ca="1" si="79"/>
        <v>0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19190501</v>
      </c>
      <c r="C122" s="72">
        <f t="shared" si="41"/>
        <v>700</v>
      </c>
      <c r="D122" s="16">
        <f t="shared" ca="1" si="42"/>
        <v>27.8</v>
      </c>
      <c r="E122" s="15">
        <f t="shared" ca="1" si="43"/>
        <v>0</v>
      </c>
      <c r="F122" s="73">
        <f t="shared" ca="1" si="44"/>
        <v>763.02</v>
      </c>
      <c r="G122" s="15">
        <f t="shared" ca="1" si="45"/>
        <v>0</v>
      </c>
      <c r="H122" s="73">
        <f t="shared" ca="1" si="46"/>
        <v>6.65</v>
      </c>
      <c r="I122" s="15">
        <f t="shared" ca="1" si="47"/>
        <v>0</v>
      </c>
      <c r="J122" s="73">
        <f t="shared" ca="1" si="48"/>
        <v>756.36</v>
      </c>
      <c r="K122" s="15">
        <f t="shared" ca="1" si="49"/>
        <v>0</v>
      </c>
      <c r="L122" s="16">
        <f t="shared" ca="1" si="50"/>
        <v>758.4</v>
      </c>
      <c r="M122" s="15">
        <f t="shared" ca="1" si="51"/>
        <v>0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>
        <f t="shared" ca="1" si="62"/>
        <v>30.5</v>
      </c>
      <c r="Y122" s="15">
        <f t="shared" ca="1" si="63"/>
        <v>0</v>
      </c>
      <c r="Z122" s="16">
        <f t="shared" ca="1" si="64"/>
        <v>26.1</v>
      </c>
      <c r="AA122" s="15">
        <f t="shared" ca="1" si="65"/>
        <v>0</v>
      </c>
      <c r="AB122" s="9">
        <f t="shared" ca="1" si="66"/>
        <v>90</v>
      </c>
      <c r="AC122" s="15">
        <f t="shared" ca="1" si="67"/>
        <v>0</v>
      </c>
      <c r="AD122" s="76">
        <f t="shared" ca="1" si="68"/>
        <v>6.2</v>
      </c>
      <c r="AE122" s="15">
        <f t="shared" ca="1" si="69"/>
        <v>0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>
        <f t="shared" ca="1" si="78"/>
        <v>90</v>
      </c>
      <c r="AO122" s="15">
        <f t="shared" ca="1" si="79"/>
        <v>0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19190502</v>
      </c>
      <c r="C123" s="72">
        <f t="shared" si="41"/>
        <v>700</v>
      </c>
      <c r="D123" s="16">
        <f t="shared" ca="1" si="42"/>
        <v>27.8</v>
      </c>
      <c r="E123" s="15">
        <f t="shared" ca="1" si="43"/>
        <v>0</v>
      </c>
      <c r="F123" s="73">
        <f t="shared" ca="1" si="44"/>
        <v>764.57</v>
      </c>
      <c r="G123" s="15">
        <f t="shared" ca="1" si="45"/>
        <v>0</v>
      </c>
      <c r="H123" s="73">
        <f t="shared" ca="1" si="46"/>
        <v>6.65</v>
      </c>
      <c r="I123" s="15">
        <f t="shared" ca="1" si="47"/>
        <v>0</v>
      </c>
      <c r="J123" s="73">
        <f t="shared" ca="1" si="48"/>
        <v>757.91</v>
      </c>
      <c r="K123" s="15">
        <f t="shared" ca="1" si="49"/>
        <v>0</v>
      </c>
      <c r="L123" s="16">
        <f t="shared" ca="1" si="50"/>
        <v>760</v>
      </c>
      <c r="M123" s="15">
        <f t="shared" ca="1" si="51"/>
        <v>0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>
        <f t="shared" ca="1" si="62"/>
        <v>30.6</v>
      </c>
      <c r="Y123" s="15">
        <f t="shared" ca="1" si="63"/>
        <v>0</v>
      </c>
      <c r="Z123" s="16">
        <f t="shared" ca="1" si="64"/>
        <v>24.9</v>
      </c>
      <c r="AA123" s="15">
        <f t="shared" ca="1" si="65"/>
        <v>0</v>
      </c>
      <c r="AB123" s="9">
        <f t="shared" ca="1" si="66"/>
        <v>90</v>
      </c>
      <c r="AC123" s="15">
        <f t="shared" ca="1" si="67"/>
        <v>0</v>
      </c>
      <c r="AD123" s="76">
        <f t="shared" ca="1" si="68"/>
        <v>6.2</v>
      </c>
      <c r="AE123" s="15">
        <f t="shared" ca="1" si="69"/>
        <v>0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>
        <f t="shared" ca="1" si="78"/>
        <v>90</v>
      </c>
      <c r="AO123" s="15">
        <f t="shared" ca="1" si="79"/>
        <v>0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19190503</v>
      </c>
      <c r="C124" s="72">
        <f t="shared" si="41"/>
        <v>700</v>
      </c>
      <c r="D124" s="16">
        <f t="shared" ca="1" si="42"/>
        <v>27.8</v>
      </c>
      <c r="E124" s="15">
        <f t="shared" ca="1" si="43"/>
        <v>0</v>
      </c>
      <c r="F124" s="73">
        <f t="shared" ca="1" si="44"/>
        <v>764.79</v>
      </c>
      <c r="G124" s="15">
        <f t="shared" ca="1" si="45"/>
        <v>0</v>
      </c>
      <c r="H124" s="73">
        <f t="shared" ca="1" si="46"/>
        <v>6.65</v>
      </c>
      <c r="I124" s="15">
        <f t="shared" ca="1" si="47"/>
        <v>0</v>
      </c>
      <c r="J124" s="73">
        <f t="shared" ca="1" si="48"/>
        <v>758.14</v>
      </c>
      <c r="K124" s="15">
        <f t="shared" ca="1" si="49"/>
        <v>0</v>
      </c>
      <c r="L124" s="16">
        <f t="shared" ca="1" si="50"/>
        <v>760.2</v>
      </c>
      <c r="M124" s="15">
        <f t="shared" ca="1" si="51"/>
        <v>0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>
        <f t="shared" ca="1" si="62"/>
        <v>30.6</v>
      </c>
      <c r="Y124" s="15">
        <f t="shared" ca="1" si="63"/>
        <v>0</v>
      </c>
      <c r="Z124" s="16">
        <f t="shared" ca="1" si="64"/>
        <v>25.9</v>
      </c>
      <c r="AA124" s="15">
        <f t="shared" ca="1" si="65"/>
        <v>0</v>
      </c>
      <c r="AB124" s="9">
        <f t="shared" ca="1" si="66"/>
        <v>90</v>
      </c>
      <c r="AC124" s="15">
        <f t="shared" ca="1" si="67"/>
        <v>0</v>
      </c>
      <c r="AD124" s="76">
        <f t="shared" ca="1" si="68"/>
        <v>4.0999999999999996</v>
      </c>
      <c r="AE124" s="15">
        <f t="shared" ca="1" si="69"/>
        <v>0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>
        <f t="shared" ca="1" si="78"/>
        <v>90</v>
      </c>
      <c r="AO124" s="15">
        <f t="shared" ca="1" si="79"/>
        <v>0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19190504</v>
      </c>
      <c r="C125" s="72">
        <f t="shared" si="41"/>
        <v>700</v>
      </c>
      <c r="D125" s="16">
        <f t="shared" ca="1" si="42"/>
        <v>27.8</v>
      </c>
      <c r="E125" s="15">
        <f t="shared" ca="1" si="43"/>
        <v>0</v>
      </c>
      <c r="F125" s="73">
        <f t="shared" ca="1" si="44"/>
        <v>764.59</v>
      </c>
      <c r="G125" s="15">
        <f t="shared" ca="1" si="45"/>
        <v>0</v>
      </c>
      <c r="H125" s="73">
        <f t="shared" ca="1" si="46"/>
        <v>6.65</v>
      </c>
      <c r="I125" s="15">
        <f t="shared" ca="1" si="47"/>
        <v>0</v>
      </c>
      <c r="J125" s="73">
        <f t="shared" ca="1" si="48"/>
        <v>757.94</v>
      </c>
      <c r="K125" s="15">
        <f t="shared" ca="1" si="49"/>
        <v>0</v>
      </c>
      <c r="L125" s="16">
        <f t="shared" ca="1" si="50"/>
        <v>760</v>
      </c>
      <c r="M125" s="15">
        <f t="shared" ca="1" si="51"/>
        <v>0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>
        <f t="shared" ca="1" si="62"/>
        <v>30.9</v>
      </c>
      <c r="Y125" s="15">
        <f t="shared" ca="1" si="63"/>
        <v>0</v>
      </c>
      <c r="Z125" s="16">
        <f t="shared" ca="1" si="64"/>
        <v>24.6</v>
      </c>
      <c r="AA125" s="15">
        <f t="shared" ca="1" si="65"/>
        <v>0</v>
      </c>
      <c r="AB125" s="9">
        <f t="shared" ca="1" si="66"/>
        <v>45</v>
      </c>
      <c r="AC125" s="15">
        <f t="shared" ca="1" si="67"/>
        <v>0</v>
      </c>
      <c r="AD125" s="76">
        <f t="shared" ca="1" si="68"/>
        <v>5.0999999999999996</v>
      </c>
      <c r="AE125" s="15">
        <f t="shared" ca="1" si="69"/>
        <v>0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>
        <f t="shared" ca="1" si="78"/>
        <v>90</v>
      </c>
      <c r="AO125" s="15">
        <f t="shared" ca="1" si="79"/>
        <v>0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19190505</v>
      </c>
      <c r="C126" s="72">
        <f t="shared" si="41"/>
        <v>700</v>
      </c>
      <c r="D126" s="16">
        <f t="shared" ca="1" si="42"/>
        <v>27.8</v>
      </c>
      <c r="E126" s="15">
        <f t="shared" ca="1" si="43"/>
        <v>0</v>
      </c>
      <c r="F126" s="73">
        <f t="shared" ca="1" si="44"/>
        <v>764.51</v>
      </c>
      <c r="G126" s="15">
        <f t="shared" ca="1" si="45"/>
        <v>0</v>
      </c>
      <c r="H126" s="73">
        <f t="shared" ca="1" si="46"/>
        <v>6.65</v>
      </c>
      <c r="I126" s="15">
        <f t="shared" ca="1" si="47"/>
        <v>0</v>
      </c>
      <c r="J126" s="73">
        <f t="shared" ca="1" si="48"/>
        <v>757.86</v>
      </c>
      <c r="K126" s="15">
        <f t="shared" ca="1" si="49"/>
        <v>0</v>
      </c>
      <c r="L126" s="16">
        <f t="shared" ca="1" si="50"/>
        <v>760</v>
      </c>
      <c r="M126" s="15">
        <f t="shared" ca="1" si="51"/>
        <v>0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>
        <f t="shared" ca="1" si="62"/>
        <v>30.2</v>
      </c>
      <c r="Y126" s="15">
        <f t="shared" ca="1" si="63"/>
        <v>0</v>
      </c>
      <c r="Z126" s="16">
        <f t="shared" ca="1" si="64"/>
        <v>25.7</v>
      </c>
      <c r="AA126" s="15">
        <f t="shared" ca="1" si="65"/>
        <v>0</v>
      </c>
      <c r="AB126" s="9">
        <f t="shared" ca="1" si="66"/>
        <v>45</v>
      </c>
      <c r="AC126" s="15">
        <f t="shared" ca="1" si="67"/>
        <v>0</v>
      </c>
      <c r="AD126" s="76">
        <f t="shared" ca="1" si="68"/>
        <v>4.0999999999999996</v>
      </c>
      <c r="AE126" s="15">
        <f t="shared" ca="1" si="69"/>
        <v>0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>
        <f t="shared" ca="1" si="78"/>
        <v>90</v>
      </c>
      <c r="AO126" s="15">
        <f t="shared" ca="1" si="79"/>
        <v>0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19190506</v>
      </c>
      <c r="C127" s="72">
        <f t="shared" si="41"/>
        <v>700</v>
      </c>
      <c r="D127" s="16">
        <f t="shared" ca="1" si="42"/>
        <v>27.8</v>
      </c>
      <c r="E127" s="15">
        <f t="shared" ca="1" si="43"/>
        <v>0</v>
      </c>
      <c r="F127" s="73">
        <f t="shared" ca="1" si="44"/>
        <v>764.31</v>
      </c>
      <c r="G127" s="15">
        <f t="shared" ca="1" si="45"/>
        <v>0</v>
      </c>
      <c r="H127" s="73">
        <f t="shared" ca="1" si="46"/>
        <v>6.6</v>
      </c>
      <c r="I127" s="15">
        <f t="shared" ca="1" si="47"/>
        <v>0</v>
      </c>
      <c r="J127" s="73">
        <f t="shared" ca="1" si="48"/>
        <v>757.71</v>
      </c>
      <c r="K127" s="15">
        <f t="shared" ca="1" si="49"/>
        <v>0</v>
      </c>
      <c r="L127" s="16">
        <f t="shared" ca="1" si="50"/>
        <v>759.7</v>
      </c>
      <c r="M127" s="15">
        <f t="shared" ca="1" si="51"/>
        <v>0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>
        <f t="shared" ca="1" si="62"/>
        <v>31.6</v>
      </c>
      <c r="Y127" s="15">
        <f t="shared" ca="1" si="63"/>
        <v>0</v>
      </c>
      <c r="Z127" s="16">
        <f t="shared" ca="1" si="64"/>
        <v>25.7</v>
      </c>
      <c r="AA127" s="15">
        <f t="shared" ca="1" si="65"/>
        <v>0</v>
      </c>
      <c r="AB127" s="9">
        <f t="shared" ca="1" si="66"/>
        <v>90</v>
      </c>
      <c r="AC127" s="15">
        <f t="shared" ca="1" si="67"/>
        <v>0</v>
      </c>
      <c r="AD127" s="76">
        <f t="shared" ca="1" si="68"/>
        <v>4.0999999999999996</v>
      </c>
      <c r="AE127" s="15">
        <f t="shared" ca="1" si="69"/>
        <v>0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>
        <f t="shared" ca="1" si="78"/>
        <v>90</v>
      </c>
      <c r="AO127" s="15">
        <f t="shared" ca="1" si="79"/>
        <v>0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19190507</v>
      </c>
      <c r="C128" s="72">
        <f t="shared" si="41"/>
        <v>700</v>
      </c>
      <c r="D128" s="16">
        <f t="shared" ca="1" si="42"/>
        <v>27.8</v>
      </c>
      <c r="E128" s="15">
        <f t="shared" ca="1" si="43"/>
        <v>0</v>
      </c>
      <c r="F128" s="73">
        <f t="shared" ca="1" si="44"/>
        <v>763.07</v>
      </c>
      <c r="G128" s="15">
        <f t="shared" ca="1" si="45"/>
        <v>0</v>
      </c>
      <c r="H128" s="73">
        <f t="shared" ca="1" si="46"/>
        <v>6.6</v>
      </c>
      <c r="I128" s="15">
        <f t="shared" ca="1" si="47"/>
        <v>0</v>
      </c>
      <c r="J128" s="73">
        <f t="shared" ca="1" si="48"/>
        <v>756.46</v>
      </c>
      <c r="K128" s="15">
        <f t="shared" ca="1" si="49"/>
        <v>0</v>
      </c>
      <c r="L128" s="16">
        <f t="shared" ca="1" si="50"/>
        <v>758.4</v>
      </c>
      <c r="M128" s="15">
        <f t="shared" ca="1" si="51"/>
        <v>0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>
        <f t="shared" ca="1" si="62"/>
        <v>30.9</v>
      </c>
      <c r="Y128" s="15">
        <f t="shared" ca="1" si="63"/>
        <v>0</v>
      </c>
      <c r="Z128" s="16">
        <f t="shared" ca="1" si="64"/>
        <v>25.8</v>
      </c>
      <c r="AA128" s="15">
        <f t="shared" ca="1" si="65"/>
        <v>0</v>
      </c>
      <c r="AB128" s="9">
        <f t="shared" ca="1" si="66"/>
        <v>90</v>
      </c>
      <c r="AC128" s="15">
        <f t="shared" ca="1" si="67"/>
        <v>0</v>
      </c>
      <c r="AD128" s="76">
        <f t="shared" ca="1" si="68"/>
        <v>6.2</v>
      </c>
      <c r="AE128" s="15">
        <f t="shared" ca="1" si="69"/>
        <v>0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>
        <f t="shared" ca="1" si="78"/>
        <v>90</v>
      </c>
      <c r="AO128" s="15">
        <f t="shared" ca="1" si="79"/>
        <v>0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19190508</v>
      </c>
      <c r="C129" s="72">
        <f t="shared" si="41"/>
        <v>700</v>
      </c>
      <c r="D129" s="16">
        <f t="shared" ca="1" si="42"/>
        <v>27.5</v>
      </c>
      <c r="E129" s="15">
        <f t="shared" ca="1" si="43"/>
        <v>0</v>
      </c>
      <c r="F129" s="73">
        <f t="shared" ca="1" si="44"/>
        <v>762.97</v>
      </c>
      <c r="G129" s="15">
        <f t="shared" ca="1" si="45"/>
        <v>0</v>
      </c>
      <c r="H129" s="73">
        <f t="shared" ca="1" si="46"/>
        <v>6.55</v>
      </c>
      <c r="I129" s="15">
        <f t="shared" ca="1" si="47"/>
        <v>0</v>
      </c>
      <c r="J129" s="73">
        <f t="shared" ca="1" si="48"/>
        <v>756.41</v>
      </c>
      <c r="K129" s="15">
        <f t="shared" ca="1" si="49"/>
        <v>0</v>
      </c>
      <c r="L129" s="16">
        <f t="shared" ca="1" si="50"/>
        <v>758.4</v>
      </c>
      <c r="M129" s="15">
        <f t="shared" ca="1" si="51"/>
        <v>0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>
        <f t="shared" ca="1" si="62"/>
        <v>30.7</v>
      </c>
      <c r="Y129" s="15">
        <f t="shared" ca="1" si="63"/>
        <v>0</v>
      </c>
      <c r="Z129" s="16">
        <f t="shared" ca="1" si="64"/>
        <v>26.1</v>
      </c>
      <c r="AA129" s="15">
        <f t="shared" ca="1" si="65"/>
        <v>0</v>
      </c>
      <c r="AB129" s="9">
        <f t="shared" ca="1" si="66"/>
        <v>90</v>
      </c>
      <c r="AC129" s="15">
        <f t="shared" ca="1" si="67"/>
        <v>0</v>
      </c>
      <c r="AD129" s="76">
        <f t="shared" ca="1" si="68"/>
        <v>5.0999999999999996</v>
      </c>
      <c r="AE129" s="15">
        <f t="shared" ca="1" si="69"/>
        <v>0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>
        <f t="shared" ca="1" si="78"/>
        <v>90</v>
      </c>
      <c r="AO129" s="15">
        <f t="shared" ca="1" si="79"/>
        <v>0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19190509</v>
      </c>
      <c r="C130" s="72">
        <f t="shared" ref="C130:C193" si="81">Tijd</f>
        <v>700</v>
      </c>
      <c r="D130" s="16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27.8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30" s="73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763.8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30" s="73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6.6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30" s="73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757.2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30" s="16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759.2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30.3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30" s="16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25.6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30" s="9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30" s="76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6.2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19190510</v>
      </c>
      <c r="C131" s="72">
        <f t="shared" si="81"/>
        <v>700</v>
      </c>
      <c r="D131" s="16">
        <f t="shared" ca="1" si="82"/>
        <v>27.8</v>
      </c>
      <c r="E131" s="15">
        <f t="shared" ca="1" si="83"/>
        <v>0</v>
      </c>
      <c r="F131" s="73">
        <f t="shared" ca="1" si="84"/>
        <v>763.83</v>
      </c>
      <c r="G131" s="15">
        <f t="shared" ca="1" si="85"/>
        <v>0</v>
      </c>
      <c r="H131" s="73">
        <f t="shared" ca="1" si="86"/>
        <v>6.65</v>
      </c>
      <c r="I131" s="15">
        <f t="shared" ca="1" si="87"/>
        <v>0</v>
      </c>
      <c r="J131" s="73">
        <f t="shared" ca="1" si="88"/>
        <v>757.17</v>
      </c>
      <c r="K131" s="15">
        <f t="shared" ca="1" si="89"/>
        <v>0</v>
      </c>
      <c r="L131" s="16">
        <f t="shared" ca="1" si="90"/>
        <v>759.2</v>
      </c>
      <c r="M131" s="15">
        <f t="shared" ca="1" si="91"/>
        <v>0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>
        <f t="shared" ca="1" si="102"/>
        <v>30.9</v>
      </c>
      <c r="Y131" s="15">
        <f t="shared" ca="1" si="103"/>
        <v>0</v>
      </c>
      <c r="Z131" s="16">
        <f t="shared" ca="1" si="104"/>
        <v>25.7</v>
      </c>
      <c r="AA131" s="15">
        <f t="shared" ca="1" si="105"/>
        <v>0</v>
      </c>
      <c r="AB131" s="9">
        <f t="shared" ca="1" si="106"/>
        <v>90</v>
      </c>
      <c r="AC131" s="15">
        <f t="shared" ca="1" si="107"/>
        <v>0</v>
      </c>
      <c r="AD131" s="76">
        <f t="shared" ca="1" si="108"/>
        <v>5.0999999999999996</v>
      </c>
      <c r="AE131" s="15">
        <f t="shared" ca="1" si="109"/>
        <v>0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>
        <f t="shared" ca="1" si="118"/>
        <v>90</v>
      </c>
      <c r="AO131" s="15">
        <f t="shared" ca="1" si="119"/>
        <v>0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19190511</v>
      </c>
      <c r="C132" s="72">
        <f t="shared" si="81"/>
        <v>700</v>
      </c>
      <c r="D132" s="16">
        <f t="shared" ca="1" si="82"/>
        <v>27.5</v>
      </c>
      <c r="E132" s="15">
        <f t="shared" ca="1" si="83"/>
        <v>0</v>
      </c>
      <c r="F132" s="73">
        <f t="shared" ca="1" si="84"/>
        <v>764.16</v>
      </c>
      <c r="G132" s="15">
        <f t="shared" ca="1" si="85"/>
        <v>0</v>
      </c>
      <c r="H132" s="73">
        <f t="shared" ca="1" si="86"/>
        <v>6.6</v>
      </c>
      <c r="I132" s="15">
        <f t="shared" ca="1" si="87"/>
        <v>0</v>
      </c>
      <c r="J132" s="73">
        <f t="shared" ca="1" si="88"/>
        <v>757.56</v>
      </c>
      <c r="K132" s="15">
        <f t="shared" ca="1" si="89"/>
        <v>0</v>
      </c>
      <c r="L132" s="16">
        <f t="shared" ca="1" si="90"/>
        <v>759.7</v>
      </c>
      <c r="M132" s="15">
        <f t="shared" ca="1" si="91"/>
        <v>0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>
        <f t="shared" ca="1" si="102"/>
        <v>31.3</v>
      </c>
      <c r="Y132" s="15">
        <f t="shared" ca="1" si="103"/>
        <v>0</v>
      </c>
      <c r="Z132" s="16">
        <f t="shared" ca="1" si="104"/>
        <v>25.5</v>
      </c>
      <c r="AA132" s="15">
        <f t="shared" ca="1" si="105"/>
        <v>0</v>
      </c>
      <c r="AB132" s="9">
        <f t="shared" ca="1" si="106"/>
        <v>90</v>
      </c>
      <c r="AC132" s="15">
        <f t="shared" ca="1" si="107"/>
        <v>0</v>
      </c>
      <c r="AD132" s="76">
        <f t="shared" ca="1" si="108"/>
        <v>4.0999999999999996</v>
      </c>
      <c r="AE132" s="15">
        <f t="shared" ca="1" si="109"/>
        <v>0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>
        <f t="shared" ca="1" si="118"/>
        <v>90</v>
      </c>
      <c r="AO132" s="15">
        <f t="shared" ca="1" si="119"/>
        <v>0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19190512</v>
      </c>
      <c r="C133" s="72">
        <f t="shared" si="81"/>
        <v>700</v>
      </c>
      <c r="D133" s="16">
        <f t="shared" ca="1" si="82"/>
        <v>27.5</v>
      </c>
      <c r="E133" s="15">
        <f t="shared" ca="1" si="83"/>
        <v>0</v>
      </c>
      <c r="F133" s="73">
        <f t="shared" ca="1" si="84"/>
        <v>764.31</v>
      </c>
      <c r="G133" s="15">
        <f t="shared" ca="1" si="85"/>
        <v>0</v>
      </c>
      <c r="H133" s="73">
        <f t="shared" ca="1" si="86"/>
        <v>6.6</v>
      </c>
      <c r="I133" s="15">
        <f t="shared" ca="1" si="87"/>
        <v>0</v>
      </c>
      <c r="J133" s="73">
        <f t="shared" ca="1" si="88"/>
        <v>757.71</v>
      </c>
      <c r="K133" s="15">
        <f t="shared" ca="1" si="89"/>
        <v>0</v>
      </c>
      <c r="L133" s="16">
        <f t="shared" ca="1" si="90"/>
        <v>759.7</v>
      </c>
      <c r="M133" s="15">
        <f t="shared" ca="1" si="91"/>
        <v>0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>
        <f t="shared" ca="1" si="102"/>
        <v>30.5</v>
      </c>
      <c r="Y133" s="15">
        <f t="shared" ca="1" si="103"/>
        <v>0</v>
      </c>
      <c r="Z133" s="16">
        <f t="shared" ca="1" si="104"/>
        <v>26.1</v>
      </c>
      <c r="AA133" s="15">
        <f t="shared" ca="1" si="105"/>
        <v>0</v>
      </c>
      <c r="AB133" s="9">
        <f t="shared" ca="1" si="106"/>
        <v>135</v>
      </c>
      <c r="AC133" s="15">
        <f t="shared" ca="1" si="107"/>
        <v>0</v>
      </c>
      <c r="AD133" s="76">
        <f t="shared" ca="1" si="108"/>
        <v>4.0999999999999996</v>
      </c>
      <c r="AE133" s="15">
        <f t="shared" ca="1" si="109"/>
        <v>0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>
        <f t="shared" ca="1" si="118"/>
        <v>90</v>
      </c>
      <c r="AO133" s="15">
        <f t="shared" ca="1" si="119"/>
        <v>0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19190513</v>
      </c>
      <c r="C134" s="72">
        <f t="shared" si="81"/>
        <v>700</v>
      </c>
      <c r="D134" s="16">
        <f t="shared" ca="1" si="82"/>
        <v>27.8</v>
      </c>
      <c r="E134" s="15">
        <f t="shared" ca="1" si="83"/>
        <v>0</v>
      </c>
      <c r="F134" s="73">
        <f t="shared" ca="1" si="84"/>
        <v>764.01</v>
      </c>
      <c r="G134" s="15">
        <f t="shared" ca="1" si="85"/>
        <v>0</v>
      </c>
      <c r="H134" s="73">
        <f t="shared" ca="1" si="86"/>
        <v>6.6</v>
      </c>
      <c r="I134" s="15">
        <f t="shared" ca="1" si="87"/>
        <v>0</v>
      </c>
      <c r="J134" s="73">
        <f t="shared" ca="1" si="88"/>
        <v>757.4</v>
      </c>
      <c r="K134" s="15">
        <f t="shared" ca="1" si="89"/>
        <v>0</v>
      </c>
      <c r="L134" s="16">
        <f t="shared" ca="1" si="90"/>
        <v>759.5</v>
      </c>
      <c r="M134" s="15">
        <f t="shared" ca="1" si="91"/>
        <v>0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>
        <f t="shared" ca="1" si="102"/>
        <v>30.4</v>
      </c>
      <c r="Y134" s="15">
        <f t="shared" ca="1" si="103"/>
        <v>0</v>
      </c>
      <c r="Z134" s="16">
        <f t="shared" ca="1" si="104"/>
        <v>26.1</v>
      </c>
      <c r="AA134" s="15">
        <f t="shared" ca="1" si="105"/>
        <v>0</v>
      </c>
      <c r="AB134" s="9">
        <f t="shared" ca="1" si="106"/>
        <v>90</v>
      </c>
      <c r="AC134" s="15">
        <f t="shared" ca="1" si="107"/>
        <v>0</v>
      </c>
      <c r="AD134" s="76">
        <f t="shared" ca="1" si="108"/>
        <v>6.2</v>
      </c>
      <c r="AE134" s="15">
        <f t="shared" ca="1" si="109"/>
        <v>0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>
        <f t="shared" ca="1" si="118"/>
        <v>90</v>
      </c>
      <c r="AO134" s="15">
        <f t="shared" ca="1" si="119"/>
        <v>0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19190514</v>
      </c>
      <c r="C135" s="72">
        <f t="shared" si="81"/>
        <v>700</v>
      </c>
      <c r="D135" s="16">
        <f t="shared" ca="1" si="82"/>
        <v>27.5</v>
      </c>
      <c r="E135" s="15">
        <f t="shared" ca="1" si="83"/>
        <v>0</v>
      </c>
      <c r="F135" s="73">
        <f t="shared" ca="1" si="84"/>
        <v>763.22</v>
      </c>
      <c r="G135" s="15">
        <f t="shared" ca="1" si="85"/>
        <v>0</v>
      </c>
      <c r="H135" s="73">
        <f t="shared" ca="1" si="86"/>
        <v>6.6</v>
      </c>
      <c r="I135" s="15">
        <f t="shared" ca="1" si="87"/>
        <v>0</v>
      </c>
      <c r="J135" s="73">
        <f t="shared" ca="1" si="88"/>
        <v>756.62</v>
      </c>
      <c r="K135" s="15">
        <f t="shared" ca="1" si="89"/>
        <v>0</v>
      </c>
      <c r="L135" s="16">
        <f t="shared" ca="1" si="90"/>
        <v>758.7</v>
      </c>
      <c r="M135" s="15">
        <f t="shared" ca="1" si="91"/>
        <v>0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>
        <f t="shared" ca="1" si="102"/>
        <v>31.1</v>
      </c>
      <c r="Y135" s="15">
        <f t="shared" ca="1" si="103"/>
        <v>0</v>
      </c>
      <c r="Z135" s="16">
        <f t="shared" ca="1" si="104"/>
        <v>26.2</v>
      </c>
      <c r="AA135" s="15">
        <f t="shared" ca="1" si="105"/>
        <v>0</v>
      </c>
      <c r="AB135" s="9">
        <f t="shared" ca="1" si="106"/>
        <v>90</v>
      </c>
      <c r="AC135" s="15">
        <f t="shared" ca="1" si="107"/>
        <v>0</v>
      </c>
      <c r="AD135" s="76">
        <f t="shared" ca="1" si="108"/>
        <v>6.2</v>
      </c>
      <c r="AE135" s="15">
        <f t="shared" ca="1" si="109"/>
        <v>0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>
        <f t="shared" ca="1" si="118"/>
        <v>90</v>
      </c>
      <c r="AO135" s="15">
        <f t="shared" ca="1" si="119"/>
        <v>0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19190515</v>
      </c>
      <c r="C136" s="72">
        <f t="shared" si="81"/>
        <v>700</v>
      </c>
      <c r="D136" s="16">
        <f t="shared" ca="1" si="82"/>
        <v>28.3</v>
      </c>
      <c r="E136" s="15">
        <f t="shared" ca="1" si="83"/>
        <v>0</v>
      </c>
      <c r="F136" s="73">
        <f t="shared" ca="1" si="84"/>
        <v>763.83</v>
      </c>
      <c r="G136" s="15">
        <f t="shared" ca="1" si="85"/>
        <v>0</v>
      </c>
      <c r="H136" s="73">
        <f t="shared" ca="1" si="86"/>
        <v>6.71</v>
      </c>
      <c r="I136" s="15">
        <f t="shared" ca="1" si="87"/>
        <v>0</v>
      </c>
      <c r="J136" s="73">
        <f t="shared" ca="1" si="88"/>
        <v>757.12</v>
      </c>
      <c r="K136" s="15">
        <f t="shared" ca="1" si="89"/>
        <v>0</v>
      </c>
      <c r="L136" s="16">
        <f t="shared" ca="1" si="90"/>
        <v>759.2</v>
      </c>
      <c r="M136" s="15">
        <f t="shared" ca="1" si="91"/>
        <v>0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>
        <f t="shared" ca="1" si="102"/>
        <v>31.6</v>
      </c>
      <c r="Y136" s="15">
        <f t="shared" ca="1" si="103"/>
        <v>0</v>
      </c>
      <c r="Z136" s="16">
        <f t="shared" ca="1" si="104"/>
        <v>26.4</v>
      </c>
      <c r="AA136" s="15">
        <f t="shared" ca="1" si="105"/>
        <v>0</v>
      </c>
      <c r="AB136" s="9">
        <f t="shared" ca="1" si="106"/>
        <v>135</v>
      </c>
      <c r="AC136" s="15">
        <f t="shared" ca="1" si="107"/>
        <v>0</v>
      </c>
      <c r="AD136" s="76">
        <f t="shared" ca="1" si="108"/>
        <v>4.5999999999999996</v>
      </c>
      <c r="AE136" s="15">
        <f t="shared" ca="1" si="109"/>
        <v>0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>
        <f t="shared" ca="1" si="118"/>
        <v>90</v>
      </c>
      <c r="AO136" s="15">
        <f t="shared" ca="1" si="119"/>
        <v>0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19190516</v>
      </c>
      <c r="C137" s="72">
        <f t="shared" si="81"/>
        <v>700</v>
      </c>
      <c r="D137" s="16">
        <f t="shared" ca="1" si="82"/>
        <v>28.3</v>
      </c>
      <c r="E137" s="15">
        <f t="shared" ca="1" si="83"/>
        <v>0</v>
      </c>
      <c r="F137" s="73">
        <f t="shared" ca="1" si="84"/>
        <v>764.49</v>
      </c>
      <c r="G137" s="15">
        <f t="shared" ca="1" si="85"/>
        <v>0</v>
      </c>
      <c r="H137" s="73">
        <f t="shared" ca="1" si="86"/>
        <v>6.71</v>
      </c>
      <c r="I137" s="15">
        <f t="shared" ca="1" si="87"/>
        <v>0</v>
      </c>
      <c r="J137" s="73">
        <f t="shared" ca="1" si="88"/>
        <v>757.78</v>
      </c>
      <c r="K137" s="15">
        <f t="shared" ca="1" si="89"/>
        <v>0</v>
      </c>
      <c r="L137" s="16">
        <f t="shared" ca="1" si="90"/>
        <v>759.7</v>
      </c>
      <c r="M137" s="15">
        <f t="shared" ca="1" si="91"/>
        <v>0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>
        <f t="shared" ca="1" si="102"/>
        <v>30.8</v>
      </c>
      <c r="Y137" s="15">
        <f t="shared" ca="1" si="103"/>
        <v>0</v>
      </c>
      <c r="Z137" s="16">
        <f t="shared" ca="1" si="104"/>
        <v>26.6</v>
      </c>
      <c r="AA137" s="15">
        <f t="shared" ca="1" si="105"/>
        <v>0</v>
      </c>
      <c r="AB137" s="9">
        <f t="shared" ca="1" si="106"/>
        <v>135</v>
      </c>
      <c r="AC137" s="15">
        <f t="shared" ca="1" si="107"/>
        <v>0</v>
      </c>
      <c r="AD137" s="76">
        <f t="shared" ca="1" si="108"/>
        <v>5.0999999999999996</v>
      </c>
      <c r="AE137" s="15">
        <f t="shared" ca="1" si="109"/>
        <v>0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>
        <f t="shared" ca="1" si="118"/>
        <v>90</v>
      </c>
      <c r="AO137" s="15">
        <f t="shared" ca="1" si="119"/>
        <v>0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19190517</v>
      </c>
      <c r="C138" s="72">
        <f t="shared" si="81"/>
        <v>700</v>
      </c>
      <c r="D138" s="16">
        <f t="shared" ca="1" si="82"/>
        <v>28.3</v>
      </c>
      <c r="E138" s="15">
        <f t="shared" ca="1" si="83"/>
        <v>0</v>
      </c>
      <c r="F138" s="73">
        <f t="shared" ca="1" si="84"/>
        <v>764.79</v>
      </c>
      <c r="G138" s="15">
        <f t="shared" ca="1" si="85"/>
        <v>0</v>
      </c>
      <c r="H138" s="73">
        <f t="shared" ca="1" si="86"/>
        <v>6.71</v>
      </c>
      <c r="I138" s="15">
        <f t="shared" ca="1" si="87"/>
        <v>0</v>
      </c>
      <c r="J138" s="73">
        <f t="shared" ca="1" si="88"/>
        <v>758.09</v>
      </c>
      <c r="K138" s="15">
        <f t="shared" ca="1" si="89"/>
        <v>0</v>
      </c>
      <c r="L138" s="16">
        <f t="shared" ca="1" si="90"/>
        <v>760.2</v>
      </c>
      <c r="M138" s="15">
        <f t="shared" ca="1" si="91"/>
        <v>0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>
        <f t="shared" ca="1" si="102"/>
        <v>31.1</v>
      </c>
      <c r="Y138" s="15">
        <f t="shared" ca="1" si="103"/>
        <v>0</v>
      </c>
      <c r="Z138" s="16">
        <f t="shared" ca="1" si="104"/>
        <v>25.9</v>
      </c>
      <c r="AA138" s="15">
        <f t="shared" ca="1" si="105"/>
        <v>0</v>
      </c>
      <c r="AB138" s="9">
        <f t="shared" ca="1" si="106"/>
        <v>90</v>
      </c>
      <c r="AC138" s="15">
        <f t="shared" ca="1" si="107"/>
        <v>0</v>
      </c>
      <c r="AD138" s="76">
        <f t="shared" ca="1" si="108"/>
        <v>5.0999999999999996</v>
      </c>
      <c r="AE138" s="15">
        <f t="shared" ca="1" si="109"/>
        <v>0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>
        <f t="shared" ca="1" si="118"/>
        <v>90</v>
      </c>
      <c r="AO138" s="15">
        <f t="shared" ca="1" si="119"/>
        <v>0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19190518</v>
      </c>
      <c r="C139" s="72">
        <f t="shared" si="81"/>
        <v>700</v>
      </c>
      <c r="D139" s="16">
        <f t="shared" ca="1" si="82"/>
        <v>28.1</v>
      </c>
      <c r="E139" s="15">
        <f t="shared" ca="1" si="83"/>
        <v>0</v>
      </c>
      <c r="F139" s="73">
        <f t="shared" ca="1" si="84"/>
        <v>764.31</v>
      </c>
      <c r="G139" s="15">
        <f t="shared" ca="1" si="85"/>
        <v>0</v>
      </c>
      <c r="H139" s="73">
        <f t="shared" ca="1" si="86"/>
        <v>6.68</v>
      </c>
      <c r="I139" s="15">
        <f t="shared" ca="1" si="87"/>
        <v>0</v>
      </c>
      <c r="J139" s="73">
        <f t="shared" ca="1" si="88"/>
        <v>757.63</v>
      </c>
      <c r="K139" s="15">
        <f t="shared" ca="1" si="89"/>
        <v>0</v>
      </c>
      <c r="L139" s="16">
        <f t="shared" ca="1" si="90"/>
        <v>759.7</v>
      </c>
      <c r="M139" s="15">
        <f t="shared" ca="1" si="91"/>
        <v>0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>
        <f t="shared" ca="1" si="102"/>
        <v>30</v>
      </c>
      <c r="Y139" s="15">
        <f t="shared" ca="1" si="103"/>
        <v>0</v>
      </c>
      <c r="Z139" s="16">
        <f t="shared" ca="1" si="104"/>
        <v>25.2</v>
      </c>
      <c r="AA139" s="15">
        <f t="shared" ca="1" si="105"/>
        <v>0</v>
      </c>
      <c r="AB139" s="9">
        <f t="shared" ca="1" si="106"/>
        <v>90</v>
      </c>
      <c r="AC139" s="15">
        <f t="shared" ca="1" si="107"/>
        <v>0</v>
      </c>
      <c r="AD139" s="76">
        <f t="shared" ca="1" si="108"/>
        <v>6.2</v>
      </c>
      <c r="AE139" s="15">
        <f t="shared" ca="1" si="109"/>
        <v>0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>
        <f t="shared" ca="1" si="118"/>
        <v>90</v>
      </c>
      <c r="AO139" s="15">
        <f t="shared" ca="1" si="119"/>
        <v>0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19190519</v>
      </c>
      <c r="C140" s="72">
        <f t="shared" si="81"/>
        <v>700</v>
      </c>
      <c r="D140" s="16">
        <f t="shared" ca="1" si="82"/>
        <v>27.8</v>
      </c>
      <c r="E140" s="15">
        <f t="shared" ca="1" si="83"/>
        <v>0</v>
      </c>
      <c r="F140" s="73">
        <f t="shared" ca="1" si="84"/>
        <v>763.93</v>
      </c>
      <c r="G140" s="15">
        <f t="shared" ca="1" si="85"/>
        <v>0</v>
      </c>
      <c r="H140" s="73">
        <f t="shared" ca="1" si="86"/>
        <v>6.65</v>
      </c>
      <c r="I140" s="15">
        <f t="shared" ca="1" si="87"/>
        <v>0</v>
      </c>
      <c r="J140" s="73">
        <f t="shared" ca="1" si="88"/>
        <v>757.12</v>
      </c>
      <c r="K140" s="15">
        <f t="shared" ca="1" si="89"/>
        <v>0</v>
      </c>
      <c r="L140" s="16">
        <f t="shared" ca="1" si="90"/>
        <v>759.2</v>
      </c>
      <c r="M140" s="15">
        <f t="shared" ca="1" si="91"/>
        <v>0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>
        <f t="shared" ca="1" si="102"/>
        <v>30.2</v>
      </c>
      <c r="Y140" s="15">
        <f t="shared" ca="1" si="103"/>
        <v>0</v>
      </c>
      <c r="Z140" s="16">
        <f t="shared" ca="1" si="104"/>
        <v>26.6</v>
      </c>
      <c r="AA140" s="15">
        <f t="shared" ca="1" si="105"/>
        <v>0</v>
      </c>
      <c r="AB140" s="9">
        <f t="shared" ca="1" si="106"/>
        <v>90</v>
      </c>
      <c r="AC140" s="15">
        <f t="shared" ca="1" si="107"/>
        <v>0</v>
      </c>
      <c r="AD140" s="76">
        <f t="shared" ca="1" si="108"/>
        <v>5.0999999999999996</v>
      </c>
      <c r="AE140" s="15">
        <f t="shared" ca="1" si="109"/>
        <v>0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>
        <f t="shared" ca="1" si="118"/>
        <v>90</v>
      </c>
      <c r="AO140" s="15">
        <f t="shared" ca="1" si="119"/>
        <v>0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19190520</v>
      </c>
      <c r="C141" s="72">
        <f t="shared" si="81"/>
        <v>700</v>
      </c>
      <c r="D141" s="16">
        <f t="shared" ca="1" si="82"/>
        <v>27.8</v>
      </c>
      <c r="E141" s="15">
        <f t="shared" ca="1" si="83"/>
        <v>0</v>
      </c>
      <c r="F141" s="73">
        <f t="shared" ca="1" si="84"/>
        <v>762.76</v>
      </c>
      <c r="G141" s="15">
        <f t="shared" ca="1" si="85"/>
        <v>0</v>
      </c>
      <c r="H141" s="73">
        <f t="shared" ca="1" si="86"/>
        <v>6.65</v>
      </c>
      <c r="I141" s="15">
        <f t="shared" ca="1" si="87"/>
        <v>0</v>
      </c>
      <c r="J141" s="73">
        <f t="shared" ca="1" si="88"/>
        <v>756.11</v>
      </c>
      <c r="K141" s="15">
        <f t="shared" ca="1" si="89"/>
        <v>0</v>
      </c>
      <c r="L141" s="16">
        <f t="shared" ca="1" si="90"/>
        <v>758.2</v>
      </c>
      <c r="M141" s="15">
        <f t="shared" ca="1" si="91"/>
        <v>0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>
        <f t="shared" ca="1" si="102"/>
        <v>30.9</v>
      </c>
      <c r="Y141" s="15">
        <f t="shared" ca="1" si="103"/>
        <v>0</v>
      </c>
      <c r="Z141" s="16">
        <f t="shared" ca="1" si="104"/>
        <v>26.7</v>
      </c>
      <c r="AA141" s="15">
        <f t="shared" ca="1" si="105"/>
        <v>0</v>
      </c>
      <c r="AB141" s="9">
        <f t="shared" ca="1" si="106"/>
        <v>90</v>
      </c>
      <c r="AC141" s="15">
        <f t="shared" ca="1" si="107"/>
        <v>0</v>
      </c>
      <c r="AD141" s="76">
        <f t="shared" ca="1" si="108"/>
        <v>5.0999999999999996</v>
      </c>
      <c r="AE141" s="15">
        <f t="shared" ca="1" si="109"/>
        <v>0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>
        <f t="shared" ca="1" si="118"/>
        <v>90</v>
      </c>
      <c r="AO141" s="15">
        <f t="shared" ca="1" si="119"/>
        <v>0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19190521</v>
      </c>
      <c r="C142" s="72">
        <f t="shared" si="81"/>
        <v>700</v>
      </c>
      <c r="D142" s="16">
        <f t="shared" ca="1" si="82"/>
        <v>28.1</v>
      </c>
      <c r="E142" s="15">
        <f t="shared" ca="1" si="83"/>
        <v>0</v>
      </c>
      <c r="F142" s="73">
        <f t="shared" ca="1" si="84"/>
        <v>762.74</v>
      </c>
      <c r="G142" s="15">
        <f t="shared" ca="1" si="85"/>
        <v>0</v>
      </c>
      <c r="H142" s="73">
        <f t="shared" ca="1" si="86"/>
        <v>6.68</v>
      </c>
      <c r="I142" s="15">
        <f t="shared" ca="1" si="87"/>
        <v>0</v>
      </c>
      <c r="J142" s="73">
        <f t="shared" ca="1" si="88"/>
        <v>756.06</v>
      </c>
      <c r="K142" s="15">
        <f t="shared" ca="1" si="89"/>
        <v>0</v>
      </c>
      <c r="L142" s="16">
        <f t="shared" ca="1" si="90"/>
        <v>758.2</v>
      </c>
      <c r="M142" s="15">
        <f t="shared" ca="1" si="91"/>
        <v>0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>
        <f t="shared" ca="1" si="102"/>
        <v>30.7</v>
      </c>
      <c r="Y142" s="15">
        <f t="shared" ca="1" si="103"/>
        <v>0</v>
      </c>
      <c r="Z142" s="16">
        <f t="shared" ca="1" si="104"/>
        <v>26.4</v>
      </c>
      <c r="AA142" s="15">
        <f t="shared" ca="1" si="105"/>
        <v>0</v>
      </c>
      <c r="AB142" s="9">
        <f t="shared" ca="1" si="106"/>
        <v>45</v>
      </c>
      <c r="AC142" s="15">
        <f t="shared" ca="1" si="107"/>
        <v>0</v>
      </c>
      <c r="AD142" s="76">
        <f t="shared" ca="1" si="108"/>
        <v>5.0999999999999996</v>
      </c>
      <c r="AE142" s="15">
        <f t="shared" ca="1" si="109"/>
        <v>0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>
        <f t="shared" ca="1" si="118"/>
        <v>90</v>
      </c>
      <c r="AO142" s="15">
        <f t="shared" ca="1" si="119"/>
        <v>0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19190522</v>
      </c>
      <c r="C143" s="72">
        <f t="shared" si="81"/>
        <v>700</v>
      </c>
      <c r="D143" s="16">
        <f t="shared" ca="1" si="82"/>
        <v>28.3</v>
      </c>
      <c r="E143" s="15">
        <f t="shared" ca="1" si="83"/>
        <v>0</v>
      </c>
      <c r="F143" s="73">
        <f t="shared" ca="1" si="84"/>
        <v>764.08</v>
      </c>
      <c r="G143" s="15">
        <f t="shared" ca="1" si="85"/>
        <v>0</v>
      </c>
      <c r="H143" s="73">
        <f t="shared" ca="1" si="86"/>
        <v>6.71</v>
      </c>
      <c r="I143" s="15">
        <f t="shared" ca="1" si="87"/>
        <v>0</v>
      </c>
      <c r="J143" s="73">
        <f t="shared" ca="1" si="88"/>
        <v>757.38</v>
      </c>
      <c r="K143" s="15">
        <f t="shared" ca="1" si="89"/>
        <v>0</v>
      </c>
      <c r="L143" s="16">
        <f t="shared" ca="1" si="90"/>
        <v>759.5</v>
      </c>
      <c r="M143" s="15">
        <f t="shared" ca="1" si="91"/>
        <v>0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>
        <f t="shared" ca="1" si="102"/>
        <v>31.1</v>
      </c>
      <c r="Y143" s="15">
        <f t="shared" ca="1" si="103"/>
        <v>0</v>
      </c>
      <c r="Z143" s="16">
        <f t="shared" ca="1" si="104"/>
        <v>26.5</v>
      </c>
      <c r="AA143" s="15">
        <f t="shared" ca="1" si="105"/>
        <v>0</v>
      </c>
      <c r="AB143" s="9">
        <f t="shared" ca="1" si="106"/>
        <v>90</v>
      </c>
      <c r="AC143" s="15">
        <f t="shared" ca="1" si="107"/>
        <v>0</v>
      </c>
      <c r="AD143" s="76">
        <f t="shared" ca="1" si="108"/>
        <v>6.2</v>
      </c>
      <c r="AE143" s="15">
        <f t="shared" ca="1" si="109"/>
        <v>0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>
        <f t="shared" ca="1" si="118"/>
        <v>90</v>
      </c>
      <c r="AO143" s="15">
        <f t="shared" ca="1" si="119"/>
        <v>0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19190523</v>
      </c>
      <c r="C144" s="72">
        <f t="shared" si="81"/>
        <v>700</v>
      </c>
      <c r="D144" s="16">
        <f t="shared" ca="1" si="82"/>
        <v>27.5</v>
      </c>
      <c r="E144" s="15">
        <f t="shared" ca="1" si="83"/>
        <v>0</v>
      </c>
      <c r="F144" s="73">
        <f t="shared" ca="1" si="84"/>
        <v>764.54</v>
      </c>
      <c r="G144" s="15">
        <f t="shared" ca="1" si="85"/>
        <v>0</v>
      </c>
      <c r="H144" s="73">
        <f t="shared" ca="1" si="86"/>
        <v>6.6</v>
      </c>
      <c r="I144" s="15">
        <f t="shared" ca="1" si="87"/>
        <v>0</v>
      </c>
      <c r="J144" s="73">
        <f t="shared" ca="1" si="88"/>
        <v>757.94</v>
      </c>
      <c r="K144" s="15">
        <f t="shared" ca="1" si="89"/>
        <v>0</v>
      </c>
      <c r="L144" s="16">
        <f t="shared" ca="1" si="90"/>
        <v>760</v>
      </c>
      <c r="M144" s="15">
        <f t="shared" ca="1" si="91"/>
        <v>0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>
        <f t="shared" ca="1" si="102"/>
        <v>30.9</v>
      </c>
      <c r="Y144" s="15">
        <f t="shared" ca="1" si="103"/>
        <v>0</v>
      </c>
      <c r="Z144" s="16">
        <f t="shared" ca="1" si="104"/>
        <v>25.1</v>
      </c>
      <c r="AA144" s="15">
        <f t="shared" ca="1" si="105"/>
        <v>0</v>
      </c>
      <c r="AB144" s="9">
        <f t="shared" ca="1" si="106"/>
        <v>45</v>
      </c>
      <c r="AC144" s="15">
        <f t="shared" ca="1" si="107"/>
        <v>0</v>
      </c>
      <c r="AD144" s="76">
        <f t="shared" ca="1" si="108"/>
        <v>5.0999999999999996</v>
      </c>
      <c r="AE144" s="15">
        <f t="shared" ca="1" si="109"/>
        <v>0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>
        <f t="shared" ca="1" si="118"/>
        <v>90</v>
      </c>
      <c r="AO144" s="15">
        <f t="shared" ca="1" si="119"/>
        <v>0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19190524</v>
      </c>
      <c r="C145" s="72">
        <f t="shared" si="81"/>
        <v>700</v>
      </c>
      <c r="D145" s="16">
        <f t="shared" ca="1" si="82"/>
        <v>27.8</v>
      </c>
      <c r="E145" s="15">
        <f t="shared" ca="1" si="83"/>
        <v>0</v>
      </c>
      <c r="F145" s="73">
        <f t="shared" ca="1" si="84"/>
        <v>764.36</v>
      </c>
      <c r="G145" s="15">
        <f t="shared" ca="1" si="85"/>
        <v>0</v>
      </c>
      <c r="H145" s="73">
        <f t="shared" ca="1" si="86"/>
        <v>6.65</v>
      </c>
      <c r="I145" s="15">
        <f t="shared" ca="1" si="87"/>
        <v>0</v>
      </c>
      <c r="J145" s="73">
        <f t="shared" ca="1" si="88"/>
        <v>757.71</v>
      </c>
      <c r="K145" s="15">
        <f t="shared" ca="1" si="89"/>
        <v>0</v>
      </c>
      <c r="L145" s="16">
        <f t="shared" ca="1" si="90"/>
        <v>759.7</v>
      </c>
      <c r="M145" s="15">
        <f t="shared" ca="1" si="91"/>
        <v>0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>
        <f t="shared" ca="1" si="102"/>
        <v>31</v>
      </c>
      <c r="Y145" s="15">
        <f t="shared" ca="1" si="103"/>
        <v>0</v>
      </c>
      <c r="Z145" s="16">
        <f t="shared" ca="1" si="104"/>
        <v>25.9</v>
      </c>
      <c r="AA145" s="15">
        <f t="shared" ca="1" si="105"/>
        <v>0</v>
      </c>
      <c r="AB145" s="9">
        <f t="shared" ca="1" si="106"/>
        <v>135</v>
      </c>
      <c r="AC145" s="15">
        <f t="shared" ca="1" si="107"/>
        <v>0</v>
      </c>
      <c r="AD145" s="76">
        <f t="shared" ca="1" si="108"/>
        <v>6.2</v>
      </c>
      <c r="AE145" s="15">
        <f t="shared" ca="1" si="109"/>
        <v>0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>
        <f t="shared" ca="1" si="118"/>
        <v>90</v>
      </c>
      <c r="AO145" s="15">
        <f t="shared" ca="1" si="119"/>
        <v>0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19190525</v>
      </c>
      <c r="C146" s="72">
        <f t="shared" si="81"/>
        <v>700</v>
      </c>
      <c r="D146" s="16">
        <f t="shared" ca="1" si="82"/>
        <v>27.8</v>
      </c>
      <c r="E146" s="15">
        <f t="shared" ca="1" si="83"/>
        <v>0</v>
      </c>
      <c r="F146" s="73">
        <f t="shared" ca="1" si="84"/>
        <v>764.29</v>
      </c>
      <c r="G146" s="15">
        <f t="shared" ca="1" si="85"/>
        <v>0</v>
      </c>
      <c r="H146" s="73">
        <f t="shared" ca="1" si="86"/>
        <v>6.65</v>
      </c>
      <c r="I146" s="15">
        <f t="shared" ca="1" si="87"/>
        <v>0</v>
      </c>
      <c r="J146" s="73">
        <f t="shared" ca="1" si="88"/>
        <v>757.63</v>
      </c>
      <c r="K146" s="15">
        <f t="shared" ca="1" si="89"/>
        <v>0</v>
      </c>
      <c r="L146" s="16">
        <f t="shared" ca="1" si="90"/>
        <v>759.7</v>
      </c>
      <c r="M146" s="15">
        <f t="shared" ca="1" si="91"/>
        <v>0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>
        <f t="shared" ca="1" si="102"/>
        <v>31.1</v>
      </c>
      <c r="Y146" s="15">
        <f t="shared" ca="1" si="103"/>
        <v>0</v>
      </c>
      <c r="Z146" s="16">
        <f t="shared" ca="1" si="104"/>
        <v>26</v>
      </c>
      <c r="AA146" s="15">
        <f t="shared" ca="1" si="105"/>
        <v>0</v>
      </c>
      <c r="AB146" s="9">
        <f t="shared" ca="1" si="106"/>
        <v>90</v>
      </c>
      <c r="AC146" s="15">
        <f t="shared" ca="1" si="107"/>
        <v>0</v>
      </c>
      <c r="AD146" s="76">
        <f t="shared" ca="1" si="108"/>
        <v>6.2</v>
      </c>
      <c r="AE146" s="15">
        <f t="shared" ca="1" si="109"/>
        <v>0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>
        <f t="shared" ca="1" si="118"/>
        <v>90</v>
      </c>
      <c r="AO146" s="15">
        <f t="shared" ca="1" si="119"/>
        <v>0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19190526</v>
      </c>
      <c r="C147" s="72">
        <f t="shared" si="81"/>
        <v>700</v>
      </c>
      <c r="D147" s="16">
        <f t="shared" ca="1" si="82"/>
        <v>27.8</v>
      </c>
      <c r="E147" s="15">
        <f t="shared" ca="1" si="83"/>
        <v>0</v>
      </c>
      <c r="F147" s="73">
        <f t="shared" ca="1" si="84"/>
        <v>763.96</v>
      </c>
      <c r="G147" s="15">
        <f t="shared" ca="1" si="85"/>
        <v>0</v>
      </c>
      <c r="H147" s="73">
        <f t="shared" ca="1" si="86"/>
        <v>6.65</v>
      </c>
      <c r="I147" s="15">
        <f t="shared" ca="1" si="87"/>
        <v>0</v>
      </c>
      <c r="J147" s="73">
        <f t="shared" ca="1" si="88"/>
        <v>757.15</v>
      </c>
      <c r="K147" s="15">
        <f t="shared" ca="1" si="89"/>
        <v>0</v>
      </c>
      <c r="L147" s="16">
        <f t="shared" ca="1" si="90"/>
        <v>759.2</v>
      </c>
      <c r="M147" s="15">
        <f t="shared" ca="1" si="91"/>
        <v>0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>
        <f t="shared" ca="1" si="102"/>
        <v>31.1</v>
      </c>
      <c r="Y147" s="15">
        <f t="shared" ca="1" si="103"/>
        <v>0</v>
      </c>
      <c r="Z147" s="16">
        <f t="shared" ca="1" si="104"/>
        <v>25.9</v>
      </c>
      <c r="AA147" s="15">
        <f t="shared" ca="1" si="105"/>
        <v>0</v>
      </c>
      <c r="AB147" s="9">
        <f t="shared" ca="1" si="106"/>
        <v>45</v>
      </c>
      <c r="AC147" s="15">
        <f t="shared" ca="1" si="107"/>
        <v>0</v>
      </c>
      <c r="AD147" s="76">
        <f t="shared" ca="1" si="108"/>
        <v>5.0999999999999996</v>
      </c>
      <c r="AE147" s="15">
        <f t="shared" ca="1" si="109"/>
        <v>0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>
        <f t="shared" ca="1" si="118"/>
        <v>90</v>
      </c>
      <c r="AO147" s="15">
        <f t="shared" ca="1" si="119"/>
        <v>0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19190527</v>
      </c>
      <c r="C148" s="72">
        <f t="shared" si="81"/>
        <v>700</v>
      </c>
      <c r="D148" s="16">
        <f t="shared" ca="1" si="82"/>
        <v>27.8</v>
      </c>
      <c r="E148" s="15">
        <f t="shared" ca="1" si="83"/>
        <v>0</v>
      </c>
      <c r="F148" s="73">
        <f t="shared" ca="1" si="84"/>
        <v>764.03</v>
      </c>
      <c r="G148" s="15">
        <f t="shared" ca="1" si="85"/>
        <v>0</v>
      </c>
      <c r="H148" s="73">
        <f t="shared" ca="1" si="86"/>
        <v>6.65</v>
      </c>
      <c r="I148" s="15">
        <f t="shared" ca="1" si="87"/>
        <v>0</v>
      </c>
      <c r="J148" s="73">
        <f t="shared" ca="1" si="88"/>
        <v>757.38</v>
      </c>
      <c r="K148" s="15">
        <f t="shared" ca="1" si="89"/>
        <v>0</v>
      </c>
      <c r="L148" s="16">
        <f t="shared" ca="1" si="90"/>
        <v>759.5</v>
      </c>
      <c r="M148" s="15">
        <f t="shared" ca="1" si="91"/>
        <v>0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>
        <f t="shared" ca="1" si="102"/>
        <v>30.8</v>
      </c>
      <c r="Y148" s="15">
        <f t="shared" ca="1" si="103"/>
        <v>0</v>
      </c>
      <c r="Z148" s="16">
        <f t="shared" ca="1" si="104"/>
        <v>26.1</v>
      </c>
      <c r="AA148" s="15">
        <f t="shared" ca="1" si="105"/>
        <v>0</v>
      </c>
      <c r="AB148" s="9">
        <f t="shared" ca="1" si="106"/>
        <v>135</v>
      </c>
      <c r="AC148" s="15">
        <f t="shared" ca="1" si="107"/>
        <v>0</v>
      </c>
      <c r="AD148" s="76">
        <f t="shared" ca="1" si="108"/>
        <v>6.2</v>
      </c>
      <c r="AE148" s="15">
        <f t="shared" ca="1" si="109"/>
        <v>0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>
        <f t="shared" ca="1" si="118"/>
        <v>90</v>
      </c>
      <c r="AO148" s="15">
        <f t="shared" ca="1" si="119"/>
        <v>0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19190528</v>
      </c>
      <c r="C149" s="72">
        <f t="shared" si="81"/>
        <v>700</v>
      </c>
      <c r="D149" s="16">
        <f t="shared" ca="1" si="82"/>
        <v>27.8</v>
      </c>
      <c r="E149" s="15">
        <f t="shared" ca="1" si="83"/>
        <v>0</v>
      </c>
      <c r="F149" s="73">
        <f t="shared" ca="1" si="84"/>
        <v>765</v>
      </c>
      <c r="G149" s="15">
        <f t="shared" ca="1" si="85"/>
        <v>0</v>
      </c>
      <c r="H149" s="73">
        <f t="shared" ca="1" si="86"/>
        <v>6.65</v>
      </c>
      <c r="I149" s="15">
        <f t="shared" ca="1" si="87"/>
        <v>0</v>
      </c>
      <c r="J149" s="73">
        <f t="shared" ca="1" si="88"/>
        <v>758.34</v>
      </c>
      <c r="K149" s="15">
        <f t="shared" ca="1" si="89"/>
        <v>0</v>
      </c>
      <c r="L149" s="16">
        <f t="shared" ca="1" si="90"/>
        <v>760.5</v>
      </c>
      <c r="M149" s="15">
        <f t="shared" ca="1" si="91"/>
        <v>0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>
        <f t="shared" ca="1" si="102"/>
        <v>30.4</v>
      </c>
      <c r="Y149" s="15">
        <f t="shared" ca="1" si="103"/>
        <v>0</v>
      </c>
      <c r="Z149" s="16">
        <f t="shared" ca="1" si="104"/>
        <v>25.9</v>
      </c>
      <c r="AA149" s="15">
        <f t="shared" ca="1" si="105"/>
        <v>0</v>
      </c>
      <c r="AB149" s="9">
        <f t="shared" ca="1" si="106"/>
        <v>135</v>
      </c>
      <c r="AC149" s="15">
        <f t="shared" ca="1" si="107"/>
        <v>0</v>
      </c>
      <c r="AD149" s="76">
        <f t="shared" ca="1" si="108"/>
        <v>4.0999999999999996</v>
      </c>
      <c r="AE149" s="15">
        <f t="shared" ca="1" si="109"/>
        <v>0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>
        <f t="shared" ca="1" si="118"/>
        <v>135</v>
      </c>
      <c r="AO149" s="15">
        <f t="shared" ca="1" si="119"/>
        <v>0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19190529</v>
      </c>
      <c r="C150" s="72">
        <f t="shared" si="81"/>
        <v>700</v>
      </c>
      <c r="D150" s="16">
        <f t="shared" ca="1" si="82"/>
        <v>27.8</v>
      </c>
      <c r="E150" s="15">
        <f t="shared" ca="1" si="83"/>
        <v>0</v>
      </c>
      <c r="F150" s="73">
        <f t="shared" ca="1" si="84"/>
        <v>765.02</v>
      </c>
      <c r="G150" s="15">
        <f t="shared" ca="1" si="85"/>
        <v>0</v>
      </c>
      <c r="H150" s="73">
        <f t="shared" ca="1" si="86"/>
        <v>6.65</v>
      </c>
      <c r="I150" s="15">
        <f t="shared" ca="1" si="87"/>
        <v>0</v>
      </c>
      <c r="J150" s="73">
        <f t="shared" ca="1" si="88"/>
        <v>758.37</v>
      </c>
      <c r="K150" s="15">
        <f t="shared" ca="1" si="89"/>
        <v>0</v>
      </c>
      <c r="L150" s="16">
        <f t="shared" ca="1" si="90"/>
        <v>760.5</v>
      </c>
      <c r="M150" s="15">
        <f t="shared" ca="1" si="91"/>
        <v>0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>
        <f t="shared" ca="1" si="102"/>
        <v>30.8</v>
      </c>
      <c r="Y150" s="15">
        <f t="shared" ca="1" si="103"/>
        <v>0</v>
      </c>
      <c r="Z150" s="16">
        <f t="shared" ca="1" si="104"/>
        <v>26.2</v>
      </c>
      <c r="AA150" s="15">
        <f t="shared" ca="1" si="105"/>
        <v>0</v>
      </c>
      <c r="AB150" s="9">
        <f t="shared" ca="1" si="106"/>
        <v>135</v>
      </c>
      <c r="AC150" s="15">
        <f t="shared" ca="1" si="107"/>
        <v>0</v>
      </c>
      <c r="AD150" s="76">
        <f t="shared" ca="1" si="108"/>
        <v>5.0999999999999996</v>
      </c>
      <c r="AE150" s="15">
        <f t="shared" ca="1" si="109"/>
        <v>0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>
        <f t="shared" ca="1" si="118"/>
        <v>90</v>
      </c>
      <c r="AO150" s="15">
        <f t="shared" ca="1" si="119"/>
        <v>0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19190530</v>
      </c>
      <c r="C151" s="72">
        <f t="shared" si="81"/>
        <v>700</v>
      </c>
      <c r="D151" s="16">
        <f t="shared" ca="1" si="82"/>
        <v>28.1</v>
      </c>
      <c r="E151" s="15">
        <f t="shared" ca="1" si="83"/>
        <v>0</v>
      </c>
      <c r="F151" s="73">
        <f t="shared" ca="1" si="84"/>
        <v>764.06</v>
      </c>
      <c r="G151" s="15">
        <f t="shared" ca="1" si="85"/>
        <v>0</v>
      </c>
      <c r="H151" s="73">
        <f t="shared" ca="1" si="86"/>
        <v>6.68</v>
      </c>
      <c r="I151" s="15">
        <f t="shared" ca="1" si="87"/>
        <v>0</v>
      </c>
      <c r="J151" s="73">
        <f t="shared" ca="1" si="88"/>
        <v>757.38</v>
      </c>
      <c r="K151" s="15">
        <f t="shared" ca="1" si="89"/>
        <v>0</v>
      </c>
      <c r="L151" s="16">
        <f t="shared" ca="1" si="90"/>
        <v>759.5</v>
      </c>
      <c r="M151" s="15">
        <f t="shared" ca="1" si="91"/>
        <v>0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>
        <f t="shared" ca="1" si="102"/>
        <v>30.4</v>
      </c>
      <c r="Y151" s="15">
        <f t="shared" ca="1" si="103"/>
        <v>0</v>
      </c>
      <c r="Z151" s="16">
        <f t="shared" ca="1" si="104"/>
        <v>26.4</v>
      </c>
      <c r="AA151" s="15">
        <f t="shared" ca="1" si="105"/>
        <v>0</v>
      </c>
      <c r="AB151" s="9">
        <f t="shared" ca="1" si="106"/>
        <v>90</v>
      </c>
      <c r="AC151" s="15">
        <f t="shared" ca="1" si="107"/>
        <v>0</v>
      </c>
      <c r="AD151" s="76">
        <f t="shared" ca="1" si="108"/>
        <v>6.2</v>
      </c>
      <c r="AE151" s="15">
        <f t="shared" ca="1" si="109"/>
        <v>0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>
        <f t="shared" ca="1" si="118"/>
        <v>90</v>
      </c>
      <c r="AO151" s="15">
        <f t="shared" ca="1" si="119"/>
        <v>0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19190531</v>
      </c>
      <c r="C152" s="72">
        <f t="shared" si="81"/>
        <v>700</v>
      </c>
      <c r="D152" s="16">
        <f t="shared" ca="1" si="82"/>
        <v>28.1</v>
      </c>
      <c r="E152" s="15">
        <f t="shared" ca="1" si="83"/>
        <v>0</v>
      </c>
      <c r="F152" s="73">
        <f t="shared" ca="1" si="84"/>
        <v>763.42</v>
      </c>
      <c r="G152" s="15">
        <f t="shared" ca="1" si="85"/>
        <v>0</v>
      </c>
      <c r="H152" s="73">
        <f t="shared" ca="1" si="86"/>
        <v>6.68</v>
      </c>
      <c r="I152" s="15">
        <f t="shared" ca="1" si="87"/>
        <v>0</v>
      </c>
      <c r="J152" s="73">
        <f t="shared" ca="1" si="88"/>
        <v>756.74</v>
      </c>
      <c r="K152" s="15">
        <f t="shared" ca="1" si="89"/>
        <v>0</v>
      </c>
      <c r="L152" s="16">
        <f t="shared" ca="1" si="90"/>
        <v>758.7</v>
      </c>
      <c r="M152" s="15">
        <f t="shared" ca="1" si="91"/>
        <v>0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>
        <f t="shared" ca="1" si="102"/>
        <v>30.9</v>
      </c>
      <c r="Y152" s="15">
        <f t="shared" ca="1" si="103"/>
        <v>0</v>
      </c>
      <c r="Z152" s="16">
        <f t="shared" ca="1" si="104"/>
        <v>26.2</v>
      </c>
      <c r="AA152" s="15">
        <f t="shared" ca="1" si="105"/>
        <v>0</v>
      </c>
      <c r="AB152" s="9">
        <f t="shared" ca="1" si="106"/>
        <v>90</v>
      </c>
      <c r="AC152" s="15">
        <f t="shared" ca="1" si="107"/>
        <v>0</v>
      </c>
      <c r="AD152" s="76">
        <f t="shared" ca="1" si="108"/>
        <v>5.0999999999999996</v>
      </c>
      <c r="AE152" s="15">
        <f t="shared" ca="1" si="109"/>
        <v>0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>
        <f t="shared" ca="1" si="118"/>
        <v>90</v>
      </c>
      <c r="AO152" s="15">
        <f t="shared" ca="1" si="119"/>
        <v>0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19190601</v>
      </c>
      <c r="C153" s="72">
        <f t="shared" si="81"/>
        <v>700</v>
      </c>
      <c r="D153" s="16">
        <f t="shared" ca="1" si="82"/>
        <v>27.8</v>
      </c>
      <c r="E153" s="15">
        <f t="shared" ca="1" si="83"/>
        <v>0</v>
      </c>
      <c r="F153" s="73">
        <f t="shared" ca="1" si="84"/>
        <v>761.54</v>
      </c>
      <c r="G153" s="15">
        <f t="shared" ca="1" si="85"/>
        <v>0</v>
      </c>
      <c r="H153" s="73">
        <f t="shared" ca="1" si="86"/>
        <v>6.6</v>
      </c>
      <c r="I153" s="15">
        <f t="shared" ca="1" si="87"/>
        <v>0</v>
      </c>
      <c r="J153" s="73">
        <f t="shared" ca="1" si="88"/>
        <v>754.94</v>
      </c>
      <c r="K153" s="15">
        <f t="shared" ca="1" si="89"/>
        <v>0</v>
      </c>
      <c r="L153" s="16">
        <f t="shared" ca="1" si="90"/>
        <v>756.9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>
        <f t="shared" ca="1" si="104"/>
        <v>26</v>
      </c>
      <c r="AA153" s="15">
        <f t="shared" ca="1" si="105"/>
        <v>0</v>
      </c>
      <c r="AB153" s="9">
        <f t="shared" ca="1" si="106"/>
        <v>90</v>
      </c>
      <c r="AC153" s="15">
        <f t="shared" ca="1" si="107"/>
        <v>0</v>
      </c>
      <c r="AD153" s="76">
        <f t="shared" ca="1" si="108"/>
        <v>4.0999999999999996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>
        <f t="shared" ca="1" si="118"/>
        <v>90</v>
      </c>
      <c r="AO153" s="15">
        <f t="shared" ca="1" si="119"/>
        <v>0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19190602</v>
      </c>
      <c r="C154" s="72">
        <f t="shared" si="81"/>
        <v>700</v>
      </c>
      <c r="D154" s="16">
        <f t="shared" ca="1" si="82"/>
        <v>28.3</v>
      </c>
      <c r="E154" s="15">
        <f t="shared" ca="1" si="83"/>
        <v>0</v>
      </c>
      <c r="F154" s="73">
        <f t="shared" ca="1" si="84"/>
        <v>763.09</v>
      </c>
      <c r="G154" s="15">
        <f t="shared" ca="1" si="85"/>
        <v>0</v>
      </c>
      <c r="H154" s="73">
        <f t="shared" ca="1" si="86"/>
        <v>6.71</v>
      </c>
      <c r="I154" s="15">
        <f t="shared" ca="1" si="87"/>
        <v>0</v>
      </c>
      <c r="J154" s="73">
        <f t="shared" ca="1" si="88"/>
        <v>756.39</v>
      </c>
      <c r="K154" s="15">
        <f t="shared" ca="1" si="89"/>
        <v>0</v>
      </c>
      <c r="L154" s="16">
        <f t="shared" ca="1" si="90"/>
        <v>758.4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>
        <f t="shared" ca="1" si="104"/>
        <v>26.9</v>
      </c>
      <c r="AA154" s="15">
        <f t="shared" ca="1" si="105"/>
        <v>0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6.2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>
        <f t="shared" ca="1" si="118"/>
        <v>90</v>
      </c>
      <c r="AO154" s="15">
        <f t="shared" ca="1" si="119"/>
        <v>0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19190603</v>
      </c>
      <c r="C155" s="72">
        <f t="shared" si="81"/>
        <v>700</v>
      </c>
      <c r="D155" s="16">
        <f t="shared" ca="1" si="82"/>
        <v>28.1</v>
      </c>
      <c r="E155" s="15">
        <f t="shared" ca="1" si="83"/>
        <v>0</v>
      </c>
      <c r="F155" s="73">
        <f t="shared" ca="1" si="84"/>
        <v>764.06</v>
      </c>
      <c r="G155" s="15">
        <f t="shared" ca="1" si="85"/>
        <v>0</v>
      </c>
      <c r="H155" s="73">
        <f t="shared" ca="1" si="86"/>
        <v>6.68</v>
      </c>
      <c r="I155" s="15">
        <f t="shared" ca="1" si="87"/>
        <v>0</v>
      </c>
      <c r="J155" s="73">
        <f t="shared" ca="1" si="88"/>
        <v>757.38</v>
      </c>
      <c r="K155" s="15">
        <f t="shared" ca="1" si="89"/>
        <v>0</v>
      </c>
      <c r="L155" s="16">
        <f t="shared" ca="1" si="90"/>
        <v>759.5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>
        <f t="shared" ca="1" si="104"/>
        <v>26.8</v>
      </c>
      <c r="AA155" s="15">
        <f t="shared" ca="1" si="105"/>
        <v>0</v>
      </c>
      <c r="AB155" s="9">
        <f t="shared" ca="1" si="106"/>
        <v>135</v>
      </c>
      <c r="AC155" s="15">
        <f t="shared" ca="1" si="107"/>
        <v>0</v>
      </c>
      <c r="AD155" s="76">
        <f t="shared" ca="1" si="108"/>
        <v>7.7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>
        <f t="shared" ca="1" si="118"/>
        <v>135</v>
      </c>
      <c r="AO155" s="15">
        <f t="shared" ca="1" si="119"/>
        <v>0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19190604</v>
      </c>
      <c r="C156" s="72">
        <f t="shared" si="81"/>
        <v>700</v>
      </c>
      <c r="D156" s="16">
        <f t="shared" ca="1" si="82"/>
        <v>27.8</v>
      </c>
      <c r="E156" s="15">
        <f t="shared" ca="1" si="83"/>
        <v>0</v>
      </c>
      <c r="F156" s="73">
        <f t="shared" ca="1" si="84"/>
        <v>765.05</v>
      </c>
      <c r="G156" s="15">
        <f t="shared" ca="1" si="85"/>
        <v>0</v>
      </c>
      <c r="H156" s="73">
        <f t="shared" ca="1" si="86"/>
        <v>6.65</v>
      </c>
      <c r="I156" s="15">
        <f t="shared" ca="1" si="87"/>
        <v>0</v>
      </c>
      <c r="J156" s="73">
        <f t="shared" ca="1" si="88"/>
        <v>758.39</v>
      </c>
      <c r="K156" s="15">
        <f t="shared" ca="1" si="89"/>
        <v>0</v>
      </c>
      <c r="L156" s="16">
        <f t="shared" ca="1" si="90"/>
        <v>760.5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>
        <f t="shared" ca="1" si="104"/>
        <v>26.1</v>
      </c>
      <c r="AA156" s="15">
        <f t="shared" ca="1" si="105"/>
        <v>0</v>
      </c>
      <c r="AB156" s="9">
        <f t="shared" ca="1" si="106"/>
        <v>90</v>
      </c>
      <c r="AC156" s="15">
        <f t="shared" ca="1" si="107"/>
        <v>0</v>
      </c>
      <c r="AD156" s="76">
        <f t="shared" ca="1" si="108"/>
        <v>6.2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>
        <f t="shared" ca="1" si="118"/>
        <v>90</v>
      </c>
      <c r="AO156" s="15">
        <f t="shared" ca="1" si="119"/>
        <v>0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19190605</v>
      </c>
      <c r="C157" s="72">
        <f t="shared" si="81"/>
        <v>700</v>
      </c>
      <c r="D157" s="16">
        <f t="shared" ca="1" si="82"/>
        <v>28.3</v>
      </c>
      <c r="E157" s="15">
        <f t="shared" ca="1" si="83"/>
        <v>0</v>
      </c>
      <c r="F157" s="73">
        <f t="shared" ca="1" si="84"/>
        <v>764.79</v>
      </c>
      <c r="G157" s="15">
        <f t="shared" ca="1" si="85"/>
        <v>0</v>
      </c>
      <c r="H157" s="73">
        <f t="shared" ca="1" si="86"/>
        <v>6.71</v>
      </c>
      <c r="I157" s="15">
        <f t="shared" ca="1" si="87"/>
        <v>0</v>
      </c>
      <c r="J157" s="73">
        <f t="shared" ca="1" si="88"/>
        <v>758.09</v>
      </c>
      <c r="K157" s="15">
        <f t="shared" ca="1" si="89"/>
        <v>0</v>
      </c>
      <c r="L157" s="16">
        <f t="shared" ca="1" si="90"/>
        <v>760.2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>
        <f t="shared" ca="1" si="104"/>
        <v>26.1</v>
      </c>
      <c r="AA157" s="15">
        <f t="shared" ca="1" si="105"/>
        <v>0</v>
      </c>
      <c r="AB157" s="9">
        <f t="shared" ca="1" si="106"/>
        <v>45</v>
      </c>
      <c r="AC157" s="15">
        <f t="shared" ca="1" si="107"/>
        <v>0</v>
      </c>
      <c r="AD157" s="76">
        <f t="shared" ca="1" si="108"/>
        <v>6.2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>
        <f t="shared" ca="1" si="118"/>
        <v>90</v>
      </c>
      <c r="AO157" s="15">
        <f t="shared" ca="1" si="119"/>
        <v>0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19190606</v>
      </c>
      <c r="C158" s="72">
        <f t="shared" si="81"/>
        <v>700</v>
      </c>
      <c r="D158" s="16">
        <f t="shared" ca="1" si="82"/>
        <v>27.8</v>
      </c>
      <c r="E158" s="15">
        <f t="shared" ca="1" si="83"/>
        <v>0</v>
      </c>
      <c r="F158" s="73">
        <f t="shared" ca="1" si="84"/>
        <v>764.24</v>
      </c>
      <c r="G158" s="15">
        <f t="shared" ca="1" si="85"/>
        <v>0</v>
      </c>
      <c r="H158" s="73">
        <f t="shared" ca="1" si="86"/>
        <v>6.65</v>
      </c>
      <c r="I158" s="15">
        <f t="shared" ca="1" si="87"/>
        <v>0</v>
      </c>
      <c r="J158" s="73">
        <f t="shared" ca="1" si="88"/>
        <v>757.58</v>
      </c>
      <c r="K158" s="15">
        <f t="shared" ca="1" si="89"/>
        <v>0</v>
      </c>
      <c r="L158" s="16">
        <f t="shared" ca="1" si="90"/>
        <v>759.7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>
        <f t="shared" ca="1" si="104"/>
        <v>25.3</v>
      </c>
      <c r="AA158" s="15">
        <f t="shared" ca="1" si="105"/>
        <v>0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5.0999999999999996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>
        <f t="shared" ca="1" si="118"/>
        <v>90</v>
      </c>
      <c r="AO158" s="15">
        <f t="shared" ca="1" si="119"/>
        <v>0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19190607</v>
      </c>
      <c r="C159" s="72">
        <f t="shared" si="81"/>
        <v>700</v>
      </c>
      <c r="D159" s="16">
        <f t="shared" ca="1" si="82"/>
        <v>27.8</v>
      </c>
      <c r="E159" s="15">
        <f t="shared" ca="1" si="83"/>
        <v>0</v>
      </c>
      <c r="F159" s="73">
        <f t="shared" ca="1" si="84"/>
        <v>765.05</v>
      </c>
      <c r="G159" s="15">
        <f t="shared" ca="1" si="85"/>
        <v>0</v>
      </c>
      <c r="H159" s="73">
        <f t="shared" ca="1" si="86"/>
        <v>6.65</v>
      </c>
      <c r="I159" s="15">
        <f t="shared" ca="1" si="87"/>
        <v>0</v>
      </c>
      <c r="J159" s="73">
        <f t="shared" ca="1" si="88"/>
        <v>758.39</v>
      </c>
      <c r="K159" s="15">
        <f t="shared" ca="1" si="89"/>
        <v>0</v>
      </c>
      <c r="L159" s="16">
        <f t="shared" ca="1" si="90"/>
        <v>760.5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>
        <f t="shared" ca="1" si="104"/>
        <v>26</v>
      </c>
      <c r="AA159" s="15">
        <f t="shared" ca="1" si="105"/>
        <v>0</v>
      </c>
      <c r="AB159" s="9">
        <f t="shared" ca="1" si="106"/>
        <v>90</v>
      </c>
      <c r="AC159" s="15">
        <f t="shared" ca="1" si="107"/>
        <v>0</v>
      </c>
      <c r="AD159" s="76">
        <f t="shared" ca="1" si="108"/>
        <v>5.0999999999999996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>
        <f t="shared" ca="1" si="118"/>
        <v>90</v>
      </c>
      <c r="AO159" s="15">
        <f t="shared" ca="1" si="119"/>
        <v>0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19190608</v>
      </c>
      <c r="C160" s="72">
        <f t="shared" si="81"/>
        <v>700</v>
      </c>
      <c r="D160" s="16">
        <f t="shared" ca="1" si="82"/>
        <v>27.8</v>
      </c>
      <c r="E160" s="15">
        <f t="shared" ca="1" si="83"/>
        <v>0</v>
      </c>
      <c r="F160" s="73">
        <f t="shared" ca="1" si="84"/>
        <v>765.76</v>
      </c>
      <c r="G160" s="15">
        <f t="shared" ca="1" si="85"/>
        <v>0</v>
      </c>
      <c r="H160" s="73">
        <f t="shared" ca="1" si="86"/>
        <v>6.65</v>
      </c>
      <c r="I160" s="15">
        <f t="shared" ca="1" si="87"/>
        <v>0</v>
      </c>
      <c r="J160" s="73">
        <f t="shared" ca="1" si="88"/>
        <v>759.1</v>
      </c>
      <c r="K160" s="15">
        <f t="shared" ca="1" si="89"/>
        <v>0</v>
      </c>
      <c r="L160" s="16">
        <f t="shared" ca="1" si="90"/>
        <v>761.2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>
        <f t="shared" ca="1" si="104"/>
        <v>26.2</v>
      </c>
      <c r="AA160" s="15">
        <f t="shared" ca="1" si="105"/>
        <v>0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6.2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>
        <f t="shared" ca="1" si="118"/>
        <v>90</v>
      </c>
      <c r="AO160" s="15">
        <f t="shared" ca="1" si="119"/>
        <v>0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19190609</v>
      </c>
      <c r="C161" s="72">
        <f t="shared" si="81"/>
        <v>700</v>
      </c>
      <c r="D161" s="16">
        <f t="shared" ca="1" si="82"/>
        <v>27.5</v>
      </c>
      <c r="E161" s="15">
        <f t="shared" ca="1" si="83"/>
        <v>0</v>
      </c>
      <c r="F161" s="73">
        <f t="shared" ca="1" si="84"/>
        <v>765.53</v>
      </c>
      <c r="G161" s="15">
        <f t="shared" ca="1" si="85"/>
        <v>0</v>
      </c>
      <c r="H161" s="73">
        <f t="shared" ca="1" si="86"/>
        <v>6.6</v>
      </c>
      <c r="I161" s="15">
        <f t="shared" ca="1" si="87"/>
        <v>0</v>
      </c>
      <c r="J161" s="73">
        <f t="shared" ca="1" si="88"/>
        <v>758.93</v>
      </c>
      <c r="K161" s="15">
        <f t="shared" ca="1" si="89"/>
        <v>0</v>
      </c>
      <c r="L161" s="16">
        <f t="shared" ca="1" si="90"/>
        <v>761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>
        <f t="shared" ca="1" si="104"/>
        <v>25.2</v>
      </c>
      <c r="AA161" s="15">
        <f t="shared" ca="1" si="105"/>
        <v>0</v>
      </c>
      <c r="AB161" s="9">
        <f t="shared" ca="1" si="106"/>
        <v>135</v>
      </c>
      <c r="AC161" s="15">
        <f t="shared" ca="1" si="107"/>
        <v>0</v>
      </c>
      <c r="AD161" s="76">
        <f t="shared" ca="1" si="108"/>
        <v>6.2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>
        <f t="shared" ca="1" si="118"/>
        <v>135</v>
      </c>
      <c r="AO161" s="15">
        <f t="shared" ca="1" si="119"/>
        <v>0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19190610</v>
      </c>
      <c r="C162" s="72">
        <f t="shared" si="81"/>
        <v>700</v>
      </c>
      <c r="D162" s="16">
        <f t="shared" ca="1" si="82"/>
        <v>27.5</v>
      </c>
      <c r="E162" s="15">
        <f t="shared" ca="1" si="83"/>
        <v>0</v>
      </c>
      <c r="F162" s="73">
        <f t="shared" ca="1" si="84"/>
        <v>764.03</v>
      </c>
      <c r="G162" s="15">
        <f t="shared" ca="1" si="85"/>
        <v>0</v>
      </c>
      <c r="H162" s="73">
        <f t="shared" ca="1" si="86"/>
        <v>6.6</v>
      </c>
      <c r="I162" s="15">
        <f t="shared" ca="1" si="87"/>
        <v>0</v>
      </c>
      <c r="J162" s="73">
        <f t="shared" ca="1" si="88"/>
        <v>757.43</v>
      </c>
      <c r="K162" s="15">
        <f t="shared" ca="1" si="89"/>
        <v>0</v>
      </c>
      <c r="L162" s="16">
        <f t="shared" ca="1" si="90"/>
        <v>759.5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>
        <f t="shared" ca="1" si="104"/>
        <v>25.6</v>
      </c>
      <c r="AA162" s="15">
        <f t="shared" ca="1" si="105"/>
        <v>0</v>
      </c>
      <c r="AB162" s="9">
        <f t="shared" ca="1" si="106"/>
        <v>90</v>
      </c>
      <c r="AC162" s="15">
        <f t="shared" ca="1" si="107"/>
        <v>0</v>
      </c>
      <c r="AD162" s="76">
        <f t="shared" ca="1" si="108"/>
        <v>6.2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>
        <f t="shared" ca="1" si="118"/>
        <v>90</v>
      </c>
      <c r="AO162" s="15">
        <f t="shared" ca="1" si="119"/>
        <v>0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19190611</v>
      </c>
      <c r="C163" s="72">
        <f t="shared" si="81"/>
        <v>700</v>
      </c>
      <c r="D163" s="16">
        <f t="shared" ca="1" si="82"/>
        <v>27.8</v>
      </c>
      <c r="E163" s="15">
        <f t="shared" ca="1" si="83"/>
        <v>0</v>
      </c>
      <c r="F163" s="73">
        <f t="shared" ca="1" si="84"/>
        <v>764.11</v>
      </c>
      <c r="G163" s="15">
        <f t="shared" ca="1" si="85"/>
        <v>0</v>
      </c>
      <c r="H163" s="73">
        <f t="shared" ca="1" si="86"/>
        <v>6.65</v>
      </c>
      <c r="I163" s="15">
        <f t="shared" ca="1" si="87"/>
        <v>0</v>
      </c>
      <c r="J163" s="73">
        <f t="shared" ca="1" si="88"/>
        <v>757.45</v>
      </c>
      <c r="K163" s="15">
        <f t="shared" ca="1" si="89"/>
        <v>0</v>
      </c>
      <c r="L163" s="16">
        <f t="shared" ca="1" si="90"/>
        <v>759.5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>
        <f t="shared" ca="1" si="104"/>
        <v>25.8</v>
      </c>
      <c r="AA163" s="15">
        <f t="shared" ca="1" si="105"/>
        <v>0</v>
      </c>
      <c r="AB163" s="9">
        <f t="shared" ca="1" si="106"/>
        <v>90</v>
      </c>
      <c r="AC163" s="15">
        <f t="shared" ca="1" si="107"/>
        <v>0</v>
      </c>
      <c r="AD163" s="76">
        <f t="shared" ca="1" si="108"/>
        <v>4.0999999999999996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>
        <f t="shared" ca="1" si="118"/>
        <v>90</v>
      </c>
      <c r="AO163" s="15">
        <f t="shared" ca="1" si="119"/>
        <v>0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19190612</v>
      </c>
      <c r="C164" s="72">
        <f t="shared" si="81"/>
        <v>700</v>
      </c>
      <c r="D164" s="16">
        <f t="shared" ca="1" si="82"/>
        <v>27.8</v>
      </c>
      <c r="E164" s="15">
        <f t="shared" ca="1" si="83"/>
        <v>0</v>
      </c>
      <c r="F164" s="73">
        <f t="shared" ca="1" si="84"/>
        <v>763.75</v>
      </c>
      <c r="G164" s="15">
        <f t="shared" ca="1" si="85"/>
        <v>0</v>
      </c>
      <c r="H164" s="73">
        <f t="shared" ca="1" si="86"/>
        <v>6.65</v>
      </c>
      <c r="I164" s="15">
        <f t="shared" ca="1" si="87"/>
        <v>0</v>
      </c>
      <c r="J164" s="73">
        <f t="shared" ca="1" si="88"/>
        <v>757.1</v>
      </c>
      <c r="K164" s="15">
        <f t="shared" ca="1" si="89"/>
        <v>0</v>
      </c>
      <c r="L164" s="16">
        <f t="shared" ca="1" si="90"/>
        <v>759.2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>
        <f t="shared" ca="1" si="104"/>
        <v>25.6</v>
      </c>
      <c r="AA164" s="15">
        <f t="shared" ca="1" si="105"/>
        <v>0</v>
      </c>
      <c r="AB164" s="9">
        <f t="shared" ca="1" si="106"/>
        <v>90</v>
      </c>
      <c r="AC164" s="15">
        <f t="shared" ca="1" si="107"/>
        <v>0</v>
      </c>
      <c r="AD164" s="76">
        <f t="shared" ca="1" si="108"/>
        <v>5.0999999999999996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>
        <f t="shared" ca="1" si="118"/>
        <v>90</v>
      </c>
      <c r="AO164" s="15">
        <f t="shared" ca="1" si="119"/>
        <v>0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19190613</v>
      </c>
      <c r="C165" s="72">
        <f t="shared" si="81"/>
        <v>700</v>
      </c>
      <c r="D165" s="16">
        <f t="shared" ca="1" si="82"/>
        <v>27.8</v>
      </c>
      <c r="E165" s="15">
        <f t="shared" ca="1" si="83"/>
        <v>0</v>
      </c>
      <c r="F165" s="73">
        <f t="shared" ca="1" si="84"/>
        <v>764.62</v>
      </c>
      <c r="G165" s="15">
        <f t="shared" ca="1" si="85"/>
        <v>0</v>
      </c>
      <c r="H165" s="73">
        <f t="shared" ca="1" si="86"/>
        <v>6.65</v>
      </c>
      <c r="I165" s="15">
        <f t="shared" ca="1" si="87"/>
        <v>0</v>
      </c>
      <c r="J165" s="73">
        <f t="shared" ca="1" si="88"/>
        <v>757.96</v>
      </c>
      <c r="K165" s="15">
        <f t="shared" ca="1" si="89"/>
        <v>0</v>
      </c>
      <c r="L165" s="16">
        <f t="shared" ca="1" si="90"/>
        <v>760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>
        <f t="shared" ca="1" si="104"/>
        <v>26</v>
      </c>
      <c r="AA165" s="15">
        <f t="shared" ca="1" si="105"/>
        <v>0</v>
      </c>
      <c r="AB165" s="9">
        <f t="shared" ca="1" si="106"/>
        <v>90</v>
      </c>
      <c r="AC165" s="15">
        <f t="shared" ca="1" si="107"/>
        <v>0</v>
      </c>
      <c r="AD165" s="76">
        <f t="shared" ca="1" si="108"/>
        <v>5.0999999999999996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>
        <f t="shared" ca="1" si="118"/>
        <v>90</v>
      </c>
      <c r="AO165" s="15">
        <f t="shared" ca="1" si="119"/>
        <v>0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19190614</v>
      </c>
      <c r="C166" s="72">
        <f t="shared" si="81"/>
        <v>700</v>
      </c>
      <c r="D166" s="16">
        <f t="shared" ca="1" si="82"/>
        <v>27.8</v>
      </c>
      <c r="E166" s="15">
        <f t="shared" ca="1" si="83"/>
        <v>0</v>
      </c>
      <c r="F166" s="73">
        <f t="shared" ca="1" si="84"/>
        <v>763.47</v>
      </c>
      <c r="G166" s="15">
        <f t="shared" ca="1" si="85"/>
        <v>0</v>
      </c>
      <c r="H166" s="73">
        <f t="shared" ca="1" si="86"/>
        <v>6.65</v>
      </c>
      <c r="I166" s="15">
        <f t="shared" ca="1" si="87"/>
        <v>0</v>
      </c>
      <c r="J166" s="73">
        <f t="shared" ca="1" si="88"/>
        <v>756.82</v>
      </c>
      <c r="K166" s="15">
        <f t="shared" ca="1" si="89"/>
        <v>0</v>
      </c>
      <c r="L166" s="16">
        <f t="shared" ca="1" si="90"/>
        <v>759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>
        <f t="shared" ca="1" si="104"/>
        <v>25.8</v>
      </c>
      <c r="AA166" s="15">
        <f t="shared" ca="1" si="105"/>
        <v>0</v>
      </c>
      <c r="AB166" s="9">
        <f t="shared" ca="1" si="106"/>
        <v>90</v>
      </c>
      <c r="AC166" s="15">
        <f t="shared" ca="1" si="107"/>
        <v>0</v>
      </c>
      <c r="AD166" s="76">
        <f t="shared" ca="1" si="108"/>
        <v>5.0999999999999996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>
        <f t="shared" ca="1" si="118"/>
        <v>90</v>
      </c>
      <c r="AO166" s="15">
        <f t="shared" ca="1" si="119"/>
        <v>0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19190615</v>
      </c>
      <c r="C167" s="72">
        <f t="shared" si="81"/>
        <v>700</v>
      </c>
      <c r="D167" s="16">
        <f t="shared" ca="1" si="82"/>
        <v>27.8</v>
      </c>
      <c r="E167" s="15">
        <f t="shared" ca="1" si="83"/>
        <v>0</v>
      </c>
      <c r="F167" s="73">
        <f t="shared" ca="1" si="84"/>
        <v>763.02</v>
      </c>
      <c r="G167" s="15">
        <f t="shared" ca="1" si="85"/>
        <v>0</v>
      </c>
      <c r="H167" s="73">
        <f t="shared" ca="1" si="86"/>
        <v>6.65</v>
      </c>
      <c r="I167" s="15">
        <f t="shared" ca="1" si="87"/>
        <v>0</v>
      </c>
      <c r="J167" s="73">
        <f t="shared" ca="1" si="88"/>
        <v>756.36</v>
      </c>
      <c r="K167" s="15">
        <f t="shared" ca="1" si="89"/>
        <v>0</v>
      </c>
      <c r="L167" s="16">
        <f t="shared" ca="1" si="90"/>
        <v>758.4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>
        <f t="shared" ca="1" si="104"/>
        <v>25.9</v>
      </c>
      <c r="AA167" s="15">
        <f t="shared" ca="1" si="105"/>
        <v>0</v>
      </c>
      <c r="AB167" s="9">
        <f t="shared" ca="1" si="106"/>
        <v>90</v>
      </c>
      <c r="AC167" s="15">
        <f t="shared" ca="1" si="107"/>
        <v>0</v>
      </c>
      <c r="AD167" s="76">
        <f t="shared" ca="1" si="108"/>
        <v>6.2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>
        <f t="shared" ca="1" si="118"/>
        <v>90</v>
      </c>
      <c r="AO167" s="15">
        <f t="shared" ca="1" si="119"/>
        <v>0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19190616</v>
      </c>
      <c r="C168" s="72">
        <f t="shared" si="81"/>
        <v>700</v>
      </c>
      <c r="D168" s="16">
        <f t="shared" ca="1" si="82"/>
        <v>28.1</v>
      </c>
      <c r="E168" s="15">
        <f t="shared" ca="1" si="83"/>
        <v>0</v>
      </c>
      <c r="F168" s="73">
        <f t="shared" ca="1" si="84"/>
        <v>763.98</v>
      </c>
      <c r="G168" s="15">
        <f t="shared" ca="1" si="85"/>
        <v>0</v>
      </c>
      <c r="H168" s="73">
        <f t="shared" ca="1" si="86"/>
        <v>6.68</v>
      </c>
      <c r="I168" s="15">
        <f t="shared" ca="1" si="87"/>
        <v>0</v>
      </c>
      <c r="J168" s="73">
        <f t="shared" ca="1" si="88"/>
        <v>757.3</v>
      </c>
      <c r="K168" s="15">
        <f t="shared" ca="1" si="89"/>
        <v>0</v>
      </c>
      <c r="L168" s="16">
        <f t="shared" ca="1" si="90"/>
        <v>759.5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>
        <f t="shared" ca="1" si="104"/>
        <v>26.3</v>
      </c>
      <c r="AA168" s="15">
        <f t="shared" ca="1" si="105"/>
        <v>0</v>
      </c>
      <c r="AB168" s="9">
        <f t="shared" ca="1" si="106"/>
        <v>90</v>
      </c>
      <c r="AC168" s="15">
        <f t="shared" ca="1" si="107"/>
        <v>0</v>
      </c>
      <c r="AD168" s="76">
        <f t="shared" ca="1" si="108"/>
        <v>6.2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>
        <f t="shared" ca="1" si="118"/>
        <v>90</v>
      </c>
      <c r="AO168" s="15">
        <f t="shared" ca="1" si="119"/>
        <v>0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19190617</v>
      </c>
      <c r="C169" s="72">
        <f t="shared" si="81"/>
        <v>700</v>
      </c>
      <c r="D169" s="16">
        <f t="shared" ca="1" si="82"/>
        <v>27.8</v>
      </c>
      <c r="E169" s="15">
        <f t="shared" ca="1" si="83"/>
        <v>0</v>
      </c>
      <c r="F169" s="73">
        <f t="shared" ca="1" si="84"/>
        <v>764.36</v>
      </c>
      <c r="G169" s="15">
        <f t="shared" ca="1" si="85"/>
        <v>0</v>
      </c>
      <c r="H169" s="73">
        <f t="shared" ca="1" si="86"/>
        <v>6.65</v>
      </c>
      <c r="I169" s="15">
        <f t="shared" ca="1" si="87"/>
        <v>0</v>
      </c>
      <c r="J169" s="73">
        <f t="shared" ca="1" si="88"/>
        <v>757.68</v>
      </c>
      <c r="K169" s="15">
        <f t="shared" ca="1" si="89"/>
        <v>0</v>
      </c>
      <c r="L169" s="16">
        <f t="shared" ca="1" si="90"/>
        <v>759.7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>
        <f t="shared" ca="1" si="104"/>
        <v>25.8</v>
      </c>
      <c r="AA169" s="15">
        <f t="shared" ca="1" si="105"/>
        <v>0</v>
      </c>
      <c r="AB169" s="9">
        <f t="shared" ca="1" si="106"/>
        <v>135</v>
      </c>
      <c r="AC169" s="15">
        <f t="shared" ca="1" si="107"/>
        <v>0</v>
      </c>
      <c r="AD169" s="76">
        <f t="shared" ca="1" si="108"/>
        <v>5.0999999999999996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>
        <f t="shared" ca="1" si="118"/>
        <v>90</v>
      </c>
      <c r="AO169" s="15">
        <f t="shared" ca="1" si="119"/>
        <v>0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19190618</v>
      </c>
      <c r="C170" s="72">
        <f t="shared" si="81"/>
        <v>700</v>
      </c>
      <c r="D170" s="16">
        <f t="shared" ca="1" si="82"/>
        <v>27.8</v>
      </c>
      <c r="E170" s="15">
        <f t="shared" ca="1" si="83"/>
        <v>0</v>
      </c>
      <c r="F170" s="73">
        <f t="shared" ca="1" si="84"/>
        <v>764.64</v>
      </c>
      <c r="G170" s="15">
        <f t="shared" ca="1" si="85"/>
        <v>0</v>
      </c>
      <c r="H170" s="73">
        <f t="shared" ca="1" si="86"/>
        <v>6.65</v>
      </c>
      <c r="I170" s="15">
        <f t="shared" ca="1" si="87"/>
        <v>0</v>
      </c>
      <c r="J170" s="73">
        <f t="shared" ca="1" si="88"/>
        <v>757.99</v>
      </c>
      <c r="K170" s="15">
        <f t="shared" ca="1" si="89"/>
        <v>0</v>
      </c>
      <c r="L170" s="16">
        <f t="shared" ca="1" si="90"/>
        <v>760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>
        <f t="shared" ca="1" si="104"/>
        <v>25.8</v>
      </c>
      <c r="AA170" s="15">
        <f t="shared" ca="1" si="105"/>
        <v>0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6.2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>
        <f t="shared" ca="1" si="118"/>
        <v>90</v>
      </c>
      <c r="AO170" s="15">
        <f t="shared" ca="1" si="119"/>
        <v>0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19190619</v>
      </c>
      <c r="C171" s="72">
        <f t="shared" si="81"/>
        <v>700</v>
      </c>
      <c r="D171" s="16">
        <f t="shared" ca="1" si="82"/>
        <v>27.5</v>
      </c>
      <c r="E171" s="15">
        <f t="shared" ca="1" si="83"/>
        <v>0</v>
      </c>
      <c r="F171" s="73">
        <f t="shared" ca="1" si="84"/>
        <v>765.05</v>
      </c>
      <c r="G171" s="15">
        <f t="shared" ca="1" si="85"/>
        <v>0</v>
      </c>
      <c r="H171" s="73">
        <f t="shared" ca="1" si="86"/>
        <v>6.6</v>
      </c>
      <c r="I171" s="15">
        <f t="shared" ca="1" si="87"/>
        <v>0</v>
      </c>
      <c r="J171" s="73">
        <f t="shared" ca="1" si="88"/>
        <v>758.44</v>
      </c>
      <c r="K171" s="15">
        <f t="shared" ca="1" si="89"/>
        <v>0</v>
      </c>
      <c r="L171" s="16">
        <f t="shared" ca="1" si="90"/>
        <v>760.5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>
        <f t="shared" ca="1" si="104"/>
        <v>25.6</v>
      </c>
      <c r="AA171" s="15">
        <f t="shared" ca="1" si="105"/>
        <v>0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5.0999999999999996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>
        <f t="shared" ca="1" si="118"/>
        <v>90</v>
      </c>
      <c r="AO171" s="15">
        <f t="shared" ca="1" si="119"/>
        <v>0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19190620</v>
      </c>
      <c r="C172" s="72">
        <f t="shared" si="81"/>
        <v>700</v>
      </c>
      <c r="D172" s="16">
        <f t="shared" ca="1" si="82"/>
        <v>27.8</v>
      </c>
      <c r="E172" s="15">
        <f t="shared" ca="1" si="83"/>
        <v>0</v>
      </c>
      <c r="F172" s="73">
        <f t="shared" ca="1" si="84"/>
        <v>765.35</v>
      </c>
      <c r="G172" s="15">
        <f t="shared" ca="1" si="85"/>
        <v>0</v>
      </c>
      <c r="H172" s="73">
        <f t="shared" ca="1" si="86"/>
        <v>6.65</v>
      </c>
      <c r="I172" s="15">
        <f t="shared" ca="1" si="87"/>
        <v>0</v>
      </c>
      <c r="J172" s="73">
        <f t="shared" ca="1" si="88"/>
        <v>758.7</v>
      </c>
      <c r="K172" s="15">
        <f t="shared" ca="1" si="89"/>
        <v>0</v>
      </c>
      <c r="L172" s="16">
        <f t="shared" ca="1" si="90"/>
        <v>760.7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>
        <f t="shared" ca="1" si="104"/>
        <v>25.7</v>
      </c>
      <c r="AA172" s="15">
        <f t="shared" ca="1" si="105"/>
        <v>0</v>
      </c>
      <c r="AB172" s="9">
        <f t="shared" ca="1" si="106"/>
        <v>90</v>
      </c>
      <c r="AC172" s="15">
        <f t="shared" ca="1" si="107"/>
        <v>0</v>
      </c>
      <c r="AD172" s="76">
        <f t="shared" ca="1" si="108"/>
        <v>4.5999999999999996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>
        <f t="shared" ca="1" si="118"/>
        <v>90</v>
      </c>
      <c r="AO172" s="15">
        <f t="shared" ca="1" si="119"/>
        <v>0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19190621</v>
      </c>
      <c r="C173" s="72">
        <f t="shared" si="81"/>
        <v>700</v>
      </c>
      <c r="D173" s="16">
        <f t="shared" ca="1" si="82"/>
        <v>27.8</v>
      </c>
      <c r="E173" s="15">
        <f t="shared" ca="1" si="83"/>
        <v>0</v>
      </c>
      <c r="F173" s="73">
        <f t="shared" ca="1" si="84"/>
        <v>764.39</v>
      </c>
      <c r="G173" s="15">
        <f t="shared" ca="1" si="85"/>
        <v>0</v>
      </c>
      <c r="H173" s="73">
        <f t="shared" ca="1" si="86"/>
        <v>6.65</v>
      </c>
      <c r="I173" s="15">
        <f t="shared" ca="1" si="87"/>
        <v>0</v>
      </c>
      <c r="J173" s="73">
        <f t="shared" ca="1" si="88"/>
        <v>757.73</v>
      </c>
      <c r="K173" s="15">
        <f t="shared" ca="1" si="89"/>
        <v>0</v>
      </c>
      <c r="L173" s="16">
        <f t="shared" ca="1" si="90"/>
        <v>759.7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>
        <f t="shared" ca="1" si="104"/>
        <v>25.8</v>
      </c>
      <c r="AA173" s="15">
        <f t="shared" ca="1" si="105"/>
        <v>0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5.0999999999999996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>
        <f t="shared" ca="1" si="118"/>
        <v>90</v>
      </c>
      <c r="AO173" s="15">
        <f t="shared" ca="1" si="119"/>
        <v>0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19190622</v>
      </c>
      <c r="C174" s="72">
        <f t="shared" si="81"/>
        <v>700</v>
      </c>
      <c r="D174" s="16">
        <f t="shared" ca="1" si="82"/>
        <v>27.8</v>
      </c>
      <c r="E174" s="15">
        <f t="shared" ca="1" si="83"/>
        <v>0</v>
      </c>
      <c r="F174" s="73">
        <f t="shared" ca="1" si="84"/>
        <v>765.05</v>
      </c>
      <c r="G174" s="15">
        <f t="shared" ca="1" si="85"/>
        <v>0</v>
      </c>
      <c r="H174" s="73">
        <f t="shared" ca="1" si="86"/>
        <v>6.65</v>
      </c>
      <c r="I174" s="15">
        <f t="shared" ca="1" si="87"/>
        <v>0</v>
      </c>
      <c r="J174" s="73">
        <f t="shared" ca="1" si="88"/>
        <v>758.39</v>
      </c>
      <c r="K174" s="15">
        <f t="shared" ca="1" si="89"/>
        <v>0</v>
      </c>
      <c r="L174" s="16">
        <f t="shared" ca="1" si="90"/>
        <v>760.5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>
        <f t="shared" ca="1" si="104"/>
        <v>26</v>
      </c>
      <c r="AA174" s="15">
        <f t="shared" ca="1" si="105"/>
        <v>0</v>
      </c>
      <c r="AB174" s="9">
        <f t="shared" ca="1" si="106"/>
        <v>90</v>
      </c>
      <c r="AC174" s="15">
        <f t="shared" ca="1" si="107"/>
        <v>0</v>
      </c>
      <c r="AD174" s="76">
        <f t="shared" ca="1" si="108"/>
        <v>7.7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>
        <f t="shared" ca="1" si="118"/>
        <v>90</v>
      </c>
      <c r="AO174" s="15">
        <f t="shared" ca="1" si="119"/>
        <v>0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19190623</v>
      </c>
      <c r="C175" s="72">
        <f t="shared" si="81"/>
        <v>700</v>
      </c>
      <c r="D175" s="16">
        <f t="shared" ca="1" si="82"/>
        <v>27.5</v>
      </c>
      <c r="E175" s="15">
        <f t="shared" ca="1" si="83"/>
        <v>0</v>
      </c>
      <c r="F175" s="73">
        <f t="shared" ca="1" si="84"/>
        <v>764.59</v>
      </c>
      <c r="G175" s="15">
        <f t="shared" ca="1" si="85"/>
        <v>0</v>
      </c>
      <c r="H175" s="73">
        <f t="shared" ca="1" si="86"/>
        <v>6.6</v>
      </c>
      <c r="I175" s="15">
        <f t="shared" ca="1" si="87"/>
        <v>0</v>
      </c>
      <c r="J175" s="73">
        <f t="shared" ca="1" si="88"/>
        <v>757.99</v>
      </c>
      <c r="K175" s="15">
        <f t="shared" ca="1" si="89"/>
        <v>0</v>
      </c>
      <c r="L175" s="16">
        <f t="shared" ca="1" si="90"/>
        <v>760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>
        <f t="shared" ca="1" si="104"/>
        <v>25.9</v>
      </c>
      <c r="AA175" s="15">
        <f t="shared" ca="1" si="105"/>
        <v>0</v>
      </c>
      <c r="AB175" s="9">
        <f t="shared" ca="1" si="106"/>
        <v>90</v>
      </c>
      <c r="AC175" s="15">
        <f t="shared" ca="1" si="107"/>
        <v>0</v>
      </c>
      <c r="AD175" s="76">
        <f t="shared" ca="1" si="108"/>
        <v>7.7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>
        <f t="shared" ca="1" si="118"/>
        <v>90</v>
      </c>
      <c r="AO175" s="15">
        <f t="shared" ca="1" si="119"/>
        <v>0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19190624</v>
      </c>
      <c r="C176" s="72">
        <f t="shared" si="81"/>
        <v>700</v>
      </c>
      <c r="D176" s="16">
        <f t="shared" ca="1" si="82"/>
        <v>27.2</v>
      </c>
      <c r="E176" s="15">
        <f t="shared" ca="1" si="83"/>
        <v>0</v>
      </c>
      <c r="F176" s="73">
        <f t="shared" ca="1" si="84"/>
        <v>764.03</v>
      </c>
      <c r="G176" s="15">
        <f t="shared" ca="1" si="85"/>
        <v>0</v>
      </c>
      <c r="H176" s="73">
        <f t="shared" ca="1" si="86"/>
        <v>6.58</v>
      </c>
      <c r="I176" s="15">
        <f t="shared" ca="1" si="87"/>
        <v>0</v>
      </c>
      <c r="J176" s="73">
        <f t="shared" ca="1" si="88"/>
        <v>757.45</v>
      </c>
      <c r="K176" s="15">
        <f t="shared" ca="1" si="89"/>
        <v>0</v>
      </c>
      <c r="L176" s="16">
        <f t="shared" ca="1" si="90"/>
        <v>759.5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>
        <f t="shared" ca="1" si="104"/>
        <v>25.3</v>
      </c>
      <c r="AA176" s="15">
        <f t="shared" ca="1" si="105"/>
        <v>0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6.2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>
        <f t="shared" ca="1" si="118"/>
        <v>90</v>
      </c>
      <c r="AO176" s="15">
        <f t="shared" ca="1" si="119"/>
        <v>0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19190625</v>
      </c>
      <c r="C177" s="72">
        <f t="shared" si="81"/>
        <v>700</v>
      </c>
      <c r="D177" s="16">
        <f t="shared" ca="1" si="82"/>
        <v>26.9</v>
      </c>
      <c r="E177" s="15">
        <f t="shared" ca="1" si="83"/>
        <v>0</v>
      </c>
      <c r="F177" s="73">
        <f t="shared" ca="1" si="84"/>
        <v>764.06</v>
      </c>
      <c r="G177" s="15">
        <f t="shared" ca="1" si="85"/>
        <v>0</v>
      </c>
      <c r="H177" s="73">
        <f t="shared" ca="1" si="86"/>
        <v>6.55</v>
      </c>
      <c r="I177" s="15">
        <f t="shared" ca="1" si="87"/>
        <v>0</v>
      </c>
      <c r="J177" s="73">
        <f t="shared" ca="1" si="88"/>
        <v>757.5</v>
      </c>
      <c r="K177" s="15">
        <f t="shared" ca="1" si="89"/>
        <v>0</v>
      </c>
      <c r="L177" s="16">
        <f t="shared" ca="1" si="90"/>
        <v>759.5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>
        <f t="shared" ca="1" si="104"/>
        <v>25.4</v>
      </c>
      <c r="AA177" s="15">
        <f t="shared" ca="1" si="105"/>
        <v>0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7.2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>
        <f t="shared" ca="1" si="118"/>
        <v>90</v>
      </c>
      <c r="AO177" s="15">
        <f t="shared" ca="1" si="119"/>
        <v>0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19190626</v>
      </c>
      <c r="C178" s="72">
        <f t="shared" si="81"/>
        <v>700</v>
      </c>
      <c r="D178" s="16">
        <f t="shared" ca="1" si="82"/>
        <v>27.2</v>
      </c>
      <c r="E178" s="15">
        <f t="shared" ca="1" si="83"/>
        <v>0</v>
      </c>
      <c r="F178" s="73">
        <f t="shared" ca="1" si="84"/>
        <v>764.11</v>
      </c>
      <c r="G178" s="15">
        <f t="shared" ca="1" si="85"/>
        <v>0</v>
      </c>
      <c r="H178" s="73">
        <f t="shared" ca="1" si="86"/>
        <v>6.58</v>
      </c>
      <c r="I178" s="15">
        <f t="shared" ca="1" si="87"/>
        <v>0</v>
      </c>
      <c r="J178" s="73">
        <f t="shared" ca="1" si="88"/>
        <v>757.53</v>
      </c>
      <c r="K178" s="15">
        <f t="shared" ca="1" si="89"/>
        <v>0</v>
      </c>
      <c r="L178" s="16">
        <f t="shared" ca="1" si="90"/>
        <v>759.5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>
        <f t="shared" ca="1" si="104"/>
        <v>25.2</v>
      </c>
      <c r="AA178" s="15">
        <f t="shared" ca="1" si="105"/>
        <v>0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5.0999999999999996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>
        <f t="shared" ca="1" si="118"/>
        <v>90</v>
      </c>
      <c r="AO178" s="15">
        <f t="shared" ca="1" si="119"/>
        <v>0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19190627</v>
      </c>
      <c r="C179" s="72">
        <f t="shared" si="81"/>
        <v>700</v>
      </c>
      <c r="D179" s="16">
        <f t="shared" ca="1" si="82"/>
        <v>27.2</v>
      </c>
      <c r="E179" s="15">
        <f t="shared" ca="1" si="83"/>
        <v>0</v>
      </c>
      <c r="F179" s="73">
        <f t="shared" ca="1" si="84"/>
        <v>763.52</v>
      </c>
      <c r="G179" s="15">
        <f t="shared" ca="1" si="85"/>
        <v>0</v>
      </c>
      <c r="H179" s="73">
        <f t="shared" ca="1" si="86"/>
        <v>6.58</v>
      </c>
      <c r="I179" s="15">
        <f t="shared" ca="1" si="87"/>
        <v>0</v>
      </c>
      <c r="J179" s="73">
        <f t="shared" ca="1" si="88"/>
        <v>756.95</v>
      </c>
      <c r="K179" s="15">
        <f t="shared" ca="1" si="89"/>
        <v>0</v>
      </c>
      <c r="L179" s="16">
        <f t="shared" ca="1" si="90"/>
        <v>759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>
        <f t="shared" ca="1" si="104"/>
        <v>25.8</v>
      </c>
      <c r="AA179" s="15">
        <f t="shared" ca="1" si="105"/>
        <v>0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6.2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>
        <f t="shared" ca="1" si="118"/>
        <v>90</v>
      </c>
      <c r="AO179" s="15">
        <f t="shared" ca="1" si="119"/>
        <v>0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19190628</v>
      </c>
      <c r="C180" s="72">
        <f t="shared" si="81"/>
        <v>700</v>
      </c>
      <c r="D180" s="16">
        <f t="shared" ca="1" si="82"/>
        <v>26.9</v>
      </c>
      <c r="E180" s="15">
        <f t="shared" ca="1" si="83"/>
        <v>0</v>
      </c>
      <c r="F180" s="73">
        <f t="shared" ca="1" si="84"/>
        <v>763.52</v>
      </c>
      <c r="G180" s="15">
        <f t="shared" ca="1" si="85"/>
        <v>0</v>
      </c>
      <c r="H180" s="73">
        <f t="shared" ca="1" si="86"/>
        <v>6.55</v>
      </c>
      <c r="I180" s="15">
        <f t="shared" ca="1" si="87"/>
        <v>0</v>
      </c>
      <c r="J180" s="73">
        <f t="shared" ca="1" si="88"/>
        <v>756.97</v>
      </c>
      <c r="K180" s="15">
        <f t="shared" ca="1" si="89"/>
        <v>0</v>
      </c>
      <c r="L180" s="16">
        <f t="shared" ca="1" si="90"/>
        <v>759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>
        <f t="shared" ca="1" si="104"/>
        <v>25.3</v>
      </c>
      <c r="AA180" s="15">
        <f t="shared" ca="1" si="105"/>
        <v>0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5.0999999999999996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>
        <f t="shared" ca="1" si="118"/>
        <v>90</v>
      </c>
      <c r="AO180" s="15">
        <f t="shared" ca="1" si="119"/>
        <v>0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19190629</v>
      </c>
      <c r="C181" s="72">
        <f t="shared" si="81"/>
        <v>700</v>
      </c>
      <c r="D181" s="16">
        <f t="shared" ca="1" si="82"/>
        <v>27.2</v>
      </c>
      <c r="E181" s="15">
        <f t="shared" ca="1" si="83"/>
        <v>0</v>
      </c>
      <c r="F181" s="73">
        <f t="shared" ca="1" si="84"/>
        <v>765</v>
      </c>
      <c r="G181" s="15">
        <f t="shared" ca="1" si="85"/>
        <v>0</v>
      </c>
      <c r="H181" s="73">
        <f t="shared" ca="1" si="86"/>
        <v>6.58</v>
      </c>
      <c r="I181" s="15">
        <f t="shared" ca="1" si="87"/>
        <v>0</v>
      </c>
      <c r="J181" s="73">
        <f t="shared" ca="1" si="88"/>
        <v>758.42</v>
      </c>
      <c r="K181" s="15">
        <f t="shared" ca="1" si="89"/>
        <v>0</v>
      </c>
      <c r="L181" s="16">
        <f t="shared" ca="1" si="90"/>
        <v>760.5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>
        <f t="shared" ca="1" si="104"/>
        <v>25.6</v>
      </c>
      <c r="AA181" s="15">
        <f t="shared" ca="1" si="105"/>
        <v>0</v>
      </c>
      <c r="AB181" s="9">
        <f t="shared" ca="1" si="106"/>
        <v>135</v>
      </c>
      <c r="AC181" s="15">
        <f t="shared" ca="1" si="107"/>
        <v>0</v>
      </c>
      <c r="AD181" s="76">
        <f t="shared" ca="1" si="108"/>
        <v>6.2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>
        <f t="shared" ca="1" si="118"/>
        <v>90</v>
      </c>
      <c r="AO181" s="15">
        <f t="shared" ca="1" si="119"/>
        <v>0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19190630</v>
      </c>
      <c r="C182" s="72">
        <f t="shared" si="81"/>
        <v>700</v>
      </c>
      <c r="D182" s="16">
        <f t="shared" ca="1" si="82"/>
        <v>27.5</v>
      </c>
      <c r="E182" s="15">
        <f t="shared" ca="1" si="83"/>
        <v>0</v>
      </c>
      <c r="F182" s="73">
        <f t="shared" ca="1" si="84"/>
        <v>765.35</v>
      </c>
      <c r="G182" s="15">
        <f t="shared" ca="1" si="85"/>
        <v>0</v>
      </c>
      <c r="H182" s="73">
        <f t="shared" ca="1" si="86"/>
        <v>6.6</v>
      </c>
      <c r="I182" s="15">
        <f t="shared" ca="1" si="87"/>
        <v>0</v>
      </c>
      <c r="J182" s="73">
        <f t="shared" ca="1" si="88"/>
        <v>758.75</v>
      </c>
      <c r="K182" s="15">
        <f t="shared" ca="1" si="89"/>
        <v>0</v>
      </c>
      <c r="L182" s="16">
        <f t="shared" ca="1" si="90"/>
        <v>760.7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>
        <f t="shared" ca="1" si="104"/>
        <v>25.2</v>
      </c>
      <c r="AA182" s="15">
        <f t="shared" ca="1" si="105"/>
        <v>0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6.2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>
        <f t="shared" ca="1" si="118"/>
        <v>90</v>
      </c>
      <c r="AO182" s="15">
        <f t="shared" ca="1" si="119"/>
        <v>0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19190701</v>
      </c>
      <c r="C183" s="72">
        <f t="shared" si="81"/>
        <v>700</v>
      </c>
      <c r="D183" s="16">
        <f t="shared" ca="1" si="82"/>
        <v>27.5</v>
      </c>
      <c r="E183" s="15">
        <f t="shared" ca="1" si="83"/>
        <v>0</v>
      </c>
      <c r="F183" s="73">
        <f t="shared" ca="1" si="84"/>
        <v>764.74</v>
      </c>
      <c r="G183" s="15">
        <f t="shared" ca="1" si="85"/>
        <v>0</v>
      </c>
      <c r="H183" s="73">
        <f t="shared" ca="1" si="86"/>
        <v>6.6</v>
      </c>
      <c r="I183" s="15">
        <f t="shared" ca="1" si="87"/>
        <v>0</v>
      </c>
      <c r="J183" s="73">
        <f t="shared" ca="1" si="88"/>
        <v>758.14</v>
      </c>
      <c r="K183" s="15">
        <f t="shared" ca="1" si="89"/>
        <v>0</v>
      </c>
      <c r="L183" s="16">
        <f t="shared" ca="1" si="90"/>
        <v>760.2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>
        <f t="shared" ca="1" si="104"/>
        <v>25.6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5.0999999999999996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>
        <f t="shared" ca="1" si="118"/>
        <v>90</v>
      </c>
      <c r="AO183" s="15">
        <f t="shared" ca="1" si="119"/>
        <v>0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19190702</v>
      </c>
      <c r="C184" s="72">
        <f t="shared" si="81"/>
        <v>700</v>
      </c>
      <c r="D184" s="16">
        <f t="shared" ca="1" si="82"/>
        <v>27.2</v>
      </c>
      <c r="E184" s="15">
        <f t="shared" ca="1" si="83"/>
        <v>0</v>
      </c>
      <c r="F184" s="73">
        <f t="shared" ca="1" si="84"/>
        <v>764.34</v>
      </c>
      <c r="G184" s="15">
        <f t="shared" ca="1" si="85"/>
        <v>0</v>
      </c>
      <c r="H184" s="73">
        <f t="shared" ca="1" si="86"/>
        <v>6.58</v>
      </c>
      <c r="I184" s="15">
        <f t="shared" ca="1" si="87"/>
        <v>0</v>
      </c>
      <c r="J184" s="73">
        <f t="shared" ca="1" si="88"/>
        <v>757.76</v>
      </c>
      <c r="K184" s="15">
        <f t="shared" ca="1" si="89"/>
        <v>0</v>
      </c>
      <c r="L184" s="16">
        <f t="shared" ca="1" si="90"/>
        <v>759.7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>
        <f t="shared" ca="1" si="104"/>
        <v>25.2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4.5999999999999996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>
        <f t="shared" ca="1" si="118"/>
        <v>90</v>
      </c>
      <c r="AO184" s="15">
        <f t="shared" ca="1" si="119"/>
        <v>0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19190703</v>
      </c>
      <c r="C185" s="72">
        <f t="shared" si="81"/>
        <v>700</v>
      </c>
      <c r="D185" s="16">
        <f t="shared" ca="1" si="82"/>
        <v>27.8</v>
      </c>
      <c r="E185" s="15">
        <f t="shared" ca="1" si="83"/>
        <v>0</v>
      </c>
      <c r="F185" s="73">
        <f t="shared" ca="1" si="84"/>
        <v>764.79</v>
      </c>
      <c r="G185" s="15">
        <f t="shared" ca="1" si="85"/>
        <v>0</v>
      </c>
      <c r="H185" s="73">
        <f t="shared" ca="1" si="86"/>
        <v>6.65</v>
      </c>
      <c r="I185" s="15">
        <f t="shared" ca="1" si="87"/>
        <v>0</v>
      </c>
      <c r="J185" s="73">
        <f t="shared" ca="1" si="88"/>
        <v>758.14</v>
      </c>
      <c r="K185" s="15">
        <f t="shared" ca="1" si="89"/>
        <v>0</v>
      </c>
      <c r="L185" s="16">
        <f t="shared" ca="1" si="90"/>
        <v>760.2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>
        <f t="shared" ca="1" si="104"/>
        <v>25.2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4.0999999999999996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>
        <f t="shared" ca="1" si="118"/>
        <v>90</v>
      </c>
      <c r="AO185" s="15">
        <f t="shared" ca="1" si="119"/>
        <v>0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19190704</v>
      </c>
      <c r="C186" s="72">
        <f t="shared" si="81"/>
        <v>700</v>
      </c>
      <c r="D186" s="16">
        <f t="shared" ca="1" si="82"/>
        <v>27.2</v>
      </c>
      <c r="E186" s="15">
        <f t="shared" ca="1" si="83"/>
        <v>0</v>
      </c>
      <c r="F186" s="73">
        <f t="shared" ca="1" si="84"/>
        <v>764.79</v>
      </c>
      <c r="G186" s="15">
        <f t="shared" ca="1" si="85"/>
        <v>0</v>
      </c>
      <c r="H186" s="73">
        <f t="shared" ca="1" si="86"/>
        <v>6.58</v>
      </c>
      <c r="I186" s="15">
        <f t="shared" ca="1" si="87"/>
        <v>0</v>
      </c>
      <c r="J186" s="73">
        <f t="shared" ca="1" si="88"/>
        <v>758.22</v>
      </c>
      <c r="K186" s="15">
        <f t="shared" ca="1" si="89"/>
        <v>0</v>
      </c>
      <c r="L186" s="16">
        <f t="shared" ca="1" si="90"/>
        <v>760.2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>
        <f t="shared" ca="1" si="104"/>
        <v>25.4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5.0999999999999996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>
        <f t="shared" ca="1" si="118"/>
        <v>90</v>
      </c>
      <c r="AO186" s="15">
        <f t="shared" ca="1" si="119"/>
        <v>0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19190705</v>
      </c>
      <c r="C187" s="72">
        <f t="shared" si="81"/>
        <v>700</v>
      </c>
      <c r="D187" s="16">
        <f t="shared" ca="1" si="82"/>
        <v>27.2</v>
      </c>
      <c r="E187" s="15">
        <f t="shared" ca="1" si="83"/>
        <v>0</v>
      </c>
      <c r="F187" s="73">
        <f t="shared" ca="1" si="84"/>
        <v>764.08</v>
      </c>
      <c r="G187" s="15">
        <f t="shared" ca="1" si="85"/>
        <v>0</v>
      </c>
      <c r="H187" s="73">
        <f t="shared" ca="1" si="86"/>
        <v>6.6</v>
      </c>
      <c r="I187" s="15">
        <f t="shared" ca="1" si="87"/>
        <v>0</v>
      </c>
      <c r="J187" s="73">
        <f t="shared" ca="1" si="88"/>
        <v>757.48</v>
      </c>
      <c r="K187" s="15">
        <f t="shared" ca="1" si="89"/>
        <v>0</v>
      </c>
      <c r="L187" s="16">
        <f t="shared" ca="1" si="90"/>
        <v>759.5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>
        <f t="shared" ca="1" si="104"/>
        <v>25.3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5.0999999999999996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>
        <f t="shared" ca="1" si="118"/>
        <v>90</v>
      </c>
      <c r="AO187" s="15">
        <f t="shared" ca="1" si="119"/>
        <v>0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19190706</v>
      </c>
      <c r="C188" s="72">
        <f t="shared" si="81"/>
        <v>700</v>
      </c>
      <c r="D188" s="16">
        <f t="shared" ca="1" si="82"/>
        <v>26.9</v>
      </c>
      <c r="E188" s="15">
        <f t="shared" ca="1" si="83"/>
        <v>0</v>
      </c>
      <c r="F188" s="73">
        <f t="shared" ca="1" si="84"/>
        <v>763.42</v>
      </c>
      <c r="G188" s="15">
        <f t="shared" ca="1" si="85"/>
        <v>0</v>
      </c>
      <c r="H188" s="73">
        <f t="shared" ca="1" si="86"/>
        <v>6.55</v>
      </c>
      <c r="I188" s="15">
        <f t="shared" ca="1" si="87"/>
        <v>0</v>
      </c>
      <c r="J188" s="73">
        <f t="shared" ca="1" si="88"/>
        <v>756.87</v>
      </c>
      <c r="K188" s="15">
        <f t="shared" ca="1" si="89"/>
        <v>0</v>
      </c>
      <c r="L188" s="16">
        <f t="shared" ca="1" si="90"/>
        <v>759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>
        <f t="shared" ca="1" si="104"/>
        <v>25.1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6.2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>
        <f t="shared" ca="1" si="118"/>
        <v>90</v>
      </c>
      <c r="AO188" s="15">
        <f t="shared" ca="1" si="119"/>
        <v>0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19190707</v>
      </c>
      <c r="C189" s="72">
        <f t="shared" si="81"/>
        <v>700</v>
      </c>
      <c r="D189" s="16">
        <f t="shared" ca="1" si="82"/>
        <v>27.2</v>
      </c>
      <c r="E189" s="15">
        <f t="shared" ca="1" si="83"/>
        <v>0</v>
      </c>
      <c r="F189" s="73">
        <f t="shared" ca="1" si="84"/>
        <v>764.31</v>
      </c>
      <c r="G189" s="15">
        <f t="shared" ca="1" si="85"/>
        <v>0</v>
      </c>
      <c r="H189" s="73">
        <f t="shared" ca="1" si="86"/>
        <v>6.58</v>
      </c>
      <c r="I189" s="15">
        <f t="shared" ca="1" si="87"/>
        <v>0</v>
      </c>
      <c r="J189" s="73">
        <f t="shared" ca="1" si="88"/>
        <v>757.73</v>
      </c>
      <c r="K189" s="15">
        <f t="shared" ca="1" si="89"/>
        <v>0</v>
      </c>
      <c r="L189" s="16">
        <f t="shared" ca="1" si="90"/>
        <v>759.7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>
        <f t="shared" ca="1" si="104"/>
        <v>25.5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5.0999999999999996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>
        <f t="shared" ca="1" si="118"/>
        <v>90</v>
      </c>
      <c r="AO189" s="15">
        <f t="shared" ca="1" si="119"/>
        <v>0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19190708</v>
      </c>
      <c r="C190" s="72">
        <f t="shared" si="81"/>
        <v>700</v>
      </c>
      <c r="D190" s="16">
        <f t="shared" ca="1" si="82"/>
        <v>27.5</v>
      </c>
      <c r="E190" s="15">
        <f t="shared" ca="1" si="83"/>
        <v>0</v>
      </c>
      <c r="F190" s="73">
        <f t="shared" ca="1" si="84"/>
        <v>765.51</v>
      </c>
      <c r="G190" s="15">
        <f t="shared" ca="1" si="85"/>
        <v>0</v>
      </c>
      <c r="H190" s="73">
        <f t="shared" ca="1" si="86"/>
        <v>6.6</v>
      </c>
      <c r="I190" s="15">
        <f t="shared" ca="1" si="87"/>
        <v>0</v>
      </c>
      <c r="J190" s="73">
        <f t="shared" ca="1" si="88"/>
        <v>758.9</v>
      </c>
      <c r="K190" s="15">
        <f t="shared" ca="1" si="89"/>
        <v>0</v>
      </c>
      <c r="L190" s="16">
        <f t="shared" ca="1" si="90"/>
        <v>761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>
        <f t="shared" ca="1" si="104"/>
        <v>25.3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5.0999999999999996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>
        <f t="shared" ca="1" si="118"/>
        <v>90</v>
      </c>
      <c r="AO190" s="15">
        <f t="shared" ca="1" si="119"/>
        <v>0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19190709</v>
      </c>
      <c r="C191" s="72">
        <f t="shared" si="81"/>
        <v>700</v>
      </c>
      <c r="D191" s="16">
        <f t="shared" ca="1" si="82"/>
        <v>27.5</v>
      </c>
      <c r="E191" s="15">
        <f t="shared" ca="1" si="83"/>
        <v>0</v>
      </c>
      <c r="F191" s="73">
        <f t="shared" ca="1" si="84"/>
        <v>766.06</v>
      </c>
      <c r="G191" s="15">
        <f t="shared" ca="1" si="85"/>
        <v>0</v>
      </c>
      <c r="H191" s="73">
        <f t="shared" ca="1" si="86"/>
        <v>6.6</v>
      </c>
      <c r="I191" s="15">
        <f t="shared" ca="1" si="87"/>
        <v>0</v>
      </c>
      <c r="J191" s="73">
        <f t="shared" ca="1" si="88"/>
        <v>759.46</v>
      </c>
      <c r="K191" s="15">
        <f t="shared" ca="1" si="89"/>
        <v>0</v>
      </c>
      <c r="L191" s="16">
        <f t="shared" ca="1" si="90"/>
        <v>761.5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>
        <f t="shared" ca="1" si="104"/>
        <v>25.2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2.6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>
        <f t="shared" ca="1" si="118"/>
        <v>90</v>
      </c>
      <c r="AO191" s="15">
        <f t="shared" ca="1" si="119"/>
        <v>0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19190710</v>
      </c>
      <c r="C192" s="72">
        <f t="shared" si="81"/>
        <v>700</v>
      </c>
      <c r="D192" s="16">
        <f t="shared" ca="1" si="82"/>
        <v>27.5</v>
      </c>
      <c r="E192" s="15">
        <f t="shared" ca="1" si="83"/>
        <v>0</v>
      </c>
      <c r="F192" s="73">
        <f t="shared" ca="1" si="84"/>
        <v>764.59</v>
      </c>
      <c r="G192" s="15">
        <f t="shared" ca="1" si="85"/>
        <v>0</v>
      </c>
      <c r="H192" s="73">
        <f t="shared" ca="1" si="86"/>
        <v>6.6</v>
      </c>
      <c r="I192" s="15">
        <f t="shared" ca="1" si="87"/>
        <v>0</v>
      </c>
      <c r="J192" s="73">
        <f t="shared" ca="1" si="88"/>
        <v>757.99</v>
      </c>
      <c r="K192" s="15">
        <f t="shared" ca="1" si="89"/>
        <v>0</v>
      </c>
      <c r="L192" s="16">
        <f t="shared" ca="1" si="90"/>
        <v>760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>
        <f t="shared" ca="1" si="104"/>
        <v>25.6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5.0999999999999996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>
        <f t="shared" ca="1" si="118"/>
        <v>90</v>
      </c>
      <c r="AO192" s="15">
        <f t="shared" ca="1" si="119"/>
        <v>0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19190711</v>
      </c>
      <c r="C193" s="72">
        <f t="shared" si="81"/>
        <v>700</v>
      </c>
      <c r="D193" s="16">
        <f t="shared" ca="1" si="82"/>
        <v>27.8</v>
      </c>
      <c r="E193" s="15">
        <f t="shared" ca="1" si="83"/>
        <v>0</v>
      </c>
      <c r="F193" s="73">
        <f t="shared" ca="1" si="84"/>
        <v>765.25</v>
      </c>
      <c r="G193" s="15">
        <f t="shared" ca="1" si="85"/>
        <v>0</v>
      </c>
      <c r="H193" s="73">
        <f t="shared" ca="1" si="86"/>
        <v>6.65</v>
      </c>
      <c r="I193" s="15">
        <f t="shared" ca="1" si="87"/>
        <v>0</v>
      </c>
      <c r="J193" s="73">
        <f t="shared" ca="1" si="88"/>
        <v>758.6</v>
      </c>
      <c r="K193" s="15">
        <f t="shared" ca="1" si="89"/>
        <v>0</v>
      </c>
      <c r="L193" s="16">
        <f t="shared" ca="1" si="90"/>
        <v>760.7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>
        <f t="shared" ca="1" si="104"/>
        <v>26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5.0999999999999996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>
        <f t="shared" ca="1" si="118"/>
        <v>90</v>
      </c>
      <c r="AO193" s="15">
        <f t="shared" ca="1" si="119"/>
        <v>0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19190712</v>
      </c>
      <c r="C194" s="72">
        <f t="shared" ref="C194:C257" si="121">Tijd</f>
        <v>700</v>
      </c>
      <c r="D194" s="16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27.8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94" s="73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765.66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94" s="73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6.65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94" s="73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759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25.7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4.0999999999999996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19190713</v>
      </c>
      <c r="C195" s="72">
        <f t="shared" si="121"/>
        <v>700</v>
      </c>
      <c r="D195" s="16">
        <f t="shared" ca="1" si="122"/>
        <v>27.5</v>
      </c>
      <c r="E195" s="15">
        <f t="shared" ca="1" si="123"/>
        <v>0</v>
      </c>
      <c r="F195" s="73">
        <f t="shared" ca="1" si="124"/>
        <v>765.66</v>
      </c>
      <c r="G195" s="15">
        <f t="shared" ca="1" si="125"/>
        <v>0</v>
      </c>
      <c r="H195" s="73">
        <f t="shared" ca="1" si="126"/>
        <v>6.6</v>
      </c>
      <c r="I195" s="15">
        <f t="shared" ca="1" si="127"/>
        <v>0</v>
      </c>
      <c r="J195" s="73">
        <f t="shared" ca="1" si="128"/>
        <v>759.05</v>
      </c>
      <c r="K195" s="15">
        <f t="shared" ca="1" si="129"/>
        <v>0</v>
      </c>
      <c r="L195" s="16">
        <f t="shared" ca="1" si="130"/>
        <v>761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>
        <f t="shared" ca="1" si="144"/>
        <v>25.6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4.5999999999999996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>
        <f t="shared" ca="1" si="158"/>
        <v>90</v>
      </c>
      <c r="AO195" s="15">
        <f t="shared" ca="1" si="159"/>
        <v>0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19190714</v>
      </c>
      <c r="C196" s="72">
        <f t="shared" si="121"/>
        <v>700</v>
      </c>
      <c r="D196" s="16">
        <f t="shared" ca="1" si="122"/>
        <v>27.5</v>
      </c>
      <c r="E196" s="15">
        <f t="shared" ca="1" si="123"/>
        <v>0</v>
      </c>
      <c r="F196" s="73">
        <f t="shared" ca="1" si="124"/>
        <v>764.59</v>
      </c>
      <c r="G196" s="15">
        <f t="shared" ca="1" si="125"/>
        <v>0</v>
      </c>
      <c r="H196" s="73">
        <f t="shared" ca="1" si="126"/>
        <v>6.6</v>
      </c>
      <c r="I196" s="15">
        <f t="shared" ca="1" si="127"/>
        <v>0</v>
      </c>
      <c r="J196" s="73">
        <f t="shared" ca="1" si="128"/>
        <v>757.99</v>
      </c>
      <c r="K196" s="15">
        <f t="shared" ca="1" si="129"/>
        <v>0</v>
      </c>
      <c r="L196" s="16">
        <f t="shared" ca="1" si="130"/>
        <v>760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>
        <f t="shared" ca="1" si="144"/>
        <v>25.3</v>
      </c>
      <c r="AA196" s="15">
        <f t="shared" ca="1" si="145"/>
        <v>0</v>
      </c>
      <c r="AB196" s="9">
        <f t="shared" ca="1" si="146"/>
        <v>135</v>
      </c>
      <c r="AC196" s="15">
        <f t="shared" ca="1" si="147"/>
        <v>0</v>
      </c>
      <c r="AD196" s="76">
        <f t="shared" ca="1" si="148"/>
        <v>4.0999999999999996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>
        <f t="shared" ca="1" si="158"/>
        <v>90</v>
      </c>
      <c r="AO196" s="15">
        <f t="shared" ca="1" si="159"/>
        <v>0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19190715</v>
      </c>
      <c r="C197" s="72">
        <f t="shared" si="121"/>
        <v>700</v>
      </c>
      <c r="D197" s="16">
        <f t="shared" ca="1" si="122"/>
        <v>27.5</v>
      </c>
      <c r="E197" s="15">
        <f t="shared" ca="1" si="123"/>
        <v>0</v>
      </c>
      <c r="F197" s="73">
        <f t="shared" ca="1" si="124"/>
        <v>764.06</v>
      </c>
      <c r="G197" s="15">
        <f t="shared" ca="1" si="125"/>
        <v>0</v>
      </c>
      <c r="H197" s="73">
        <f t="shared" ca="1" si="126"/>
        <v>6.6</v>
      </c>
      <c r="I197" s="15">
        <f t="shared" ca="1" si="127"/>
        <v>0</v>
      </c>
      <c r="J197" s="73">
        <f t="shared" ca="1" si="128"/>
        <v>757.45</v>
      </c>
      <c r="K197" s="15">
        <f t="shared" ca="1" si="129"/>
        <v>0</v>
      </c>
      <c r="L197" s="16">
        <f t="shared" ca="1" si="130"/>
        <v>759.5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>
        <f t="shared" ca="1" si="144"/>
        <v>25.3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3.1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>
        <f t="shared" ca="1" si="158"/>
        <v>90</v>
      </c>
      <c r="AO197" s="15">
        <f t="shared" ca="1" si="159"/>
        <v>0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19190716</v>
      </c>
      <c r="C198" s="72">
        <f t="shared" si="121"/>
        <v>700</v>
      </c>
      <c r="D198" s="16">
        <f t="shared" ca="1" si="122"/>
        <v>27.8</v>
      </c>
      <c r="E198" s="15">
        <f t="shared" ca="1" si="123"/>
        <v>0</v>
      </c>
      <c r="F198" s="73">
        <f t="shared" ca="1" si="124"/>
        <v>764.26</v>
      </c>
      <c r="G198" s="15">
        <f t="shared" ca="1" si="125"/>
        <v>0</v>
      </c>
      <c r="H198" s="73">
        <f t="shared" ca="1" si="126"/>
        <v>6.65</v>
      </c>
      <c r="I198" s="15">
        <f t="shared" ca="1" si="127"/>
        <v>0</v>
      </c>
      <c r="J198" s="73">
        <f t="shared" ca="1" si="128"/>
        <v>757.61</v>
      </c>
      <c r="K198" s="15">
        <f t="shared" ca="1" si="129"/>
        <v>0</v>
      </c>
      <c r="L198" s="16">
        <f t="shared" ca="1" si="130"/>
        <v>759.7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>
        <f t="shared" ca="1" si="144"/>
        <v>25.1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4.5999999999999996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>
        <f t="shared" ca="1" si="158"/>
        <v>90</v>
      </c>
      <c r="AO198" s="15">
        <f t="shared" ca="1" si="159"/>
        <v>0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19190717</v>
      </c>
      <c r="C199" s="72">
        <f t="shared" si="121"/>
        <v>700</v>
      </c>
      <c r="D199" s="16">
        <f t="shared" ca="1" si="122"/>
        <v>27.5</v>
      </c>
      <c r="E199" s="15">
        <f t="shared" ca="1" si="123"/>
        <v>0</v>
      </c>
      <c r="F199" s="73">
        <f t="shared" ca="1" si="124"/>
        <v>764.87</v>
      </c>
      <c r="G199" s="15">
        <f t="shared" ca="1" si="125"/>
        <v>0</v>
      </c>
      <c r="H199" s="73">
        <f t="shared" ca="1" si="126"/>
        <v>6.6</v>
      </c>
      <c r="I199" s="15">
        <f t="shared" ca="1" si="127"/>
        <v>0</v>
      </c>
      <c r="J199" s="73">
        <f t="shared" ca="1" si="128"/>
        <v>758.27</v>
      </c>
      <c r="K199" s="15">
        <f t="shared" ca="1" si="129"/>
        <v>0</v>
      </c>
      <c r="L199" s="16">
        <f t="shared" ca="1" si="130"/>
        <v>760.2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>
        <f t="shared" ca="1" si="144"/>
        <v>25.4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4.0999999999999996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>
        <f t="shared" ca="1" si="158"/>
        <v>90</v>
      </c>
      <c r="AO199" s="15">
        <f t="shared" ca="1" si="159"/>
        <v>0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19190718</v>
      </c>
      <c r="C200" s="72">
        <f t="shared" si="121"/>
        <v>700</v>
      </c>
      <c r="D200" s="16">
        <f t="shared" ca="1" si="122"/>
        <v>27.5</v>
      </c>
      <c r="E200" s="15">
        <f t="shared" ca="1" si="123"/>
        <v>0</v>
      </c>
      <c r="F200" s="73">
        <f t="shared" ca="1" si="124"/>
        <v>764.87</v>
      </c>
      <c r="G200" s="15">
        <f t="shared" ca="1" si="125"/>
        <v>0</v>
      </c>
      <c r="H200" s="73">
        <f t="shared" ca="1" si="126"/>
        <v>6.6</v>
      </c>
      <c r="I200" s="15">
        <f t="shared" ca="1" si="127"/>
        <v>0</v>
      </c>
      <c r="J200" s="73">
        <f t="shared" ca="1" si="128"/>
        <v>758.27</v>
      </c>
      <c r="K200" s="15">
        <f t="shared" ca="1" si="129"/>
        <v>0</v>
      </c>
      <c r="L200" s="16">
        <f t="shared" ca="1" si="130"/>
        <v>760.2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>
        <f t="shared" ca="1" si="144"/>
        <v>24.9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4.0999999999999996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>
        <f t="shared" ca="1" si="158"/>
        <v>90</v>
      </c>
      <c r="AO200" s="15">
        <f t="shared" ca="1" si="159"/>
        <v>0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19190719</v>
      </c>
      <c r="C201" s="72">
        <f t="shared" si="121"/>
        <v>700</v>
      </c>
      <c r="D201" s="16">
        <f t="shared" ca="1" si="122"/>
        <v>27.2</v>
      </c>
      <c r="E201" s="15">
        <f t="shared" ca="1" si="123"/>
        <v>0</v>
      </c>
      <c r="F201" s="73">
        <f t="shared" ca="1" si="124"/>
        <v>765.12</v>
      </c>
      <c r="G201" s="15">
        <f t="shared" ca="1" si="125"/>
        <v>0</v>
      </c>
      <c r="H201" s="73">
        <f t="shared" ca="1" si="126"/>
        <v>6.58</v>
      </c>
      <c r="I201" s="15">
        <f t="shared" ca="1" si="127"/>
        <v>0</v>
      </c>
      <c r="J201" s="73">
        <f t="shared" ca="1" si="128"/>
        <v>758.55</v>
      </c>
      <c r="K201" s="15">
        <f t="shared" ca="1" si="129"/>
        <v>0</v>
      </c>
      <c r="L201" s="16">
        <f t="shared" ca="1" si="130"/>
        <v>760.5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>
        <f t="shared" ca="1" si="144"/>
        <v>25.2</v>
      </c>
      <c r="AA201" s="15">
        <f t="shared" ca="1" si="145"/>
        <v>0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3.1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>
        <f t="shared" ca="1" si="158"/>
        <v>90</v>
      </c>
      <c r="AO201" s="15">
        <f t="shared" ca="1" si="159"/>
        <v>0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19190720</v>
      </c>
      <c r="C202" s="72">
        <f t="shared" si="121"/>
        <v>700</v>
      </c>
      <c r="D202" s="16">
        <f t="shared" ca="1" si="122"/>
        <v>27.8</v>
      </c>
      <c r="E202" s="15">
        <f t="shared" ca="1" si="123"/>
        <v>0</v>
      </c>
      <c r="F202" s="73">
        <f t="shared" ca="1" si="124"/>
        <v>763.55</v>
      </c>
      <c r="G202" s="15">
        <f t="shared" ca="1" si="125"/>
        <v>0</v>
      </c>
      <c r="H202" s="73">
        <f t="shared" ca="1" si="126"/>
        <v>6.65</v>
      </c>
      <c r="I202" s="15">
        <f t="shared" ca="1" si="127"/>
        <v>0</v>
      </c>
      <c r="J202" s="73">
        <f t="shared" ca="1" si="128"/>
        <v>756.89</v>
      </c>
      <c r="K202" s="15">
        <f t="shared" ca="1" si="129"/>
        <v>0</v>
      </c>
      <c r="L202" s="16">
        <f t="shared" ca="1" si="130"/>
        <v>759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>
        <f t="shared" ca="1" si="144"/>
        <v>25.6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4.0999999999999996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>
        <f t="shared" ca="1" si="158"/>
        <v>90</v>
      </c>
      <c r="AO202" s="15">
        <f t="shared" ca="1" si="159"/>
        <v>0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19190721</v>
      </c>
      <c r="C203" s="72">
        <f t="shared" si="121"/>
        <v>700</v>
      </c>
      <c r="D203" s="16">
        <f t="shared" ca="1" si="122"/>
        <v>27.5</v>
      </c>
      <c r="E203" s="15">
        <f t="shared" ca="1" si="123"/>
        <v>0</v>
      </c>
      <c r="F203" s="73">
        <f t="shared" ca="1" si="124"/>
        <v>762.61</v>
      </c>
      <c r="G203" s="15">
        <f t="shared" ca="1" si="125"/>
        <v>0</v>
      </c>
      <c r="H203" s="73">
        <f t="shared" ca="1" si="126"/>
        <v>6.6</v>
      </c>
      <c r="I203" s="15">
        <f t="shared" ca="1" si="127"/>
        <v>0</v>
      </c>
      <c r="J203" s="73">
        <f t="shared" ca="1" si="128"/>
        <v>756.01</v>
      </c>
      <c r="K203" s="15">
        <f t="shared" ca="1" si="129"/>
        <v>0</v>
      </c>
      <c r="L203" s="16">
        <f t="shared" ca="1" si="130"/>
        <v>757.9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>
        <f t="shared" ca="1" si="144"/>
        <v>25.6</v>
      </c>
      <c r="AA203" s="15">
        <f t="shared" ca="1" si="145"/>
        <v>0</v>
      </c>
      <c r="AB203" s="9">
        <f t="shared" ca="1" si="146"/>
        <v>135</v>
      </c>
      <c r="AC203" s="15">
        <f t="shared" ca="1" si="147"/>
        <v>0</v>
      </c>
      <c r="AD203" s="76">
        <f t="shared" ca="1" si="148"/>
        <v>2.6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>
        <f t="shared" ca="1" si="158"/>
        <v>90</v>
      </c>
      <c r="AO203" s="15">
        <f t="shared" ca="1" si="159"/>
        <v>0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19190722</v>
      </c>
      <c r="C204" s="72">
        <f t="shared" si="121"/>
        <v>700</v>
      </c>
      <c r="D204" s="16">
        <f t="shared" ca="1" si="122"/>
        <v>27.5</v>
      </c>
      <c r="E204" s="15">
        <f t="shared" ca="1" si="123"/>
        <v>0</v>
      </c>
      <c r="F204" s="73">
        <f t="shared" ca="1" si="124"/>
        <v>764.08</v>
      </c>
      <c r="G204" s="15">
        <f t="shared" ca="1" si="125"/>
        <v>0</v>
      </c>
      <c r="H204" s="73">
        <f t="shared" ca="1" si="126"/>
        <v>6.6</v>
      </c>
      <c r="I204" s="15">
        <f t="shared" ca="1" si="127"/>
        <v>0</v>
      </c>
      <c r="J204" s="73">
        <f t="shared" ca="1" si="128"/>
        <v>757.48</v>
      </c>
      <c r="K204" s="15">
        <f t="shared" ca="1" si="129"/>
        <v>0</v>
      </c>
      <c r="L204" s="16">
        <f t="shared" ca="1" si="130"/>
        <v>759.5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>
        <f t="shared" ca="1" si="144"/>
        <v>25.4</v>
      </c>
      <c r="AA204" s="15">
        <f t="shared" ca="1" si="145"/>
        <v>0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4.0999999999999996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>
        <f t="shared" ca="1" si="158"/>
        <v>90</v>
      </c>
      <c r="AO204" s="15">
        <f t="shared" ca="1" si="159"/>
        <v>0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19190723</v>
      </c>
      <c r="C205" s="72">
        <f t="shared" si="121"/>
        <v>700</v>
      </c>
      <c r="D205" s="16">
        <f t="shared" ca="1" si="122"/>
        <v>27.8</v>
      </c>
      <c r="E205" s="15">
        <f t="shared" ca="1" si="123"/>
        <v>0</v>
      </c>
      <c r="F205" s="73">
        <f t="shared" ca="1" si="124"/>
        <v>763.47</v>
      </c>
      <c r="G205" s="15">
        <f t="shared" ca="1" si="125"/>
        <v>0</v>
      </c>
      <c r="H205" s="73">
        <f t="shared" ca="1" si="126"/>
        <v>6.65</v>
      </c>
      <c r="I205" s="15">
        <f t="shared" ca="1" si="127"/>
        <v>0</v>
      </c>
      <c r="J205" s="73">
        <f t="shared" ca="1" si="128"/>
        <v>756.82</v>
      </c>
      <c r="K205" s="15">
        <f t="shared" ca="1" si="129"/>
        <v>0</v>
      </c>
      <c r="L205" s="16">
        <f t="shared" ca="1" si="130"/>
        <v>759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>
        <f t="shared" ca="1" si="144"/>
        <v>25.8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4.0999999999999996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>
        <f t="shared" ca="1" si="158"/>
        <v>90</v>
      </c>
      <c r="AO205" s="15">
        <f t="shared" ca="1" si="159"/>
        <v>0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19190724</v>
      </c>
      <c r="C206" s="72">
        <f t="shared" si="121"/>
        <v>700</v>
      </c>
      <c r="D206" s="16">
        <f t="shared" ca="1" si="122"/>
        <v>27.5</v>
      </c>
      <c r="E206" s="15">
        <f t="shared" ca="1" si="123"/>
        <v>0</v>
      </c>
      <c r="F206" s="73">
        <f t="shared" ca="1" si="124"/>
        <v>763.98</v>
      </c>
      <c r="G206" s="15">
        <f t="shared" ca="1" si="125"/>
        <v>0</v>
      </c>
      <c r="H206" s="73">
        <f t="shared" ca="1" si="126"/>
        <v>6.6</v>
      </c>
      <c r="I206" s="15">
        <f t="shared" ca="1" si="127"/>
        <v>0</v>
      </c>
      <c r="J206" s="73">
        <f t="shared" ca="1" si="128"/>
        <v>757.38</v>
      </c>
      <c r="K206" s="15">
        <f t="shared" ca="1" si="129"/>
        <v>0</v>
      </c>
      <c r="L206" s="16">
        <f t="shared" ca="1" si="130"/>
        <v>759.5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>
        <f t="shared" ca="1" si="144"/>
        <v>25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5.0999999999999996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>
        <f t="shared" ca="1" si="158"/>
        <v>90</v>
      </c>
      <c r="AO206" s="15">
        <f t="shared" ca="1" si="159"/>
        <v>0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19190725</v>
      </c>
      <c r="C207" s="72">
        <f t="shared" si="121"/>
        <v>700</v>
      </c>
      <c r="D207" s="16">
        <f t="shared" ca="1" si="122"/>
        <v>27.8</v>
      </c>
      <c r="E207" s="15">
        <f t="shared" ca="1" si="123"/>
        <v>0</v>
      </c>
      <c r="F207" s="73">
        <f t="shared" ca="1" si="124"/>
        <v>763.6</v>
      </c>
      <c r="G207" s="15">
        <f t="shared" ca="1" si="125"/>
        <v>0</v>
      </c>
      <c r="H207" s="73">
        <f t="shared" ca="1" si="126"/>
        <v>6.65</v>
      </c>
      <c r="I207" s="15">
        <f t="shared" ca="1" si="127"/>
        <v>0</v>
      </c>
      <c r="J207" s="73">
        <f t="shared" ca="1" si="128"/>
        <v>756.95</v>
      </c>
      <c r="K207" s="15">
        <f t="shared" ca="1" si="129"/>
        <v>0</v>
      </c>
      <c r="L207" s="16">
        <f t="shared" ca="1" si="130"/>
        <v>759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>
        <f t="shared" ca="1" si="144"/>
        <v>25.9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4.0999999999999996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>
        <f t="shared" ca="1" si="158"/>
        <v>90</v>
      </c>
      <c r="AO207" s="15">
        <f t="shared" ca="1" si="159"/>
        <v>0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19190726</v>
      </c>
      <c r="C208" s="72">
        <f t="shared" si="121"/>
        <v>700</v>
      </c>
      <c r="D208" s="16">
        <f t="shared" ca="1" si="122"/>
        <v>27.8</v>
      </c>
      <c r="E208" s="15">
        <f t="shared" ca="1" si="123"/>
        <v>0</v>
      </c>
      <c r="F208" s="73">
        <f t="shared" ca="1" si="124"/>
        <v>763.63</v>
      </c>
      <c r="G208" s="15">
        <f t="shared" ca="1" si="125"/>
        <v>0</v>
      </c>
      <c r="H208" s="73">
        <f t="shared" ca="1" si="126"/>
        <v>6.65</v>
      </c>
      <c r="I208" s="15">
        <f t="shared" ca="1" si="127"/>
        <v>0</v>
      </c>
      <c r="J208" s="73">
        <f t="shared" ca="1" si="128"/>
        <v>756.97</v>
      </c>
      <c r="K208" s="15">
        <f t="shared" ca="1" si="129"/>
        <v>0</v>
      </c>
      <c r="L208" s="16">
        <f t="shared" ca="1" si="130"/>
        <v>759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>
        <f t="shared" ca="1" si="144"/>
        <v>26.2</v>
      </c>
      <c r="AA208" s="15">
        <f t="shared" ca="1" si="145"/>
        <v>0</v>
      </c>
      <c r="AB208" s="9">
        <f t="shared" ca="1" si="146"/>
        <v>135</v>
      </c>
      <c r="AC208" s="15">
        <f t="shared" ca="1" si="147"/>
        <v>0</v>
      </c>
      <c r="AD208" s="76">
        <f t="shared" ca="1" si="148"/>
        <v>4.0999999999999996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>
        <f t="shared" ca="1" si="158"/>
        <v>90</v>
      </c>
      <c r="AO208" s="15">
        <f t="shared" ca="1" si="159"/>
        <v>0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19190727</v>
      </c>
      <c r="C209" s="72">
        <f t="shared" si="121"/>
        <v>700</v>
      </c>
      <c r="D209" s="16">
        <f t="shared" ca="1" si="122"/>
        <v>28.1</v>
      </c>
      <c r="E209" s="15">
        <f t="shared" ca="1" si="123"/>
        <v>0</v>
      </c>
      <c r="F209" s="73">
        <f t="shared" ca="1" si="124"/>
        <v>764.44</v>
      </c>
      <c r="G209" s="15">
        <f t="shared" ca="1" si="125"/>
        <v>0</v>
      </c>
      <c r="H209" s="73">
        <f t="shared" ca="1" si="126"/>
        <v>6.68</v>
      </c>
      <c r="I209" s="15">
        <f t="shared" ca="1" si="127"/>
        <v>0</v>
      </c>
      <c r="J209" s="73">
        <f t="shared" ca="1" si="128"/>
        <v>757.76</v>
      </c>
      <c r="K209" s="15">
        <f t="shared" ca="1" si="129"/>
        <v>0</v>
      </c>
      <c r="L209" s="16">
        <f t="shared" ca="1" si="130"/>
        <v>759.7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>
        <f t="shared" ca="1" si="144"/>
        <v>26.3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4.0999999999999996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>
        <f t="shared" ca="1" si="158"/>
        <v>90</v>
      </c>
      <c r="AO209" s="15">
        <f t="shared" ca="1" si="159"/>
        <v>0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19190728</v>
      </c>
      <c r="C210" s="72">
        <f t="shared" si="121"/>
        <v>700</v>
      </c>
      <c r="D210" s="16">
        <f t="shared" ca="1" si="122"/>
        <v>27.8</v>
      </c>
      <c r="E210" s="15">
        <f t="shared" ca="1" si="123"/>
        <v>0</v>
      </c>
      <c r="F210" s="73">
        <f t="shared" ca="1" si="124"/>
        <v>763.12</v>
      </c>
      <c r="G210" s="15">
        <f t="shared" ca="1" si="125"/>
        <v>0</v>
      </c>
      <c r="H210" s="73">
        <f t="shared" ca="1" si="126"/>
        <v>6.65</v>
      </c>
      <c r="I210" s="15">
        <f t="shared" ca="1" si="127"/>
        <v>0</v>
      </c>
      <c r="J210" s="73">
        <f t="shared" ca="1" si="128"/>
        <v>756.46</v>
      </c>
      <c r="K210" s="15">
        <f t="shared" ca="1" si="129"/>
        <v>0</v>
      </c>
      <c r="L210" s="16">
        <f t="shared" ca="1" si="130"/>
        <v>758.4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>
        <f t="shared" ca="1" si="144"/>
        <v>25.6</v>
      </c>
      <c r="AA210" s="15">
        <f t="shared" ca="1" si="145"/>
        <v>0</v>
      </c>
      <c r="AB210" s="9">
        <f t="shared" ca="1" si="146"/>
        <v>45</v>
      </c>
      <c r="AC210" s="15">
        <f t="shared" ca="1" si="147"/>
        <v>0</v>
      </c>
      <c r="AD210" s="76">
        <f t="shared" ca="1" si="148"/>
        <v>3.1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>
        <f t="shared" ca="1" si="158"/>
        <v>90</v>
      </c>
      <c r="AO210" s="15">
        <f t="shared" ca="1" si="159"/>
        <v>0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19190729</v>
      </c>
      <c r="C211" s="72">
        <f t="shared" si="121"/>
        <v>700</v>
      </c>
      <c r="D211" s="16">
        <f t="shared" ca="1" si="122"/>
        <v>28.1</v>
      </c>
      <c r="E211" s="15">
        <f t="shared" ca="1" si="123"/>
        <v>0</v>
      </c>
      <c r="F211" s="73">
        <f t="shared" ca="1" si="124"/>
        <v>763.8</v>
      </c>
      <c r="G211" s="15">
        <f t="shared" ca="1" si="125"/>
        <v>0</v>
      </c>
      <c r="H211" s="73">
        <f t="shared" ca="1" si="126"/>
        <v>6.68</v>
      </c>
      <c r="I211" s="15">
        <f t="shared" ca="1" si="127"/>
        <v>0</v>
      </c>
      <c r="J211" s="73">
        <f t="shared" ca="1" si="128"/>
        <v>757.12</v>
      </c>
      <c r="K211" s="15">
        <f t="shared" ca="1" si="129"/>
        <v>0</v>
      </c>
      <c r="L211" s="16">
        <f t="shared" ca="1" si="130"/>
        <v>759.2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>
        <f t="shared" ca="1" si="144"/>
        <v>25.3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3.1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>
        <f t="shared" ca="1" si="158"/>
        <v>90</v>
      </c>
      <c r="AO211" s="15">
        <f t="shared" ca="1" si="159"/>
        <v>0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19190730</v>
      </c>
      <c r="C212" s="72">
        <f t="shared" si="121"/>
        <v>700</v>
      </c>
      <c r="D212" s="16">
        <f t="shared" ca="1" si="122"/>
        <v>28.1</v>
      </c>
      <c r="E212" s="15">
        <f t="shared" ca="1" si="123"/>
        <v>0</v>
      </c>
      <c r="F212" s="73">
        <f t="shared" ca="1" si="124"/>
        <v>764.79</v>
      </c>
      <c r="G212" s="15">
        <f t="shared" ca="1" si="125"/>
        <v>0</v>
      </c>
      <c r="H212" s="73">
        <f t="shared" ca="1" si="126"/>
        <v>6.68</v>
      </c>
      <c r="I212" s="15">
        <f t="shared" ca="1" si="127"/>
        <v>0</v>
      </c>
      <c r="J212" s="73">
        <f t="shared" ca="1" si="128"/>
        <v>758.11</v>
      </c>
      <c r="K212" s="15">
        <f t="shared" ca="1" si="129"/>
        <v>0</v>
      </c>
      <c r="L212" s="16">
        <f t="shared" ca="1" si="130"/>
        <v>760.2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>
        <f t="shared" ca="1" si="144"/>
        <v>26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5.0999999999999996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>
        <f t="shared" ca="1" si="158"/>
        <v>90</v>
      </c>
      <c r="AO212" s="15">
        <f t="shared" ca="1" si="159"/>
        <v>0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19190731</v>
      </c>
      <c r="C213" s="72">
        <f t="shared" si="121"/>
        <v>700</v>
      </c>
      <c r="D213" s="16">
        <f t="shared" ca="1" si="122"/>
        <v>28.3</v>
      </c>
      <c r="E213" s="15">
        <f t="shared" ca="1" si="123"/>
        <v>0</v>
      </c>
      <c r="F213" s="73">
        <f t="shared" ca="1" si="124"/>
        <v>765.2</v>
      </c>
      <c r="G213" s="15">
        <f t="shared" ca="1" si="125"/>
        <v>0</v>
      </c>
      <c r="H213" s="73">
        <f t="shared" ca="1" si="126"/>
        <v>6.71</v>
      </c>
      <c r="I213" s="15">
        <f t="shared" ca="1" si="127"/>
        <v>0</v>
      </c>
      <c r="J213" s="73">
        <f t="shared" ca="1" si="128"/>
        <v>758.49</v>
      </c>
      <c r="K213" s="15">
        <f t="shared" ca="1" si="129"/>
        <v>0</v>
      </c>
      <c r="L213" s="16">
        <f t="shared" ca="1" si="130"/>
        <v>760.5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>
        <f t="shared" ca="1" si="144"/>
        <v>26.7</v>
      </c>
      <c r="AA213" s="15">
        <f t="shared" ca="1" si="145"/>
        <v>0</v>
      </c>
      <c r="AB213" s="9">
        <f t="shared" ca="1" si="146"/>
        <v>45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>
        <f t="shared" ca="1" si="158"/>
        <v>90</v>
      </c>
      <c r="AO213" s="15">
        <f t="shared" ca="1" si="159"/>
        <v>0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19190801</v>
      </c>
      <c r="C214" s="72">
        <f t="shared" si="121"/>
        <v>700</v>
      </c>
      <c r="D214" s="16">
        <f t="shared" ca="1" si="122"/>
        <v>28.3</v>
      </c>
      <c r="E214" s="15">
        <f t="shared" ca="1" si="123"/>
        <v>0</v>
      </c>
      <c r="F214" s="73">
        <f t="shared" ca="1" si="124"/>
        <v>765.48</v>
      </c>
      <c r="G214" s="15">
        <f t="shared" ca="1" si="125"/>
        <v>0</v>
      </c>
      <c r="H214" s="73">
        <f t="shared" ca="1" si="126"/>
        <v>6.71</v>
      </c>
      <c r="I214" s="15">
        <f t="shared" ca="1" si="127"/>
        <v>0</v>
      </c>
      <c r="J214" s="73">
        <f t="shared" ca="1" si="128"/>
        <v>758.77</v>
      </c>
      <c r="K214" s="15">
        <f t="shared" ca="1" si="129"/>
        <v>0</v>
      </c>
      <c r="L214" s="16">
        <f t="shared" ca="1" si="130"/>
        <v>760.7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>
        <f t="shared" ca="1" si="144"/>
        <v>25.6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4.0999999999999996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>
        <f t="shared" ca="1" si="158"/>
        <v>90</v>
      </c>
      <c r="AO214" s="15">
        <f t="shared" ca="1" si="159"/>
        <v>0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19190802</v>
      </c>
      <c r="C215" s="72">
        <f t="shared" si="121"/>
        <v>700</v>
      </c>
      <c r="D215" s="16">
        <f t="shared" ca="1" si="122"/>
        <v>28.3</v>
      </c>
      <c r="E215" s="15">
        <f t="shared" ca="1" si="123"/>
        <v>0</v>
      </c>
      <c r="F215" s="73">
        <f t="shared" ca="1" si="124"/>
        <v>764.84</v>
      </c>
      <c r="G215" s="15">
        <f t="shared" ca="1" si="125"/>
        <v>0</v>
      </c>
      <c r="H215" s="73">
        <f t="shared" ca="1" si="126"/>
        <v>6.71</v>
      </c>
      <c r="I215" s="15">
        <f t="shared" ca="1" si="127"/>
        <v>0</v>
      </c>
      <c r="J215" s="73">
        <f t="shared" ca="1" si="128"/>
        <v>758.14</v>
      </c>
      <c r="K215" s="15">
        <f t="shared" ca="1" si="129"/>
        <v>0</v>
      </c>
      <c r="L215" s="16">
        <f t="shared" ca="1" si="130"/>
        <v>760.2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>
        <f t="shared" ca="1" si="144"/>
        <v>26.8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4.0999999999999996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>
        <f t="shared" ca="1" si="158"/>
        <v>90</v>
      </c>
      <c r="AO215" s="15">
        <f t="shared" ca="1" si="159"/>
        <v>0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19190803</v>
      </c>
      <c r="C216" s="72">
        <f t="shared" si="121"/>
        <v>700</v>
      </c>
      <c r="D216" s="16">
        <f t="shared" ca="1" si="122"/>
        <v>28.3</v>
      </c>
      <c r="E216" s="15">
        <f t="shared" ca="1" si="123"/>
        <v>0</v>
      </c>
      <c r="F216" s="73">
        <f t="shared" ca="1" si="124"/>
        <v>764.16</v>
      </c>
      <c r="G216" s="15">
        <f t="shared" ca="1" si="125"/>
        <v>0</v>
      </c>
      <c r="H216" s="73">
        <f t="shared" ca="1" si="126"/>
        <v>6.71</v>
      </c>
      <c r="I216" s="15">
        <f t="shared" ca="1" si="127"/>
        <v>0</v>
      </c>
      <c r="J216" s="73">
        <f t="shared" ca="1" si="128"/>
        <v>757.45</v>
      </c>
      <c r="K216" s="15">
        <f t="shared" ca="1" si="129"/>
        <v>0</v>
      </c>
      <c r="L216" s="16">
        <f t="shared" ca="1" si="130"/>
        <v>759.5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>
        <f t="shared" ca="1" si="144"/>
        <v>26.3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3.1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>
        <f t="shared" ca="1" si="158"/>
        <v>90</v>
      </c>
      <c r="AO216" s="15">
        <f t="shared" ca="1" si="159"/>
        <v>0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19190804</v>
      </c>
      <c r="C217" s="72">
        <f t="shared" si="121"/>
        <v>700</v>
      </c>
      <c r="D217" s="16">
        <f t="shared" ca="1" si="122"/>
        <v>28.1</v>
      </c>
      <c r="E217" s="15">
        <f t="shared" ca="1" si="123"/>
        <v>0</v>
      </c>
      <c r="F217" s="73">
        <f t="shared" ca="1" si="124"/>
        <v>764.97</v>
      </c>
      <c r="G217" s="15">
        <f t="shared" ca="1" si="125"/>
        <v>0</v>
      </c>
      <c r="H217" s="73">
        <f t="shared" ca="1" si="126"/>
        <v>6.68</v>
      </c>
      <c r="I217" s="15">
        <f t="shared" ca="1" si="127"/>
        <v>0</v>
      </c>
      <c r="J217" s="73">
        <f t="shared" ca="1" si="128"/>
        <v>758.29</v>
      </c>
      <c r="K217" s="15">
        <f t="shared" ca="1" si="129"/>
        <v>0</v>
      </c>
      <c r="L217" s="16">
        <f t="shared" ca="1" si="130"/>
        <v>760.2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>
        <f t="shared" ca="1" si="144"/>
        <v>24.6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4.0999999999999996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>
        <f t="shared" ca="1" si="158"/>
        <v>90</v>
      </c>
      <c r="AO217" s="15">
        <f t="shared" ca="1" si="159"/>
        <v>0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19190805</v>
      </c>
      <c r="C218" s="72">
        <f t="shared" si="121"/>
        <v>700</v>
      </c>
      <c r="D218" s="16">
        <f t="shared" ca="1" si="122"/>
        <v>28.1</v>
      </c>
      <c r="E218" s="15">
        <f t="shared" ca="1" si="123"/>
        <v>0</v>
      </c>
      <c r="F218" s="73">
        <f t="shared" ca="1" si="124"/>
        <v>764.03</v>
      </c>
      <c r="G218" s="15">
        <f t="shared" ca="1" si="125"/>
        <v>0</v>
      </c>
      <c r="H218" s="73">
        <f t="shared" ca="1" si="126"/>
        <v>6.68</v>
      </c>
      <c r="I218" s="15">
        <f t="shared" ca="1" si="127"/>
        <v>0</v>
      </c>
      <c r="J218" s="73">
        <f t="shared" ca="1" si="128"/>
        <v>757.35</v>
      </c>
      <c r="K218" s="15">
        <f t="shared" ca="1" si="129"/>
        <v>0</v>
      </c>
      <c r="L218" s="16">
        <f t="shared" ca="1" si="130"/>
        <v>759.5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>
        <f t="shared" ca="1" si="144"/>
        <v>26.1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5.0999999999999996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>
        <f t="shared" ca="1" si="158"/>
        <v>90</v>
      </c>
      <c r="AO218" s="15">
        <f t="shared" ca="1" si="159"/>
        <v>0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19190806</v>
      </c>
      <c r="C219" s="72">
        <f t="shared" si="121"/>
        <v>700</v>
      </c>
      <c r="D219" s="16">
        <f t="shared" ca="1" si="122"/>
        <v>27.8</v>
      </c>
      <c r="E219" s="15">
        <f t="shared" ca="1" si="123"/>
        <v>0</v>
      </c>
      <c r="F219" s="73">
        <f t="shared" ca="1" si="124"/>
        <v>763.78</v>
      </c>
      <c r="G219" s="15">
        <f t="shared" ca="1" si="125"/>
        <v>0</v>
      </c>
      <c r="H219" s="73">
        <f t="shared" ca="1" si="126"/>
        <v>6.65</v>
      </c>
      <c r="I219" s="15">
        <f t="shared" ca="1" si="127"/>
        <v>0</v>
      </c>
      <c r="J219" s="73">
        <f t="shared" ca="1" si="128"/>
        <v>757.12</v>
      </c>
      <c r="K219" s="15">
        <f t="shared" ca="1" si="129"/>
        <v>0</v>
      </c>
      <c r="L219" s="16">
        <f t="shared" ca="1" si="130"/>
        <v>759.2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>
        <f t="shared" ca="1" si="144"/>
        <v>26.1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3.1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>
        <f t="shared" ca="1" si="158"/>
        <v>90</v>
      </c>
      <c r="AO219" s="15">
        <f t="shared" ca="1" si="159"/>
        <v>0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19190807</v>
      </c>
      <c r="C220" s="72">
        <f t="shared" si="121"/>
        <v>700</v>
      </c>
      <c r="D220" s="16">
        <f t="shared" ca="1" si="122"/>
        <v>28.1</v>
      </c>
      <c r="E220" s="15">
        <f t="shared" ca="1" si="123"/>
        <v>0</v>
      </c>
      <c r="F220" s="73">
        <f t="shared" ca="1" si="124"/>
        <v>763.14</v>
      </c>
      <c r="G220" s="15">
        <f t="shared" ca="1" si="125"/>
        <v>0</v>
      </c>
      <c r="H220" s="73">
        <f t="shared" ca="1" si="126"/>
        <v>6.68</v>
      </c>
      <c r="I220" s="15">
        <f t="shared" ca="1" si="127"/>
        <v>0</v>
      </c>
      <c r="J220" s="73">
        <f t="shared" ca="1" si="128"/>
        <v>756.46</v>
      </c>
      <c r="K220" s="15">
        <f t="shared" ca="1" si="129"/>
        <v>0</v>
      </c>
      <c r="L220" s="16">
        <f t="shared" ca="1" si="130"/>
        <v>758.4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>
        <f t="shared" ca="1" si="144"/>
        <v>26.2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2.6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>
        <f t="shared" ca="1" si="158"/>
        <v>90</v>
      </c>
      <c r="AO220" s="15">
        <f t="shared" ca="1" si="159"/>
        <v>0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19190808</v>
      </c>
      <c r="C221" s="72">
        <f t="shared" si="121"/>
        <v>700</v>
      </c>
      <c r="D221" s="16">
        <f t="shared" ca="1" si="122"/>
        <v>28.1</v>
      </c>
      <c r="E221" s="15">
        <f t="shared" ca="1" si="123"/>
        <v>0</v>
      </c>
      <c r="F221" s="73">
        <f t="shared" ca="1" si="124"/>
        <v>764.29</v>
      </c>
      <c r="G221" s="15">
        <f t="shared" ca="1" si="125"/>
        <v>0</v>
      </c>
      <c r="H221" s="73">
        <f t="shared" ca="1" si="126"/>
        <v>6.68</v>
      </c>
      <c r="I221" s="15">
        <f t="shared" ca="1" si="127"/>
        <v>0</v>
      </c>
      <c r="J221" s="73">
        <f t="shared" ca="1" si="128"/>
        <v>757.61</v>
      </c>
      <c r="K221" s="15">
        <f t="shared" ca="1" si="129"/>
        <v>0</v>
      </c>
      <c r="L221" s="16">
        <f t="shared" ca="1" si="130"/>
        <v>759.7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>
        <f t="shared" ca="1" si="144"/>
        <v>26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2.6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>
        <f t="shared" ca="1" si="158"/>
        <v>90</v>
      </c>
      <c r="AO221" s="15">
        <f t="shared" ca="1" si="159"/>
        <v>0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19190809</v>
      </c>
      <c r="C222" s="72">
        <f t="shared" si="121"/>
        <v>700</v>
      </c>
      <c r="D222" s="16">
        <f t="shared" ca="1" si="122"/>
        <v>28.3</v>
      </c>
      <c r="E222" s="15">
        <f t="shared" ca="1" si="123"/>
        <v>0</v>
      </c>
      <c r="F222" s="73">
        <f t="shared" ca="1" si="124"/>
        <v>763.93</v>
      </c>
      <c r="G222" s="15">
        <f t="shared" ca="1" si="125"/>
        <v>0</v>
      </c>
      <c r="H222" s="73">
        <f t="shared" ca="1" si="126"/>
        <v>6.71</v>
      </c>
      <c r="I222" s="15">
        <f t="shared" ca="1" si="127"/>
        <v>0</v>
      </c>
      <c r="J222" s="73">
        <f t="shared" ca="1" si="128"/>
        <v>757.07</v>
      </c>
      <c r="K222" s="15">
        <f t="shared" ca="1" si="129"/>
        <v>0</v>
      </c>
      <c r="L222" s="16">
        <f t="shared" ca="1" si="130"/>
        <v>759.2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>
        <f t="shared" ca="1" si="144"/>
        <v>24.6</v>
      </c>
      <c r="AA222" s="15">
        <f t="shared" ca="1" si="145"/>
        <v>0</v>
      </c>
      <c r="AB222" s="9">
        <f t="shared" ca="1" si="146"/>
        <v>135</v>
      </c>
      <c r="AC222" s="15">
        <f t="shared" ca="1" si="147"/>
        <v>0</v>
      </c>
      <c r="AD222" s="76">
        <f t="shared" ca="1" si="148"/>
        <v>7.7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>
        <f t="shared" ca="1" si="158"/>
        <v>90</v>
      </c>
      <c r="AO222" s="15">
        <f t="shared" ca="1" si="159"/>
        <v>0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19190810</v>
      </c>
      <c r="C223" s="72">
        <f t="shared" si="121"/>
        <v>700</v>
      </c>
      <c r="D223" s="16">
        <f t="shared" ca="1" si="122"/>
        <v>28.3</v>
      </c>
      <c r="E223" s="15">
        <f t="shared" ca="1" si="123"/>
        <v>0</v>
      </c>
      <c r="F223" s="73">
        <f t="shared" ca="1" si="124"/>
        <v>764.29</v>
      </c>
      <c r="G223" s="15">
        <f t="shared" ca="1" si="125"/>
        <v>0</v>
      </c>
      <c r="H223" s="73">
        <f t="shared" ca="1" si="126"/>
        <v>6.71</v>
      </c>
      <c r="I223" s="15">
        <f t="shared" ca="1" si="127"/>
        <v>0</v>
      </c>
      <c r="J223" s="73">
        <f t="shared" ca="1" si="128"/>
        <v>757.58</v>
      </c>
      <c r="K223" s="15">
        <f t="shared" ca="1" si="129"/>
        <v>0</v>
      </c>
      <c r="L223" s="16">
        <f t="shared" ca="1" si="130"/>
        <v>759.7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>
        <f t="shared" ca="1" si="144"/>
        <v>25.3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2.6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>
        <f t="shared" ca="1" si="158"/>
        <v>90</v>
      </c>
      <c r="AO223" s="15">
        <f t="shared" ca="1" si="159"/>
        <v>0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19190811</v>
      </c>
      <c r="C224" s="72">
        <f t="shared" si="121"/>
        <v>700</v>
      </c>
      <c r="D224" s="16">
        <f t="shared" ca="1" si="122"/>
        <v>28.3</v>
      </c>
      <c r="E224" s="15">
        <f t="shared" ca="1" si="123"/>
        <v>0</v>
      </c>
      <c r="F224" s="73">
        <f t="shared" ca="1" si="124"/>
        <v>764.44</v>
      </c>
      <c r="G224" s="15">
        <f t="shared" ca="1" si="125"/>
        <v>0</v>
      </c>
      <c r="H224" s="73">
        <f t="shared" ca="1" si="126"/>
        <v>6.71</v>
      </c>
      <c r="I224" s="15">
        <f t="shared" ca="1" si="127"/>
        <v>0</v>
      </c>
      <c r="J224" s="73">
        <f t="shared" ca="1" si="128"/>
        <v>757.73</v>
      </c>
      <c r="K224" s="15">
        <f t="shared" ca="1" si="129"/>
        <v>0</v>
      </c>
      <c r="L224" s="16">
        <f t="shared" ca="1" si="130"/>
        <v>759.7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>
        <f t="shared" ca="1" si="144"/>
        <v>25.7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4.0999999999999996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>
        <f t="shared" ca="1" si="158"/>
        <v>90</v>
      </c>
      <c r="AO224" s="15">
        <f t="shared" ca="1" si="159"/>
        <v>0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19190812</v>
      </c>
      <c r="C225" s="72">
        <f t="shared" si="121"/>
        <v>700</v>
      </c>
      <c r="D225" s="16">
        <f t="shared" ca="1" si="122"/>
        <v>28.3</v>
      </c>
      <c r="E225" s="15">
        <f t="shared" ca="1" si="123"/>
        <v>0</v>
      </c>
      <c r="F225" s="73">
        <f t="shared" ca="1" si="124"/>
        <v>764.29</v>
      </c>
      <c r="G225" s="15">
        <f t="shared" ca="1" si="125"/>
        <v>0</v>
      </c>
      <c r="H225" s="73">
        <f t="shared" ca="1" si="126"/>
        <v>6.71</v>
      </c>
      <c r="I225" s="15">
        <f t="shared" ca="1" si="127"/>
        <v>0</v>
      </c>
      <c r="J225" s="73">
        <f t="shared" ca="1" si="128"/>
        <v>757.58</v>
      </c>
      <c r="K225" s="15">
        <f t="shared" ca="1" si="129"/>
        <v>0</v>
      </c>
      <c r="L225" s="16">
        <f t="shared" ca="1" si="130"/>
        <v>759.7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>
        <f t="shared" ca="1" si="144"/>
        <v>25.7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5.0999999999999996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>
        <f t="shared" ca="1" si="158"/>
        <v>90</v>
      </c>
      <c r="AO225" s="15">
        <f t="shared" ca="1" si="159"/>
        <v>0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19190813</v>
      </c>
      <c r="C226" s="72">
        <f t="shared" si="121"/>
        <v>700</v>
      </c>
      <c r="D226" s="16">
        <f t="shared" ca="1" si="122"/>
        <v>28.3</v>
      </c>
      <c r="E226" s="15">
        <f t="shared" ca="1" si="123"/>
        <v>0</v>
      </c>
      <c r="F226" s="73">
        <f t="shared" ca="1" si="124"/>
        <v>762.91</v>
      </c>
      <c r="G226" s="15">
        <f t="shared" ca="1" si="125"/>
        <v>0</v>
      </c>
      <c r="H226" s="73">
        <f t="shared" ca="1" si="126"/>
        <v>6.71</v>
      </c>
      <c r="I226" s="15">
        <f t="shared" ca="1" si="127"/>
        <v>0</v>
      </c>
      <c r="J226" s="73">
        <f t="shared" ca="1" si="128"/>
        <v>756.21</v>
      </c>
      <c r="K226" s="15">
        <f t="shared" ca="1" si="129"/>
        <v>0</v>
      </c>
      <c r="L226" s="16">
        <f t="shared" ca="1" si="130"/>
        <v>758.2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>
        <f t="shared" ca="1" si="144"/>
        <v>25.7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5.0999999999999996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>
        <f t="shared" ca="1" si="158"/>
        <v>90</v>
      </c>
      <c r="AO226" s="15">
        <f t="shared" ca="1" si="159"/>
        <v>0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19190814</v>
      </c>
      <c r="C227" s="72">
        <f t="shared" si="121"/>
        <v>700</v>
      </c>
      <c r="D227" s="16">
        <f t="shared" ca="1" si="122"/>
        <v>28.1</v>
      </c>
      <c r="E227" s="15">
        <f t="shared" ca="1" si="123"/>
        <v>0</v>
      </c>
      <c r="F227" s="73">
        <f t="shared" ca="1" si="124"/>
        <v>764.41</v>
      </c>
      <c r="G227" s="15">
        <f t="shared" ca="1" si="125"/>
        <v>0</v>
      </c>
      <c r="H227" s="73">
        <f t="shared" ca="1" si="126"/>
        <v>6.68</v>
      </c>
      <c r="I227" s="15">
        <f t="shared" ca="1" si="127"/>
        <v>0</v>
      </c>
      <c r="J227" s="73">
        <f t="shared" ca="1" si="128"/>
        <v>757.73</v>
      </c>
      <c r="K227" s="15">
        <f t="shared" ca="1" si="129"/>
        <v>0</v>
      </c>
      <c r="L227" s="16">
        <f t="shared" ca="1" si="130"/>
        <v>759.7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>
        <f t="shared" ca="1" si="144"/>
        <v>24.7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6.2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>
        <f t="shared" ca="1" si="158"/>
        <v>90</v>
      </c>
      <c r="AO227" s="15">
        <f t="shared" ca="1" si="159"/>
        <v>0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19190815</v>
      </c>
      <c r="C228" s="72">
        <f t="shared" si="121"/>
        <v>700</v>
      </c>
      <c r="D228" s="16">
        <f t="shared" ca="1" si="122"/>
        <v>28.3</v>
      </c>
      <c r="E228" s="15">
        <f t="shared" ca="1" si="123"/>
        <v>0</v>
      </c>
      <c r="F228" s="73">
        <f t="shared" ca="1" si="124"/>
        <v>766.17</v>
      </c>
      <c r="G228" s="15">
        <f t="shared" ca="1" si="125"/>
        <v>0</v>
      </c>
      <c r="H228" s="73">
        <f t="shared" ca="1" si="126"/>
        <v>6.71</v>
      </c>
      <c r="I228" s="15">
        <f t="shared" ca="1" si="127"/>
        <v>0</v>
      </c>
      <c r="J228" s="73">
        <f t="shared" ca="1" si="128"/>
        <v>759.46</v>
      </c>
      <c r="K228" s="15">
        <f t="shared" ca="1" si="129"/>
        <v>0</v>
      </c>
      <c r="L228" s="16">
        <f t="shared" ca="1" si="130"/>
        <v>761.5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>
        <f t="shared" ca="1" si="144"/>
        <v>26.3</v>
      </c>
      <c r="AA228" s="15">
        <f t="shared" ca="1" si="145"/>
        <v>0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4.0999999999999996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>
        <f t="shared" ca="1" si="158"/>
        <v>90</v>
      </c>
      <c r="AO228" s="15">
        <f t="shared" ca="1" si="159"/>
        <v>0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19190816</v>
      </c>
      <c r="C229" s="72">
        <f t="shared" si="121"/>
        <v>700</v>
      </c>
      <c r="D229" s="16">
        <f t="shared" ca="1" si="122"/>
        <v>28.3</v>
      </c>
      <c r="E229" s="15">
        <f t="shared" ca="1" si="123"/>
        <v>0</v>
      </c>
      <c r="F229" s="73">
        <f t="shared" ca="1" si="124"/>
        <v>765.05</v>
      </c>
      <c r="G229" s="15">
        <f t="shared" ca="1" si="125"/>
        <v>0</v>
      </c>
      <c r="H229" s="73">
        <f t="shared" ca="1" si="126"/>
        <v>6.71</v>
      </c>
      <c r="I229" s="15">
        <f t="shared" ca="1" si="127"/>
        <v>0</v>
      </c>
      <c r="J229" s="73">
        <f t="shared" ca="1" si="128"/>
        <v>758.34</v>
      </c>
      <c r="K229" s="15">
        <f t="shared" ca="1" si="129"/>
        <v>0</v>
      </c>
      <c r="L229" s="16">
        <f t="shared" ca="1" si="130"/>
        <v>760.5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>
        <f t="shared" ca="1" si="144"/>
        <v>26.8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4.0999999999999996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>
        <f t="shared" ca="1" si="158"/>
        <v>90</v>
      </c>
      <c r="AO229" s="15">
        <f t="shared" ca="1" si="159"/>
        <v>0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19190817</v>
      </c>
      <c r="C230" s="72">
        <f t="shared" si="121"/>
        <v>700</v>
      </c>
      <c r="D230" s="16">
        <f t="shared" ca="1" si="122"/>
        <v>27.8</v>
      </c>
      <c r="E230" s="15">
        <f t="shared" ca="1" si="123"/>
        <v>0</v>
      </c>
      <c r="F230" s="73">
        <f t="shared" ca="1" si="124"/>
        <v>765.2</v>
      </c>
      <c r="G230" s="15">
        <f t="shared" ca="1" si="125"/>
        <v>0</v>
      </c>
      <c r="H230" s="73">
        <f t="shared" ca="1" si="126"/>
        <v>6.65</v>
      </c>
      <c r="I230" s="15">
        <f t="shared" ca="1" si="127"/>
        <v>0</v>
      </c>
      <c r="J230" s="73">
        <f t="shared" ca="1" si="128"/>
        <v>758.55</v>
      </c>
      <c r="K230" s="15">
        <f t="shared" ca="1" si="129"/>
        <v>0</v>
      </c>
      <c r="L230" s="16">
        <f t="shared" ca="1" si="130"/>
        <v>760.5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>
        <f t="shared" ca="1" si="144"/>
        <v>22.9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3.1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>
        <f t="shared" ca="1" si="158"/>
        <v>90</v>
      </c>
      <c r="AO230" s="15">
        <f t="shared" ca="1" si="159"/>
        <v>0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19190818</v>
      </c>
      <c r="C231" s="72">
        <f t="shared" si="121"/>
        <v>700</v>
      </c>
      <c r="D231" s="16">
        <f t="shared" ca="1" si="122"/>
        <v>27.8</v>
      </c>
      <c r="E231" s="15">
        <f t="shared" ca="1" si="123"/>
        <v>0</v>
      </c>
      <c r="F231" s="73">
        <f t="shared" ca="1" si="124"/>
        <v>766.01</v>
      </c>
      <c r="G231" s="15">
        <f t="shared" ca="1" si="125"/>
        <v>0</v>
      </c>
      <c r="H231" s="73">
        <f t="shared" ca="1" si="126"/>
        <v>6.65</v>
      </c>
      <c r="I231" s="15">
        <f t="shared" ca="1" si="127"/>
        <v>0</v>
      </c>
      <c r="J231" s="73">
        <f t="shared" ca="1" si="128"/>
        <v>759.36</v>
      </c>
      <c r="K231" s="15">
        <f t="shared" ca="1" si="129"/>
        <v>0</v>
      </c>
      <c r="L231" s="16">
        <f t="shared" ca="1" si="130"/>
        <v>761.5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>
        <f t="shared" ca="1" si="144"/>
        <v>24.2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4.0999999999999996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>
        <f t="shared" ca="1" si="158"/>
        <v>90</v>
      </c>
      <c r="AO231" s="15">
        <f t="shared" ca="1" si="159"/>
        <v>0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19190819</v>
      </c>
      <c r="C232" s="72">
        <f t="shared" si="121"/>
        <v>700</v>
      </c>
      <c r="D232" s="16">
        <f t="shared" ca="1" si="122"/>
        <v>28.3</v>
      </c>
      <c r="E232" s="15">
        <f t="shared" ca="1" si="123"/>
        <v>0</v>
      </c>
      <c r="F232" s="73">
        <f t="shared" ca="1" si="124"/>
        <v>766.22</v>
      </c>
      <c r="G232" s="15">
        <f t="shared" ca="1" si="125"/>
        <v>0</v>
      </c>
      <c r="H232" s="73">
        <f t="shared" ca="1" si="126"/>
        <v>6.71</v>
      </c>
      <c r="I232" s="15">
        <f t="shared" ca="1" si="127"/>
        <v>0</v>
      </c>
      <c r="J232" s="73">
        <f t="shared" ca="1" si="128"/>
        <v>759.51</v>
      </c>
      <c r="K232" s="15">
        <f t="shared" ca="1" si="129"/>
        <v>0</v>
      </c>
      <c r="L232" s="16">
        <f t="shared" ca="1" si="130"/>
        <v>761.5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>
        <f t="shared" ca="1" si="144"/>
        <v>25.9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5.0999999999999996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>
        <f t="shared" ca="1" si="158"/>
        <v>90</v>
      </c>
      <c r="AO232" s="15">
        <f t="shared" ca="1" si="159"/>
        <v>0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19190820</v>
      </c>
      <c r="C233" s="72">
        <f t="shared" si="121"/>
        <v>700</v>
      </c>
      <c r="D233" s="16">
        <f t="shared" ca="1" si="122"/>
        <v>28.3</v>
      </c>
      <c r="E233" s="15">
        <f t="shared" ca="1" si="123"/>
        <v>0</v>
      </c>
      <c r="F233" s="73">
        <f t="shared" ca="1" si="124"/>
        <v>766.22</v>
      </c>
      <c r="G233" s="15">
        <f t="shared" ca="1" si="125"/>
        <v>0</v>
      </c>
      <c r="H233" s="73">
        <f t="shared" ca="1" si="126"/>
        <v>6.71</v>
      </c>
      <c r="I233" s="15">
        <f t="shared" ca="1" si="127"/>
        <v>0</v>
      </c>
      <c r="J233" s="73">
        <f t="shared" ca="1" si="128"/>
        <v>759.51</v>
      </c>
      <c r="K233" s="15">
        <f t="shared" ca="1" si="129"/>
        <v>0</v>
      </c>
      <c r="L233" s="16">
        <f t="shared" ca="1" si="130"/>
        <v>761.5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>
        <f t="shared" ca="1" si="144"/>
        <v>26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3.1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>
        <f t="shared" ca="1" si="158"/>
        <v>90</v>
      </c>
      <c r="AO233" s="15">
        <f t="shared" ca="1" si="159"/>
        <v>0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19190821</v>
      </c>
      <c r="C234" s="72">
        <f t="shared" si="121"/>
        <v>700</v>
      </c>
      <c r="D234" s="16">
        <f t="shared" ca="1" si="122"/>
        <v>28.3</v>
      </c>
      <c r="E234" s="15">
        <f t="shared" ca="1" si="123"/>
        <v>0</v>
      </c>
      <c r="F234" s="73">
        <f t="shared" ca="1" si="124"/>
        <v>764.95</v>
      </c>
      <c r="G234" s="15">
        <f t="shared" ca="1" si="125"/>
        <v>0</v>
      </c>
      <c r="H234" s="73">
        <f t="shared" ca="1" si="126"/>
        <v>6.71</v>
      </c>
      <c r="I234" s="15">
        <f t="shared" ca="1" si="127"/>
        <v>0</v>
      </c>
      <c r="J234" s="73">
        <f t="shared" ca="1" si="128"/>
        <v>758.24</v>
      </c>
      <c r="K234" s="15">
        <f t="shared" ca="1" si="129"/>
        <v>0</v>
      </c>
      <c r="L234" s="16">
        <f t="shared" ca="1" si="130"/>
        <v>760.2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>
        <f t="shared" ca="1" si="144"/>
        <v>25.6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3.1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>
        <f t="shared" ca="1" si="158"/>
        <v>90</v>
      </c>
      <c r="AO234" s="15">
        <f t="shared" ca="1" si="159"/>
        <v>0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19190822</v>
      </c>
      <c r="C235" s="72">
        <f t="shared" si="121"/>
        <v>700</v>
      </c>
      <c r="D235" s="16">
        <f t="shared" ca="1" si="122"/>
        <v>28.1</v>
      </c>
      <c r="E235" s="15">
        <f t="shared" ca="1" si="123"/>
        <v>0</v>
      </c>
      <c r="F235" s="73">
        <f t="shared" ca="1" si="124"/>
        <v>764.79</v>
      </c>
      <c r="G235" s="15">
        <f t="shared" ca="1" si="125"/>
        <v>0</v>
      </c>
      <c r="H235" s="73">
        <f t="shared" ca="1" si="126"/>
        <v>6.68</v>
      </c>
      <c r="I235" s="15">
        <f t="shared" ca="1" si="127"/>
        <v>0</v>
      </c>
      <c r="J235" s="73">
        <f t="shared" ca="1" si="128"/>
        <v>758.11</v>
      </c>
      <c r="K235" s="15">
        <f t="shared" ca="1" si="129"/>
        <v>0</v>
      </c>
      <c r="L235" s="16">
        <f t="shared" ca="1" si="130"/>
        <v>760.2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>
        <f t="shared" ca="1" si="144"/>
        <v>24.9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1.5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>
        <f t="shared" ca="1" si="158"/>
        <v>90</v>
      </c>
      <c r="AO235" s="15">
        <f t="shared" ca="1" si="159"/>
        <v>0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19190823</v>
      </c>
      <c r="C236" s="72">
        <f t="shared" si="121"/>
        <v>700</v>
      </c>
      <c r="D236" s="16">
        <f t="shared" ca="1" si="122"/>
        <v>28.3</v>
      </c>
      <c r="E236" s="15">
        <f t="shared" ca="1" si="123"/>
        <v>0</v>
      </c>
      <c r="F236" s="73">
        <f t="shared" ca="1" si="124"/>
        <v>764.54</v>
      </c>
      <c r="G236" s="15">
        <f t="shared" ca="1" si="125"/>
        <v>0</v>
      </c>
      <c r="H236" s="73">
        <f t="shared" ca="1" si="126"/>
        <v>6.68</v>
      </c>
      <c r="I236" s="15">
        <f t="shared" ca="1" si="127"/>
        <v>0</v>
      </c>
      <c r="J236" s="73">
        <f t="shared" ca="1" si="128"/>
        <v>757.86</v>
      </c>
      <c r="K236" s="15">
        <f t="shared" ca="1" si="129"/>
        <v>0</v>
      </c>
      <c r="L236" s="16">
        <f t="shared" ca="1" si="130"/>
        <v>760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>
        <f t="shared" ca="1" si="144"/>
        <v>25.3</v>
      </c>
      <c r="AA236" s="15">
        <f t="shared" ca="1" si="145"/>
        <v>0</v>
      </c>
      <c r="AB236" s="9">
        <f t="shared" ca="1" si="146"/>
        <v>45</v>
      </c>
      <c r="AC236" s="15">
        <f t="shared" ca="1" si="147"/>
        <v>0</v>
      </c>
      <c r="AD236" s="76">
        <f t="shared" ca="1" si="148"/>
        <v>3.1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>
        <f t="shared" ca="1" si="158"/>
        <v>45</v>
      </c>
      <c r="AO236" s="15">
        <f t="shared" ca="1" si="159"/>
        <v>0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19190824</v>
      </c>
      <c r="C237" s="72">
        <f t="shared" si="121"/>
        <v>700</v>
      </c>
      <c r="D237" s="16">
        <f t="shared" ca="1" si="122"/>
        <v>28.1</v>
      </c>
      <c r="E237" s="15">
        <f t="shared" ca="1" si="123"/>
        <v>0</v>
      </c>
      <c r="F237" s="73">
        <f t="shared" ca="1" si="124"/>
        <v>764.29</v>
      </c>
      <c r="G237" s="15">
        <f t="shared" ca="1" si="125"/>
        <v>0</v>
      </c>
      <c r="H237" s="73">
        <f t="shared" ca="1" si="126"/>
        <v>6.68</v>
      </c>
      <c r="I237" s="15">
        <f t="shared" ca="1" si="127"/>
        <v>0</v>
      </c>
      <c r="J237" s="73">
        <f t="shared" ca="1" si="128"/>
        <v>757.61</v>
      </c>
      <c r="K237" s="15">
        <f t="shared" ca="1" si="129"/>
        <v>0</v>
      </c>
      <c r="L237" s="16">
        <f t="shared" ca="1" si="130"/>
        <v>759.7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>
        <f t="shared" ca="1" si="144"/>
        <v>24.9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4.0999999999999996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>
        <f t="shared" ca="1" si="158"/>
        <v>90</v>
      </c>
      <c r="AO237" s="15">
        <f t="shared" ca="1" si="159"/>
        <v>0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19190825</v>
      </c>
      <c r="C238" s="72">
        <f t="shared" si="121"/>
        <v>700</v>
      </c>
      <c r="D238" s="16">
        <f t="shared" ca="1" si="122"/>
        <v>27.8</v>
      </c>
      <c r="E238" s="15">
        <f t="shared" ca="1" si="123"/>
        <v>0</v>
      </c>
      <c r="F238" s="73">
        <f t="shared" ca="1" si="124"/>
        <v>764.54</v>
      </c>
      <c r="G238" s="15">
        <f t="shared" ca="1" si="125"/>
        <v>0</v>
      </c>
      <c r="H238" s="73">
        <f t="shared" ca="1" si="126"/>
        <v>6.65</v>
      </c>
      <c r="I238" s="15">
        <f t="shared" ca="1" si="127"/>
        <v>0</v>
      </c>
      <c r="J238" s="73">
        <f t="shared" ca="1" si="128"/>
        <v>757.89</v>
      </c>
      <c r="K238" s="15">
        <f t="shared" ca="1" si="129"/>
        <v>0</v>
      </c>
      <c r="L238" s="16">
        <f t="shared" ca="1" si="130"/>
        <v>760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>
        <f t="shared" ca="1" si="144"/>
        <v>25.7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4.0999999999999996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>
        <f t="shared" ca="1" si="158"/>
        <v>90</v>
      </c>
      <c r="AO238" s="15">
        <f t="shared" ca="1" si="159"/>
        <v>0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19190826</v>
      </c>
      <c r="C239" s="72">
        <f t="shared" si="121"/>
        <v>700</v>
      </c>
      <c r="D239" s="16">
        <f t="shared" ca="1" si="122"/>
        <v>28.1</v>
      </c>
      <c r="E239" s="15">
        <f t="shared" ca="1" si="123"/>
        <v>0</v>
      </c>
      <c r="F239" s="73">
        <f t="shared" ca="1" si="124"/>
        <v>763.75</v>
      </c>
      <c r="G239" s="15">
        <f t="shared" ca="1" si="125"/>
        <v>0</v>
      </c>
      <c r="H239" s="73">
        <f t="shared" ca="1" si="126"/>
        <v>6.68</v>
      </c>
      <c r="I239" s="15">
        <f t="shared" ca="1" si="127"/>
        <v>0</v>
      </c>
      <c r="J239" s="73">
        <f t="shared" ca="1" si="128"/>
        <v>757.07</v>
      </c>
      <c r="K239" s="15">
        <f t="shared" ca="1" si="129"/>
        <v>0</v>
      </c>
      <c r="L239" s="16">
        <f t="shared" ca="1" si="130"/>
        <v>759.2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>
        <f t="shared" ca="1" si="144"/>
        <v>24.8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1.5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>
        <f t="shared" ca="1" si="158"/>
        <v>90</v>
      </c>
      <c r="AO239" s="15">
        <f t="shared" ca="1" si="159"/>
        <v>0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19190827</v>
      </c>
      <c r="C240" s="72">
        <f t="shared" si="121"/>
        <v>700</v>
      </c>
      <c r="D240" s="16">
        <f t="shared" ca="1" si="122"/>
        <v>28.1</v>
      </c>
      <c r="E240" s="15">
        <f t="shared" ca="1" si="123"/>
        <v>0</v>
      </c>
      <c r="F240" s="73">
        <f t="shared" ca="1" si="124"/>
        <v>762.64</v>
      </c>
      <c r="G240" s="15">
        <f t="shared" ca="1" si="125"/>
        <v>0</v>
      </c>
      <c r="H240" s="73">
        <f t="shared" ca="1" si="126"/>
        <v>6.68</v>
      </c>
      <c r="I240" s="15">
        <f t="shared" ca="1" si="127"/>
        <v>0</v>
      </c>
      <c r="J240" s="73">
        <f t="shared" ca="1" si="128"/>
        <v>755.95</v>
      </c>
      <c r="K240" s="15">
        <f t="shared" ca="1" si="129"/>
        <v>0</v>
      </c>
      <c r="L240" s="16">
        <f t="shared" ca="1" si="130"/>
        <v>757.9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>
        <f t="shared" ca="1" si="144"/>
        <v>25.9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2.1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>
        <f t="shared" ca="1" si="158"/>
        <v>90</v>
      </c>
      <c r="AO240" s="15">
        <f t="shared" ca="1" si="159"/>
        <v>0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19190828</v>
      </c>
      <c r="C241" s="72">
        <f t="shared" si="121"/>
        <v>700</v>
      </c>
      <c r="D241" s="16">
        <f t="shared" ca="1" si="122"/>
        <v>28.3</v>
      </c>
      <c r="E241" s="15">
        <f t="shared" ca="1" si="123"/>
        <v>0</v>
      </c>
      <c r="F241" s="73">
        <f t="shared" ca="1" si="124"/>
        <v>763.17</v>
      </c>
      <c r="G241" s="15">
        <f t="shared" ca="1" si="125"/>
        <v>0</v>
      </c>
      <c r="H241" s="73">
        <f t="shared" ca="1" si="126"/>
        <v>6.71</v>
      </c>
      <c r="I241" s="15">
        <f t="shared" ca="1" si="127"/>
        <v>0</v>
      </c>
      <c r="J241" s="73">
        <f t="shared" ca="1" si="128"/>
        <v>756.46</v>
      </c>
      <c r="K241" s="15">
        <f t="shared" ca="1" si="129"/>
        <v>0</v>
      </c>
      <c r="L241" s="16">
        <f t="shared" ca="1" si="130"/>
        <v>758.4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>
        <f t="shared" ca="1" si="144"/>
        <v>26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2.6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>
        <f t="shared" ca="1" si="158"/>
        <v>90</v>
      </c>
      <c r="AO241" s="15">
        <f t="shared" ca="1" si="159"/>
        <v>0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19190829</v>
      </c>
      <c r="C242" s="72">
        <f t="shared" si="121"/>
        <v>700</v>
      </c>
      <c r="D242" s="16">
        <f t="shared" ca="1" si="122"/>
        <v>28.3</v>
      </c>
      <c r="E242" s="15">
        <f t="shared" ca="1" si="123"/>
        <v>0</v>
      </c>
      <c r="F242" s="73">
        <f t="shared" ca="1" si="124"/>
        <v>763.78</v>
      </c>
      <c r="G242" s="15">
        <f t="shared" ca="1" si="125"/>
        <v>0</v>
      </c>
      <c r="H242" s="73">
        <f t="shared" ca="1" si="126"/>
        <v>6.78</v>
      </c>
      <c r="I242" s="15">
        <f t="shared" ca="1" si="127"/>
        <v>0</v>
      </c>
      <c r="J242" s="73">
        <f t="shared" ca="1" si="128"/>
        <v>757.07</v>
      </c>
      <c r="K242" s="15">
        <f t="shared" ca="1" si="129"/>
        <v>0</v>
      </c>
      <c r="L242" s="16">
        <f t="shared" ca="1" si="130"/>
        <v>759.2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>
        <f t="shared" ca="1" si="144"/>
        <v>25.1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4.5999999999999996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>
        <f t="shared" ca="1" si="158"/>
        <v>90</v>
      </c>
      <c r="AO242" s="15">
        <f t="shared" ca="1" si="159"/>
        <v>0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19190830</v>
      </c>
      <c r="C243" s="72">
        <f t="shared" si="121"/>
        <v>700</v>
      </c>
      <c r="D243" s="16">
        <f t="shared" ca="1" si="122"/>
        <v>28.1</v>
      </c>
      <c r="E243" s="15">
        <f t="shared" ca="1" si="123"/>
        <v>0</v>
      </c>
      <c r="F243" s="73">
        <f t="shared" ca="1" si="124"/>
        <v>763.63</v>
      </c>
      <c r="G243" s="15">
        <f t="shared" ca="1" si="125"/>
        <v>0</v>
      </c>
      <c r="H243" s="73">
        <f t="shared" ca="1" si="126"/>
        <v>6.68</v>
      </c>
      <c r="I243" s="15">
        <f t="shared" ca="1" si="127"/>
        <v>0</v>
      </c>
      <c r="J243" s="73">
        <f t="shared" ca="1" si="128"/>
        <v>756.95</v>
      </c>
      <c r="K243" s="15">
        <f t="shared" ca="1" si="129"/>
        <v>0</v>
      </c>
      <c r="L243" s="16">
        <f t="shared" ca="1" si="130"/>
        <v>759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>
        <f t="shared" ca="1" si="144"/>
        <v>26.2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2.6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>
        <f t="shared" ca="1" si="158"/>
        <v>90</v>
      </c>
      <c r="AO243" s="15">
        <f t="shared" ca="1" si="159"/>
        <v>0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19190831</v>
      </c>
      <c r="C244" s="72">
        <f t="shared" si="121"/>
        <v>700</v>
      </c>
      <c r="D244" s="16">
        <f t="shared" ca="1" si="122"/>
        <v>27.5</v>
      </c>
      <c r="E244" s="15">
        <f t="shared" ca="1" si="123"/>
        <v>0</v>
      </c>
      <c r="F244" s="73">
        <f t="shared" ca="1" si="124"/>
        <v>762.2</v>
      </c>
      <c r="G244" s="15">
        <f t="shared" ca="1" si="125"/>
        <v>0</v>
      </c>
      <c r="H244" s="73">
        <f t="shared" ca="1" si="126"/>
        <v>6.6</v>
      </c>
      <c r="I244" s="15">
        <f t="shared" ca="1" si="127"/>
        <v>0</v>
      </c>
      <c r="J244" s="73">
        <f t="shared" ca="1" si="128"/>
        <v>755.6</v>
      </c>
      <c r="K244" s="15">
        <f t="shared" ca="1" si="129"/>
        <v>0</v>
      </c>
      <c r="L244" s="16">
        <f t="shared" ca="1" si="130"/>
        <v>757.7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>
        <f t="shared" ca="1" si="144"/>
        <v>24.1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2.6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>
        <f t="shared" ca="1" si="158"/>
        <v>90</v>
      </c>
      <c r="AO244" s="15">
        <f t="shared" ca="1" si="159"/>
        <v>0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19190901</v>
      </c>
      <c r="C245" s="72">
        <f t="shared" si="121"/>
        <v>700</v>
      </c>
      <c r="D245" s="16">
        <f t="shared" ca="1" si="122"/>
        <v>28.1</v>
      </c>
      <c r="E245" s="15">
        <f t="shared" ca="1" si="123"/>
        <v>0</v>
      </c>
      <c r="F245" s="73">
        <f t="shared" ca="1" si="124"/>
        <v>762.36</v>
      </c>
      <c r="G245" s="15">
        <f t="shared" ca="1" si="125"/>
        <v>0</v>
      </c>
      <c r="H245" s="73">
        <f t="shared" ca="1" si="126"/>
        <v>6.65</v>
      </c>
      <c r="I245" s="15">
        <f t="shared" ca="1" si="127"/>
        <v>0</v>
      </c>
      <c r="J245" s="73">
        <f t="shared" ca="1" si="128"/>
        <v>755.68</v>
      </c>
      <c r="K245" s="15">
        <f t="shared" ca="1" si="129"/>
        <v>0</v>
      </c>
      <c r="L245" s="16">
        <f t="shared" ca="1" si="130"/>
        <v>757.7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>
        <f t="shared" ca="1" si="144"/>
        <v>24.2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4.0999999999999996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>
        <f t="shared" ca="1" si="158"/>
        <v>90</v>
      </c>
      <c r="AO245" s="15">
        <f t="shared" ca="1" si="159"/>
        <v>0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19190902</v>
      </c>
      <c r="C246" s="72">
        <f t="shared" si="121"/>
        <v>700</v>
      </c>
      <c r="D246" s="16">
        <f t="shared" ca="1" si="122"/>
        <v>28.3</v>
      </c>
      <c r="E246" s="15">
        <f t="shared" ca="1" si="123"/>
        <v>0</v>
      </c>
      <c r="F246" s="73">
        <f t="shared" ca="1" si="124"/>
        <v>762.91</v>
      </c>
      <c r="G246" s="15">
        <f t="shared" ca="1" si="125"/>
        <v>0</v>
      </c>
      <c r="H246" s="73">
        <f t="shared" ca="1" si="126"/>
        <v>6.71</v>
      </c>
      <c r="I246" s="15">
        <f t="shared" ca="1" si="127"/>
        <v>0</v>
      </c>
      <c r="J246" s="73">
        <f t="shared" ca="1" si="128"/>
        <v>756.21</v>
      </c>
      <c r="K246" s="15">
        <f t="shared" ca="1" si="129"/>
        <v>0</v>
      </c>
      <c r="L246" s="16">
        <f t="shared" ca="1" si="130"/>
        <v>758.2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>
        <f t="shared" ca="1" si="144"/>
        <v>24.9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3.1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>
        <f t="shared" ca="1" si="158"/>
        <v>90</v>
      </c>
      <c r="AO246" s="15">
        <f t="shared" ca="1" si="159"/>
        <v>0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19190903</v>
      </c>
      <c r="C247" s="72">
        <f t="shared" si="121"/>
        <v>700</v>
      </c>
      <c r="D247" s="16">
        <f t="shared" ca="1" si="122"/>
        <v>28.1</v>
      </c>
      <c r="E247" s="15">
        <f t="shared" ca="1" si="123"/>
        <v>0</v>
      </c>
      <c r="F247" s="73">
        <f t="shared" ca="1" si="124"/>
        <v>760.96</v>
      </c>
      <c r="G247" s="15">
        <f t="shared" ca="1" si="125"/>
        <v>0</v>
      </c>
      <c r="H247" s="73">
        <f t="shared" ca="1" si="126"/>
        <v>6.68</v>
      </c>
      <c r="I247" s="15">
        <f t="shared" ca="1" si="127"/>
        <v>0</v>
      </c>
      <c r="J247" s="73">
        <f t="shared" ca="1" si="128"/>
        <v>755.04</v>
      </c>
      <c r="K247" s="15">
        <f t="shared" ca="1" si="129"/>
        <v>0</v>
      </c>
      <c r="L247" s="16">
        <f t="shared" ca="1" si="130"/>
        <v>757.2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>
        <f t="shared" ca="1" si="144"/>
        <v>26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2.1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>
        <f t="shared" ca="1" si="158"/>
        <v>90</v>
      </c>
      <c r="AO247" s="15">
        <f t="shared" ca="1" si="159"/>
        <v>0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19190904</v>
      </c>
      <c r="C248" s="72">
        <f t="shared" si="121"/>
        <v>700</v>
      </c>
      <c r="D248" s="16">
        <f t="shared" ca="1" si="122"/>
        <v>28.3</v>
      </c>
      <c r="E248" s="15">
        <f t="shared" ca="1" si="123"/>
        <v>0</v>
      </c>
      <c r="F248" s="73">
        <f t="shared" ca="1" si="124"/>
        <v>761.11</v>
      </c>
      <c r="G248" s="15">
        <f t="shared" ca="1" si="125"/>
        <v>0</v>
      </c>
      <c r="H248" s="73">
        <f t="shared" ca="1" si="126"/>
        <v>6.68</v>
      </c>
      <c r="I248" s="15">
        <f t="shared" ca="1" si="127"/>
        <v>0</v>
      </c>
      <c r="J248" s="73">
        <f t="shared" ca="1" si="128"/>
        <v>754.43</v>
      </c>
      <c r="K248" s="15">
        <f t="shared" ca="1" si="129"/>
        <v>0</v>
      </c>
      <c r="L248" s="16">
        <f t="shared" ca="1" si="130"/>
        <v>756.4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>
        <f t="shared" ca="1" si="144"/>
        <v>25.7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4.5999999999999996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>
        <f t="shared" ca="1" si="158"/>
        <v>90</v>
      </c>
      <c r="AO248" s="15">
        <f t="shared" ca="1" si="159"/>
        <v>0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19190905</v>
      </c>
      <c r="C249" s="72">
        <f t="shared" si="121"/>
        <v>700</v>
      </c>
      <c r="D249" s="16">
        <f t="shared" ca="1" si="122"/>
        <v>28.3</v>
      </c>
      <c r="E249" s="15">
        <f t="shared" ca="1" si="123"/>
        <v>0</v>
      </c>
      <c r="F249" s="73">
        <f t="shared" ca="1" si="124"/>
        <v>762.41</v>
      </c>
      <c r="G249" s="15">
        <f t="shared" ca="1" si="125"/>
        <v>0</v>
      </c>
      <c r="H249" s="73">
        <f t="shared" ca="1" si="126"/>
        <v>6.78</v>
      </c>
      <c r="I249" s="15">
        <f t="shared" ca="1" si="127"/>
        <v>0</v>
      </c>
      <c r="J249" s="73">
        <f t="shared" ca="1" si="128"/>
        <v>755.7</v>
      </c>
      <c r="K249" s="15">
        <f t="shared" ca="1" si="129"/>
        <v>0</v>
      </c>
      <c r="L249" s="16">
        <f t="shared" ca="1" si="130"/>
        <v>757.7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>
        <f t="shared" ca="1" si="144"/>
        <v>25.9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4.0999999999999996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>
        <f t="shared" ca="1" si="158"/>
        <v>90</v>
      </c>
      <c r="AO249" s="15">
        <f t="shared" ca="1" si="159"/>
        <v>0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19190906</v>
      </c>
      <c r="C250" s="72">
        <f t="shared" si="121"/>
        <v>700</v>
      </c>
      <c r="D250" s="16">
        <f t="shared" ca="1" si="122"/>
        <v>28.6</v>
      </c>
      <c r="E250" s="15">
        <f t="shared" ca="1" si="123"/>
        <v>0</v>
      </c>
      <c r="F250" s="73">
        <f t="shared" ca="1" si="124"/>
        <v>762.05</v>
      </c>
      <c r="G250" s="15">
        <f t="shared" ca="1" si="125"/>
        <v>0</v>
      </c>
      <c r="H250" s="73">
        <f t="shared" ca="1" si="126"/>
        <v>6.76</v>
      </c>
      <c r="I250" s="15">
        <f t="shared" ca="1" si="127"/>
        <v>0</v>
      </c>
      <c r="J250" s="73">
        <f t="shared" ca="1" si="128"/>
        <v>755.29</v>
      </c>
      <c r="K250" s="15">
        <f t="shared" ca="1" si="129"/>
        <v>0</v>
      </c>
      <c r="L250" s="16">
        <f t="shared" ca="1" si="130"/>
        <v>757.4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>
        <f t="shared" ca="1" si="144"/>
        <v>25.9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2.6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>
        <f t="shared" ca="1" si="158"/>
        <v>90</v>
      </c>
      <c r="AO250" s="15">
        <f t="shared" ca="1" si="159"/>
        <v>0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19190907</v>
      </c>
      <c r="C251" s="72">
        <f t="shared" si="121"/>
        <v>700</v>
      </c>
      <c r="D251" s="16">
        <f t="shared" ca="1" si="122"/>
        <v>28.9</v>
      </c>
      <c r="E251" s="15">
        <f t="shared" ca="1" si="123"/>
        <v>0</v>
      </c>
      <c r="F251" s="73">
        <f t="shared" ca="1" si="124"/>
        <v>761.92</v>
      </c>
      <c r="G251" s="15">
        <f t="shared" ca="1" si="125"/>
        <v>0</v>
      </c>
      <c r="H251" s="73">
        <f t="shared" ca="1" si="126"/>
        <v>6.73</v>
      </c>
      <c r="I251" s="15">
        <f t="shared" ca="1" si="127"/>
        <v>0</v>
      </c>
      <c r="J251" s="73">
        <f t="shared" ca="1" si="128"/>
        <v>755.19</v>
      </c>
      <c r="K251" s="15">
        <f t="shared" ca="1" si="129"/>
        <v>0</v>
      </c>
      <c r="L251" s="16">
        <f t="shared" ca="1" si="130"/>
        <v>757.2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>
        <f t="shared" ca="1" si="144"/>
        <v>26.6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4.5999999999999996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>
        <f t="shared" ca="1" si="158"/>
        <v>90</v>
      </c>
      <c r="AO251" s="15">
        <f t="shared" ca="1" si="159"/>
        <v>0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19190908</v>
      </c>
      <c r="C252" s="72">
        <f t="shared" si="121"/>
        <v>700</v>
      </c>
      <c r="D252" s="16">
        <f t="shared" ca="1" si="122"/>
        <v>28.3</v>
      </c>
      <c r="E252" s="15">
        <f t="shared" ca="1" si="123"/>
        <v>0</v>
      </c>
      <c r="F252" s="73">
        <f t="shared" ca="1" si="124"/>
        <v>761.85</v>
      </c>
      <c r="G252" s="15">
        <f t="shared" ca="1" si="125"/>
        <v>0</v>
      </c>
      <c r="H252" s="73">
        <f t="shared" ca="1" si="126"/>
        <v>6.65</v>
      </c>
      <c r="I252" s="15">
        <f t="shared" ca="1" si="127"/>
        <v>0</v>
      </c>
      <c r="J252" s="73">
        <f t="shared" ca="1" si="128"/>
        <v>755.19</v>
      </c>
      <c r="K252" s="15">
        <f t="shared" ca="1" si="129"/>
        <v>0</v>
      </c>
      <c r="L252" s="16">
        <f t="shared" ca="1" si="130"/>
        <v>757.2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>
        <f t="shared" ca="1" si="144"/>
        <v>26.2</v>
      </c>
      <c r="AA252" s="15">
        <f t="shared" ca="1" si="145"/>
        <v>0</v>
      </c>
      <c r="AB252" s="9">
        <f t="shared" ca="1" si="146"/>
        <v>45</v>
      </c>
      <c r="AC252" s="15">
        <f t="shared" ca="1" si="147"/>
        <v>0</v>
      </c>
      <c r="AD252" s="76">
        <f t="shared" ca="1" si="148"/>
        <v>4.0999999999999996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>
        <f t="shared" ca="1" si="158"/>
        <v>90</v>
      </c>
      <c r="AO252" s="15">
        <f t="shared" ca="1" si="159"/>
        <v>0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19190909</v>
      </c>
      <c r="C253" s="72">
        <f t="shared" si="121"/>
        <v>700</v>
      </c>
      <c r="D253" s="16">
        <f t="shared" ca="1" si="122"/>
        <v>28.3</v>
      </c>
      <c r="E253" s="15">
        <f t="shared" ca="1" si="123"/>
        <v>0</v>
      </c>
      <c r="F253" s="73">
        <f t="shared" ca="1" si="124"/>
        <v>760.93</v>
      </c>
      <c r="G253" s="15">
        <f t="shared" ca="1" si="125"/>
        <v>0</v>
      </c>
      <c r="H253" s="73">
        <f t="shared" ca="1" si="126"/>
        <v>6.65</v>
      </c>
      <c r="I253" s="15">
        <f t="shared" ca="1" si="127"/>
        <v>0</v>
      </c>
      <c r="J253" s="73">
        <f t="shared" ca="1" si="128"/>
        <v>754.28</v>
      </c>
      <c r="K253" s="15">
        <f t="shared" ca="1" si="129"/>
        <v>0</v>
      </c>
      <c r="L253" s="16">
        <f t="shared" ca="1" si="130"/>
        <v>756.4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>
        <f t="shared" ca="1" si="144"/>
        <v>26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4.0999999999999996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>
        <f t="shared" ca="1" si="158"/>
        <v>90</v>
      </c>
      <c r="AO253" s="15">
        <f t="shared" ca="1" si="159"/>
        <v>0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19190910</v>
      </c>
      <c r="C254" s="72">
        <f t="shared" si="121"/>
        <v>700</v>
      </c>
      <c r="D254" s="16">
        <f t="shared" ca="1" si="122"/>
        <v>28.6</v>
      </c>
      <c r="E254" s="15">
        <f t="shared" ca="1" si="123"/>
        <v>0</v>
      </c>
      <c r="F254" s="73">
        <f t="shared" ca="1" si="124"/>
        <v>762.2</v>
      </c>
      <c r="G254" s="15">
        <f t="shared" ca="1" si="125"/>
        <v>0</v>
      </c>
      <c r="H254" s="73">
        <f t="shared" ca="1" si="126"/>
        <v>6.76</v>
      </c>
      <c r="I254" s="15">
        <f t="shared" ca="1" si="127"/>
        <v>0</v>
      </c>
      <c r="J254" s="73">
        <f t="shared" ca="1" si="128"/>
        <v>755.45</v>
      </c>
      <c r="K254" s="15">
        <f t="shared" ca="1" si="129"/>
        <v>0</v>
      </c>
      <c r="L254" s="16">
        <f t="shared" ca="1" si="130"/>
        <v>757.4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>
        <f t="shared" ca="1" si="144"/>
        <v>26.8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3.1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>
        <f t="shared" ca="1" si="158"/>
        <v>90</v>
      </c>
      <c r="AO254" s="15">
        <f t="shared" ca="1" si="159"/>
        <v>0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19190911</v>
      </c>
      <c r="C255" s="72">
        <f t="shared" si="121"/>
        <v>700</v>
      </c>
      <c r="D255" s="16">
        <f t="shared" ca="1" si="122"/>
        <v>28.6</v>
      </c>
      <c r="E255" s="15">
        <f t="shared" ca="1" si="123"/>
        <v>0</v>
      </c>
      <c r="F255" s="73">
        <f t="shared" ca="1" si="124"/>
        <v>762.51</v>
      </c>
      <c r="G255" s="15">
        <f t="shared" ca="1" si="125"/>
        <v>0</v>
      </c>
      <c r="H255" s="73">
        <f t="shared" ca="1" si="126"/>
        <v>6.76</v>
      </c>
      <c r="I255" s="15">
        <f t="shared" ca="1" si="127"/>
        <v>0</v>
      </c>
      <c r="J255" s="73">
        <f t="shared" ca="1" si="128"/>
        <v>755.75</v>
      </c>
      <c r="K255" s="15">
        <f t="shared" ca="1" si="129"/>
        <v>0</v>
      </c>
      <c r="L255" s="16">
        <f t="shared" ca="1" si="130"/>
        <v>757.7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>
        <f t="shared" ca="1" si="144"/>
        <v>26.3</v>
      </c>
      <c r="AA255" s="15">
        <f t="shared" ca="1" si="145"/>
        <v>0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2.6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>
        <f t="shared" ca="1" si="158"/>
        <v>90</v>
      </c>
      <c r="AO255" s="15">
        <f t="shared" ca="1" si="159"/>
        <v>0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19190912</v>
      </c>
      <c r="C256" s="72">
        <f t="shared" si="121"/>
        <v>700</v>
      </c>
      <c r="D256" s="16">
        <f t="shared" ca="1" si="122"/>
        <v>28.6</v>
      </c>
      <c r="E256" s="15">
        <f t="shared" ca="1" si="123"/>
        <v>0</v>
      </c>
      <c r="F256" s="73">
        <f t="shared" ca="1" si="124"/>
        <v>762.2</v>
      </c>
      <c r="G256" s="15">
        <f t="shared" ca="1" si="125"/>
        <v>0</v>
      </c>
      <c r="H256" s="73">
        <f t="shared" ca="1" si="126"/>
        <v>6.76</v>
      </c>
      <c r="I256" s="15">
        <f t="shared" ca="1" si="127"/>
        <v>0</v>
      </c>
      <c r="J256" s="73">
        <f t="shared" ca="1" si="128"/>
        <v>755.45</v>
      </c>
      <c r="K256" s="15">
        <f t="shared" ca="1" si="129"/>
        <v>0</v>
      </c>
      <c r="L256" s="16">
        <f t="shared" ca="1" si="130"/>
        <v>757.4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>
        <f t="shared" ca="1" si="144"/>
        <v>25.9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1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>
        <f t="shared" ca="1" si="158"/>
        <v>90</v>
      </c>
      <c r="AO256" s="15">
        <f t="shared" ca="1" si="159"/>
        <v>0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19190913</v>
      </c>
      <c r="C257" s="72">
        <f t="shared" si="121"/>
        <v>700</v>
      </c>
      <c r="D257" s="16">
        <f t="shared" ca="1" si="122"/>
        <v>28.6</v>
      </c>
      <c r="E257" s="15">
        <f t="shared" ca="1" si="123"/>
        <v>0</v>
      </c>
      <c r="F257" s="73">
        <f t="shared" ca="1" si="124"/>
        <v>762.51</v>
      </c>
      <c r="G257" s="15">
        <f t="shared" ca="1" si="125"/>
        <v>0</v>
      </c>
      <c r="H257" s="73">
        <f t="shared" ca="1" si="126"/>
        <v>6.76</v>
      </c>
      <c r="I257" s="15">
        <f t="shared" ca="1" si="127"/>
        <v>0</v>
      </c>
      <c r="J257" s="73">
        <f t="shared" ca="1" si="128"/>
        <v>755.75</v>
      </c>
      <c r="K257" s="15">
        <f t="shared" ca="1" si="129"/>
        <v>0</v>
      </c>
      <c r="L257" s="16">
        <f t="shared" ca="1" si="130"/>
        <v>757.7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>
        <f t="shared" ca="1" si="144"/>
        <v>26.3</v>
      </c>
      <c r="AA257" s="15">
        <f t="shared" ca="1" si="145"/>
        <v>0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2.6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>
        <f t="shared" ca="1" si="158"/>
        <v>90</v>
      </c>
      <c r="AO257" s="15">
        <f t="shared" ca="1" si="159"/>
        <v>0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19190914</v>
      </c>
      <c r="C258" s="72">
        <f t="shared" ref="C258:C321" si="161">Tijd</f>
        <v>700</v>
      </c>
      <c r="D258" s="16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28.3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58" s="73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762.41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58" s="73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6.71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58" s="73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755.7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757.7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26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1.5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19190915</v>
      </c>
      <c r="C259" s="72">
        <f t="shared" si="161"/>
        <v>700</v>
      </c>
      <c r="D259" s="16">
        <f t="shared" ca="1" si="162"/>
        <v>28.6</v>
      </c>
      <c r="E259" s="15">
        <f t="shared" ca="1" si="163"/>
        <v>0</v>
      </c>
      <c r="F259" s="73">
        <f t="shared" ca="1" si="164"/>
        <v>762.25</v>
      </c>
      <c r="G259" s="15">
        <f t="shared" ca="1" si="165"/>
        <v>0</v>
      </c>
      <c r="H259" s="73">
        <f t="shared" ca="1" si="166"/>
        <v>6.76</v>
      </c>
      <c r="I259" s="15">
        <f t="shared" ca="1" si="167"/>
        <v>0</v>
      </c>
      <c r="J259" s="73">
        <f t="shared" ca="1" si="168"/>
        <v>755.5</v>
      </c>
      <c r="K259" s="15">
        <f t="shared" ca="1" si="169"/>
        <v>0</v>
      </c>
      <c r="L259" s="16">
        <f t="shared" ca="1" si="170"/>
        <v>757.4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>
        <f t="shared" ca="1" si="184"/>
        <v>27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3.1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>
        <f t="shared" ca="1" si="198"/>
        <v>90</v>
      </c>
      <c r="AO259" s="15">
        <f t="shared" ca="1" si="199"/>
        <v>0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19190916</v>
      </c>
      <c r="C260" s="72">
        <f t="shared" si="161"/>
        <v>700</v>
      </c>
      <c r="D260" s="16">
        <f t="shared" ca="1" si="162"/>
        <v>30.3</v>
      </c>
      <c r="E260" s="15">
        <f t="shared" ca="1" si="163"/>
        <v>0</v>
      </c>
      <c r="F260" s="73">
        <f t="shared" ca="1" si="164"/>
        <v>762.64</v>
      </c>
      <c r="G260" s="15">
        <f t="shared" ca="1" si="165"/>
        <v>0</v>
      </c>
      <c r="H260" s="73">
        <f t="shared" ca="1" si="166"/>
        <v>6.96</v>
      </c>
      <c r="I260" s="15">
        <f t="shared" ca="1" si="167"/>
        <v>0</v>
      </c>
      <c r="J260" s="73">
        <f t="shared" ca="1" si="168"/>
        <v>755.68</v>
      </c>
      <c r="K260" s="15">
        <f t="shared" ca="1" si="169"/>
        <v>0</v>
      </c>
      <c r="L260" s="16">
        <f t="shared" ca="1" si="170"/>
        <v>757.7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>
        <f t="shared" ca="1" si="184"/>
        <v>24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4.0999999999999996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>
        <f t="shared" ca="1" si="198"/>
        <v>90</v>
      </c>
      <c r="AO260" s="15">
        <f t="shared" ca="1" si="199"/>
        <v>0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19190917</v>
      </c>
      <c r="C261" s="72">
        <f t="shared" si="161"/>
        <v>700</v>
      </c>
      <c r="D261" s="16">
        <f t="shared" ca="1" si="162"/>
        <v>28.1</v>
      </c>
      <c r="E261" s="15">
        <f t="shared" ca="1" si="163"/>
        <v>0</v>
      </c>
      <c r="F261" s="73">
        <f t="shared" ca="1" si="164"/>
        <v>762.91</v>
      </c>
      <c r="G261" s="15">
        <f t="shared" ca="1" si="165"/>
        <v>0</v>
      </c>
      <c r="H261" s="73">
        <f t="shared" ca="1" si="166"/>
        <v>6.68</v>
      </c>
      <c r="I261" s="15">
        <f t="shared" ca="1" si="167"/>
        <v>0</v>
      </c>
      <c r="J261" s="73">
        <f t="shared" ca="1" si="168"/>
        <v>755.22</v>
      </c>
      <c r="K261" s="15">
        <f t="shared" ca="1" si="169"/>
        <v>0</v>
      </c>
      <c r="L261" s="16">
        <f t="shared" ca="1" si="170"/>
        <v>757.2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>
        <f t="shared" ca="1" si="184"/>
        <v>24.7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4.5999999999999996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>
        <f t="shared" ca="1" si="198"/>
        <v>90</v>
      </c>
      <c r="AO261" s="15">
        <f t="shared" ca="1" si="199"/>
        <v>0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19190918</v>
      </c>
      <c r="C262" s="72">
        <f t="shared" si="161"/>
        <v>700</v>
      </c>
      <c r="D262" s="16">
        <f t="shared" ca="1" si="162"/>
        <v>28.3</v>
      </c>
      <c r="E262" s="15">
        <f t="shared" ca="1" si="163"/>
        <v>0</v>
      </c>
      <c r="F262" s="73">
        <f t="shared" ca="1" si="164"/>
        <v>762.51</v>
      </c>
      <c r="G262" s="15">
        <f t="shared" ca="1" si="165"/>
        <v>0</v>
      </c>
      <c r="H262" s="73">
        <f t="shared" ca="1" si="166"/>
        <v>6.71</v>
      </c>
      <c r="I262" s="15">
        <f t="shared" ca="1" si="167"/>
        <v>0</v>
      </c>
      <c r="J262" s="73">
        <f t="shared" ca="1" si="168"/>
        <v>755.8</v>
      </c>
      <c r="K262" s="15">
        <f t="shared" ca="1" si="169"/>
        <v>0</v>
      </c>
      <c r="L262" s="16">
        <f t="shared" ca="1" si="170"/>
        <v>757.9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>
        <f t="shared" ca="1" si="184"/>
        <v>26.2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6.2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>
        <f t="shared" ca="1" si="198"/>
        <v>90</v>
      </c>
      <c r="AO262" s="15">
        <f t="shared" ca="1" si="199"/>
        <v>0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19190919</v>
      </c>
      <c r="C263" s="72">
        <f t="shared" si="161"/>
        <v>700</v>
      </c>
      <c r="D263" s="16">
        <f t="shared" ca="1" si="162"/>
        <v>28.3</v>
      </c>
      <c r="E263" s="15">
        <f t="shared" ca="1" si="163"/>
        <v>0</v>
      </c>
      <c r="F263" s="73">
        <f t="shared" ca="1" si="164"/>
        <v>763.42</v>
      </c>
      <c r="G263" s="15">
        <f t="shared" ca="1" si="165"/>
        <v>0</v>
      </c>
      <c r="H263" s="73">
        <f t="shared" ca="1" si="166"/>
        <v>6.71</v>
      </c>
      <c r="I263" s="15">
        <f t="shared" ca="1" si="167"/>
        <v>0</v>
      </c>
      <c r="J263" s="73">
        <f t="shared" ca="1" si="168"/>
        <v>756.72</v>
      </c>
      <c r="K263" s="15">
        <f t="shared" ca="1" si="169"/>
        <v>0</v>
      </c>
      <c r="L263" s="16">
        <f t="shared" ca="1" si="170"/>
        <v>758.7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>
        <f t="shared" ca="1" si="184"/>
        <v>26.1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3.1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>
        <f t="shared" ca="1" si="198"/>
        <v>90</v>
      </c>
      <c r="AO263" s="15">
        <f t="shared" ca="1" si="199"/>
        <v>0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19190920</v>
      </c>
      <c r="C264" s="72">
        <f t="shared" si="161"/>
        <v>700</v>
      </c>
      <c r="D264" s="16">
        <f t="shared" ca="1" si="162"/>
        <v>28.6</v>
      </c>
      <c r="E264" s="15">
        <f t="shared" ca="1" si="163"/>
        <v>0</v>
      </c>
      <c r="F264" s="73">
        <f t="shared" ca="1" si="164"/>
        <v>763.65</v>
      </c>
      <c r="G264" s="15">
        <f t="shared" ca="1" si="165"/>
        <v>0</v>
      </c>
      <c r="H264" s="73">
        <f t="shared" ca="1" si="166"/>
        <v>6.71</v>
      </c>
      <c r="I264" s="15">
        <f t="shared" ca="1" si="167"/>
        <v>0</v>
      </c>
      <c r="J264" s="73">
        <f t="shared" ca="1" si="168"/>
        <v>756.95</v>
      </c>
      <c r="K264" s="15">
        <f t="shared" ca="1" si="169"/>
        <v>0</v>
      </c>
      <c r="L264" s="16">
        <f t="shared" ca="1" si="170"/>
        <v>759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>
        <f t="shared" ca="1" si="184"/>
        <v>26.7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4.0999999999999996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>
        <f t="shared" ca="1" si="198"/>
        <v>90</v>
      </c>
      <c r="AO264" s="15">
        <f t="shared" ca="1" si="199"/>
        <v>0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19190921</v>
      </c>
      <c r="C265" s="72">
        <f t="shared" si="161"/>
        <v>700</v>
      </c>
      <c r="D265" s="16">
        <f t="shared" ca="1" si="162"/>
        <v>28.3</v>
      </c>
      <c r="E265" s="15">
        <f t="shared" ca="1" si="163"/>
        <v>0</v>
      </c>
      <c r="F265" s="73">
        <f t="shared" ca="1" si="164"/>
        <v>762.38</v>
      </c>
      <c r="G265" s="15">
        <f t="shared" ca="1" si="165"/>
        <v>0</v>
      </c>
      <c r="H265" s="73">
        <f t="shared" ca="1" si="166"/>
        <v>6.71</v>
      </c>
      <c r="I265" s="15">
        <f t="shared" ca="1" si="167"/>
        <v>0</v>
      </c>
      <c r="J265" s="73">
        <f t="shared" ca="1" si="168"/>
        <v>755.68</v>
      </c>
      <c r="K265" s="15">
        <f t="shared" ca="1" si="169"/>
        <v>0</v>
      </c>
      <c r="L265" s="16">
        <f t="shared" ca="1" si="170"/>
        <v>757.7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>
        <f t="shared" ca="1" si="184"/>
        <v>26.3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2.6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>
        <f t="shared" ca="1" si="198"/>
        <v>90</v>
      </c>
      <c r="AO265" s="15">
        <f t="shared" ca="1" si="199"/>
        <v>0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19190922</v>
      </c>
      <c r="C266" s="72">
        <f t="shared" si="161"/>
        <v>700</v>
      </c>
      <c r="D266" s="16">
        <f t="shared" ca="1" si="162"/>
        <v>28.3</v>
      </c>
      <c r="E266" s="15">
        <f t="shared" ca="1" si="163"/>
        <v>0</v>
      </c>
      <c r="F266" s="73">
        <f t="shared" ca="1" si="164"/>
        <v>762.64</v>
      </c>
      <c r="G266" s="15">
        <f t="shared" ca="1" si="165"/>
        <v>0</v>
      </c>
      <c r="H266" s="73">
        <f t="shared" ca="1" si="166"/>
        <v>6.71</v>
      </c>
      <c r="I266" s="15">
        <f t="shared" ca="1" si="167"/>
        <v>0</v>
      </c>
      <c r="J266" s="73">
        <f t="shared" ca="1" si="168"/>
        <v>755.93</v>
      </c>
      <c r="K266" s="15">
        <f t="shared" ca="1" si="169"/>
        <v>0</v>
      </c>
      <c r="L266" s="16">
        <f t="shared" ca="1" si="170"/>
        <v>757.9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>
        <f t="shared" ca="1" si="184"/>
        <v>25.7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2.1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>
        <f t="shared" ca="1" si="198"/>
        <v>90</v>
      </c>
      <c r="AO266" s="15">
        <f t="shared" ca="1" si="199"/>
        <v>0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19190923</v>
      </c>
      <c r="C267" s="72">
        <f t="shared" si="161"/>
        <v>700</v>
      </c>
      <c r="D267" s="16">
        <f t="shared" ca="1" si="162"/>
        <v>28.3</v>
      </c>
      <c r="E267" s="15">
        <f t="shared" ca="1" si="163"/>
        <v>0</v>
      </c>
      <c r="F267" s="73">
        <f t="shared" ca="1" si="164"/>
        <v>762.51</v>
      </c>
      <c r="G267" s="15">
        <f t="shared" ca="1" si="165"/>
        <v>0</v>
      </c>
      <c r="H267" s="73">
        <f t="shared" ca="1" si="166"/>
        <v>6.71</v>
      </c>
      <c r="I267" s="15">
        <f t="shared" ca="1" si="167"/>
        <v>0</v>
      </c>
      <c r="J267" s="73">
        <f t="shared" ca="1" si="168"/>
        <v>755.8</v>
      </c>
      <c r="K267" s="15">
        <f t="shared" ca="1" si="169"/>
        <v>0</v>
      </c>
      <c r="L267" s="16">
        <f t="shared" ca="1" si="170"/>
        <v>757.9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>
        <f t="shared" ca="1" si="184"/>
        <v>26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>
        <f t="shared" ca="1" si="198"/>
        <v>90</v>
      </c>
      <c r="AO267" s="15">
        <f t="shared" ca="1" si="199"/>
        <v>0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19190924</v>
      </c>
      <c r="C268" s="72">
        <f t="shared" si="161"/>
        <v>700</v>
      </c>
      <c r="D268" s="16">
        <f t="shared" ca="1" si="162"/>
        <v>28.9</v>
      </c>
      <c r="E268" s="15">
        <f t="shared" ca="1" si="163"/>
        <v>0</v>
      </c>
      <c r="F268" s="73">
        <f t="shared" ca="1" si="164"/>
        <v>762.58</v>
      </c>
      <c r="G268" s="15">
        <f t="shared" ca="1" si="165"/>
        <v>0</v>
      </c>
      <c r="H268" s="73">
        <f t="shared" ca="1" si="166"/>
        <v>6.78</v>
      </c>
      <c r="I268" s="15">
        <f t="shared" ca="1" si="167"/>
        <v>0</v>
      </c>
      <c r="J268" s="73">
        <f t="shared" ca="1" si="168"/>
        <v>755.8</v>
      </c>
      <c r="K268" s="15">
        <f t="shared" ca="1" si="169"/>
        <v>0</v>
      </c>
      <c r="L268" s="16">
        <f t="shared" ca="1" si="170"/>
        <v>757.9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>
        <f t="shared" ca="1" si="184"/>
        <v>26.6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4.5999999999999996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>
        <f t="shared" ca="1" si="198"/>
        <v>90</v>
      </c>
      <c r="AO268" s="15">
        <f t="shared" ca="1" si="199"/>
        <v>0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19190925</v>
      </c>
      <c r="C269" s="72">
        <f t="shared" si="161"/>
        <v>700</v>
      </c>
      <c r="D269" s="16">
        <f t="shared" ca="1" si="162"/>
        <v>28.9</v>
      </c>
      <c r="E269" s="15">
        <f t="shared" ca="1" si="163"/>
        <v>0</v>
      </c>
      <c r="F269" s="73">
        <f t="shared" ca="1" si="164"/>
        <v>763.27</v>
      </c>
      <c r="G269" s="15">
        <f t="shared" ca="1" si="165"/>
        <v>0</v>
      </c>
      <c r="H269" s="73">
        <f t="shared" ca="1" si="166"/>
        <v>6.78</v>
      </c>
      <c r="I269" s="15">
        <f t="shared" ca="1" si="167"/>
        <v>0</v>
      </c>
      <c r="J269" s="73">
        <f t="shared" ca="1" si="168"/>
        <v>756.49</v>
      </c>
      <c r="K269" s="15">
        <f t="shared" ca="1" si="169"/>
        <v>0</v>
      </c>
      <c r="L269" s="16">
        <f t="shared" ca="1" si="170"/>
        <v>758.4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>
        <f t="shared" ca="1" si="184"/>
        <v>26</v>
      </c>
      <c r="AA269" s="15">
        <f t="shared" ca="1" si="185"/>
        <v>0</v>
      </c>
      <c r="AB269" s="9">
        <f t="shared" ca="1" si="186"/>
        <v>0</v>
      </c>
      <c r="AC269" s="15">
        <f t="shared" ca="1" si="187"/>
        <v>0</v>
      </c>
      <c r="AD269" s="76" t="str">
        <f t="shared" ca="1" si="188"/>
        <v>—</v>
      </c>
      <c r="AE269" s="15">
        <f t="shared" ca="1" si="189"/>
        <v>7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19190926</v>
      </c>
      <c r="C270" s="72">
        <f t="shared" si="161"/>
        <v>700</v>
      </c>
      <c r="D270" s="16">
        <f t="shared" ca="1" si="162"/>
        <v>28.9</v>
      </c>
      <c r="E270" s="15">
        <f t="shared" ca="1" si="163"/>
        <v>0</v>
      </c>
      <c r="F270" s="73">
        <f t="shared" ca="1" si="164"/>
        <v>763.78</v>
      </c>
      <c r="G270" s="15">
        <f t="shared" ca="1" si="165"/>
        <v>0</v>
      </c>
      <c r="H270" s="73">
        <f t="shared" ca="1" si="166"/>
        <v>6.78</v>
      </c>
      <c r="I270" s="15">
        <f t="shared" ca="1" si="167"/>
        <v>0</v>
      </c>
      <c r="J270" s="73">
        <f t="shared" ca="1" si="168"/>
        <v>757</v>
      </c>
      <c r="K270" s="15">
        <f t="shared" ca="1" si="169"/>
        <v>0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>
        <f t="shared" ca="1" si="184"/>
        <v>25.3</v>
      </c>
      <c r="AA270" s="15">
        <f t="shared" ca="1" si="185"/>
        <v>0</v>
      </c>
      <c r="AB270" s="9">
        <f t="shared" ca="1" si="186"/>
        <v>0</v>
      </c>
      <c r="AC270" s="15">
        <f t="shared" ca="1" si="187"/>
        <v>0</v>
      </c>
      <c r="AD270" s="76" t="str">
        <f t="shared" ca="1" si="188"/>
        <v>—</v>
      </c>
      <c r="AE270" s="15">
        <f t="shared" ca="1" si="189"/>
        <v>7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19190927</v>
      </c>
      <c r="C271" s="72">
        <f t="shared" si="161"/>
        <v>700</v>
      </c>
      <c r="D271" s="16">
        <f t="shared" ca="1" si="162"/>
        <v>28.9</v>
      </c>
      <c r="E271" s="15">
        <f t="shared" ca="1" si="163"/>
        <v>0</v>
      </c>
      <c r="F271" s="73">
        <f t="shared" ca="1" si="164"/>
        <v>763.6</v>
      </c>
      <c r="G271" s="15">
        <f t="shared" ca="1" si="165"/>
        <v>0</v>
      </c>
      <c r="H271" s="73">
        <f t="shared" ca="1" si="166"/>
        <v>6.78</v>
      </c>
      <c r="I271" s="15">
        <f t="shared" ca="1" si="167"/>
        <v>0</v>
      </c>
      <c r="J271" s="73">
        <f t="shared" ca="1" si="168"/>
        <v>756.82</v>
      </c>
      <c r="K271" s="15">
        <f t="shared" ca="1" si="169"/>
        <v>0</v>
      </c>
      <c r="L271" s="16">
        <f t="shared" ca="1" si="170"/>
        <v>759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>
        <f t="shared" ca="1" si="184"/>
        <v>26.2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3.6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>
        <f t="shared" ca="1" si="198"/>
        <v>90</v>
      </c>
      <c r="AO271" s="15">
        <f t="shared" ca="1" si="199"/>
        <v>0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19190928</v>
      </c>
      <c r="C272" s="72">
        <f t="shared" si="161"/>
        <v>700</v>
      </c>
      <c r="D272" s="16">
        <f t="shared" ca="1" si="162"/>
        <v>28.9</v>
      </c>
      <c r="E272" s="15">
        <f t="shared" ca="1" si="163"/>
        <v>0</v>
      </c>
      <c r="F272" s="73">
        <f t="shared" ca="1" si="164"/>
        <v>762.2</v>
      </c>
      <c r="G272" s="15">
        <f t="shared" ca="1" si="165"/>
        <v>0</v>
      </c>
      <c r="H272" s="73">
        <f t="shared" ca="1" si="166"/>
        <v>6.71</v>
      </c>
      <c r="I272" s="15">
        <f t="shared" ca="1" si="167"/>
        <v>0</v>
      </c>
      <c r="J272" s="73">
        <f t="shared" ca="1" si="168"/>
        <v>757.96</v>
      </c>
      <c r="K272" s="15">
        <f t="shared" ca="1" si="169"/>
        <v>0</v>
      </c>
      <c r="L272" s="16">
        <f t="shared" ca="1" si="170"/>
        <v>757.4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>
        <f t="shared" ca="1" si="184"/>
        <v>26.7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4.5999999999999996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>
        <f t="shared" ca="1" si="198"/>
        <v>90</v>
      </c>
      <c r="AO272" s="15">
        <f t="shared" ca="1" si="199"/>
        <v>0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19190929</v>
      </c>
      <c r="C273" s="72">
        <f t="shared" si="161"/>
        <v>700</v>
      </c>
      <c r="D273" s="16">
        <f t="shared" ca="1" si="162"/>
        <v>28.3</v>
      </c>
      <c r="E273" s="15">
        <f t="shared" ca="1" si="163"/>
        <v>0</v>
      </c>
      <c r="F273" s="73">
        <f t="shared" ca="1" si="164"/>
        <v>762.76</v>
      </c>
      <c r="G273" s="15">
        <f t="shared" ca="1" si="165"/>
        <v>0</v>
      </c>
      <c r="H273" s="73">
        <f t="shared" ca="1" si="166"/>
        <v>6.71</v>
      </c>
      <c r="I273" s="15">
        <f t="shared" ca="1" si="167"/>
        <v>0</v>
      </c>
      <c r="J273" s="73">
        <f t="shared" ca="1" si="168"/>
        <v>756.06</v>
      </c>
      <c r="K273" s="15">
        <f t="shared" ca="1" si="169"/>
        <v>0</v>
      </c>
      <c r="L273" s="16">
        <f t="shared" ca="1" si="170"/>
        <v>758.2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>
        <f t="shared" ca="1" si="184"/>
        <v>26.1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4.0999999999999996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>
        <f t="shared" ca="1" si="198"/>
        <v>90</v>
      </c>
      <c r="AO273" s="15">
        <f t="shared" ca="1" si="199"/>
        <v>0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19190930</v>
      </c>
      <c r="C274" s="72">
        <f t="shared" si="161"/>
        <v>700</v>
      </c>
      <c r="D274" s="16">
        <f t="shared" ca="1" si="162"/>
        <v>28.3</v>
      </c>
      <c r="E274" s="15">
        <f t="shared" ca="1" si="163"/>
        <v>0</v>
      </c>
      <c r="F274" s="73">
        <f t="shared" ca="1" si="164"/>
        <v>762.97</v>
      </c>
      <c r="G274" s="15">
        <f t="shared" ca="1" si="165"/>
        <v>0</v>
      </c>
      <c r="H274" s="73">
        <f t="shared" ca="1" si="166"/>
        <v>6.71</v>
      </c>
      <c r="I274" s="15">
        <f t="shared" ca="1" si="167"/>
        <v>0</v>
      </c>
      <c r="J274" s="73">
        <f t="shared" ca="1" si="168"/>
        <v>756.26</v>
      </c>
      <c r="K274" s="15">
        <f t="shared" ca="1" si="169"/>
        <v>0</v>
      </c>
      <c r="L274" s="16">
        <f t="shared" ca="1" si="170"/>
        <v>758.2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>
        <f t="shared" ca="1" si="184"/>
        <v>26.2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2.1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>
        <f t="shared" ca="1" si="198"/>
        <v>90</v>
      </c>
      <c r="AO274" s="15">
        <f t="shared" ca="1" si="199"/>
        <v>0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19191001</v>
      </c>
      <c r="C275" s="72">
        <f t="shared" si="161"/>
        <v>700</v>
      </c>
      <c r="D275" s="16">
        <f t="shared" ca="1" si="162"/>
        <v>28.3</v>
      </c>
      <c r="E275" s="15">
        <f t="shared" ca="1" si="163"/>
        <v>0</v>
      </c>
      <c r="F275" s="73">
        <f t="shared" ca="1" si="164"/>
        <v>763.83</v>
      </c>
      <c r="G275" s="15">
        <f t="shared" ca="1" si="165"/>
        <v>0</v>
      </c>
      <c r="H275" s="73">
        <f t="shared" ca="1" si="166"/>
        <v>6.71</v>
      </c>
      <c r="I275" s="15">
        <f t="shared" ca="1" si="167"/>
        <v>0</v>
      </c>
      <c r="J275" s="73">
        <f t="shared" ca="1" si="168"/>
        <v>757.12</v>
      </c>
      <c r="K275" s="15">
        <f t="shared" ca="1" si="169"/>
        <v>0</v>
      </c>
      <c r="L275" s="16">
        <f t="shared" ca="1" si="170"/>
        <v>759.2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>
        <f t="shared" ca="1" si="184"/>
        <v>25.8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4.5999999999999996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19191002</v>
      </c>
      <c r="C276" s="72">
        <f t="shared" si="161"/>
        <v>700</v>
      </c>
      <c r="D276" s="16">
        <f t="shared" ca="1" si="162"/>
        <v>28.6</v>
      </c>
      <c r="E276" s="15">
        <f t="shared" ca="1" si="163"/>
        <v>0</v>
      </c>
      <c r="F276" s="73">
        <f t="shared" ca="1" si="164"/>
        <v>763.47</v>
      </c>
      <c r="G276" s="15">
        <f t="shared" ca="1" si="165"/>
        <v>0</v>
      </c>
      <c r="H276" s="73">
        <f t="shared" ca="1" si="166"/>
        <v>6.76</v>
      </c>
      <c r="I276" s="15">
        <f t="shared" ca="1" si="167"/>
        <v>0</v>
      </c>
      <c r="J276" s="73">
        <f t="shared" ca="1" si="168"/>
        <v>756.72</v>
      </c>
      <c r="K276" s="15">
        <f t="shared" ca="1" si="169"/>
        <v>0</v>
      </c>
      <c r="L276" s="16">
        <f t="shared" ca="1" si="170"/>
        <v>758.7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>
        <f t="shared" ca="1" si="184"/>
        <v>26.7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4.0999999999999996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>
        <f t="shared" ca="1" si="198"/>
        <v>90</v>
      </c>
      <c r="AO276" s="15">
        <f t="shared" ca="1" si="199"/>
        <v>0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19191003</v>
      </c>
      <c r="C277" s="72">
        <f t="shared" si="161"/>
        <v>700</v>
      </c>
      <c r="D277" s="16">
        <f t="shared" ca="1" si="162"/>
        <v>28.6</v>
      </c>
      <c r="E277" s="15">
        <f t="shared" ca="1" si="163"/>
        <v>0</v>
      </c>
      <c r="F277" s="73">
        <f t="shared" ca="1" si="164"/>
        <v>763.32</v>
      </c>
      <c r="G277" s="15">
        <f t="shared" ca="1" si="165"/>
        <v>0</v>
      </c>
      <c r="H277" s="73">
        <f t="shared" ca="1" si="166"/>
        <v>6.76</v>
      </c>
      <c r="I277" s="15">
        <f t="shared" ca="1" si="167"/>
        <v>0</v>
      </c>
      <c r="J277" s="73">
        <f t="shared" ca="1" si="168"/>
        <v>755.8</v>
      </c>
      <c r="K277" s="15">
        <f t="shared" ca="1" si="169"/>
        <v>0</v>
      </c>
      <c r="L277" s="16">
        <f t="shared" ca="1" si="170"/>
        <v>758.7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>
        <f t="shared" ca="1" si="184"/>
        <v>26.7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>
        <f t="shared" ca="1" si="198"/>
        <v>90</v>
      </c>
      <c r="AO277" s="15">
        <f t="shared" ca="1" si="199"/>
        <v>0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19191004</v>
      </c>
      <c r="C278" s="72">
        <f t="shared" si="161"/>
        <v>700</v>
      </c>
      <c r="D278" s="16">
        <f t="shared" ca="1" si="162"/>
        <v>28.9</v>
      </c>
      <c r="E278" s="15">
        <f t="shared" ca="1" si="163"/>
        <v>0</v>
      </c>
      <c r="F278" s="73">
        <f t="shared" ca="1" si="164"/>
        <v>762.25</v>
      </c>
      <c r="G278" s="15">
        <f t="shared" ca="1" si="165"/>
        <v>0</v>
      </c>
      <c r="H278" s="73">
        <f t="shared" ca="1" si="166"/>
        <v>6.78</v>
      </c>
      <c r="I278" s="15">
        <f t="shared" ca="1" si="167"/>
        <v>0</v>
      </c>
      <c r="J278" s="73">
        <f t="shared" ca="1" si="168"/>
        <v>755.47</v>
      </c>
      <c r="K278" s="15">
        <f t="shared" ca="1" si="169"/>
        <v>0</v>
      </c>
      <c r="L278" s="16">
        <f t="shared" ca="1" si="170"/>
        <v>757.4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>
        <f t="shared" ca="1" si="184"/>
        <v>26.4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3.1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>
        <f t="shared" ca="1" si="198"/>
        <v>90</v>
      </c>
      <c r="AO278" s="15">
        <f t="shared" ca="1" si="199"/>
        <v>0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19191005</v>
      </c>
      <c r="C279" s="72">
        <f t="shared" si="161"/>
        <v>700</v>
      </c>
      <c r="D279" s="16">
        <f t="shared" ca="1" si="162"/>
        <v>28.9</v>
      </c>
      <c r="E279" s="15">
        <f t="shared" ca="1" si="163"/>
        <v>0</v>
      </c>
      <c r="F279" s="73">
        <f t="shared" ca="1" si="164"/>
        <v>761.29</v>
      </c>
      <c r="G279" s="15">
        <f t="shared" ca="1" si="165"/>
        <v>0</v>
      </c>
      <c r="H279" s="73">
        <f t="shared" ca="1" si="166"/>
        <v>6.73</v>
      </c>
      <c r="I279" s="15">
        <f t="shared" ca="1" si="167"/>
        <v>0</v>
      </c>
      <c r="J279" s="73">
        <f t="shared" ca="1" si="168"/>
        <v>754.56</v>
      </c>
      <c r="K279" s="15">
        <f t="shared" ca="1" si="169"/>
        <v>0</v>
      </c>
      <c r="L279" s="16">
        <f t="shared" ca="1" si="170"/>
        <v>756.7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>
        <f t="shared" ca="1" si="184"/>
        <v>26.6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3.1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>
        <f t="shared" ca="1" si="198"/>
        <v>90</v>
      </c>
      <c r="AO279" s="15">
        <f t="shared" ca="1" si="199"/>
        <v>0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19191006</v>
      </c>
      <c r="C280" s="72">
        <f t="shared" si="161"/>
        <v>700</v>
      </c>
      <c r="D280" s="16">
        <f t="shared" ca="1" si="162"/>
        <v>28.9</v>
      </c>
      <c r="E280" s="15">
        <f t="shared" ca="1" si="163"/>
        <v>0</v>
      </c>
      <c r="F280" s="73">
        <f t="shared" ca="1" si="164"/>
        <v>762.58</v>
      </c>
      <c r="G280" s="15">
        <f t="shared" ca="1" si="165"/>
        <v>0</v>
      </c>
      <c r="H280" s="73">
        <f t="shared" ca="1" si="166"/>
        <v>6.78</v>
      </c>
      <c r="I280" s="15">
        <f t="shared" ca="1" si="167"/>
        <v>0</v>
      </c>
      <c r="J280" s="73">
        <f t="shared" ca="1" si="168"/>
        <v>755.8</v>
      </c>
      <c r="K280" s="15">
        <f t="shared" ca="1" si="169"/>
        <v>0</v>
      </c>
      <c r="L280" s="16">
        <f t="shared" ca="1" si="170"/>
        <v>757.9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>
        <f t="shared" ca="1" si="184"/>
        <v>25.9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3.6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>
        <f t="shared" ca="1" si="198"/>
        <v>90</v>
      </c>
      <c r="AO280" s="15">
        <f t="shared" ca="1" si="199"/>
        <v>0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19191007</v>
      </c>
      <c r="C281" s="72">
        <f t="shared" si="161"/>
        <v>700</v>
      </c>
      <c r="D281" s="16">
        <f t="shared" ca="1" si="162"/>
        <v>28.6</v>
      </c>
      <c r="E281" s="15">
        <f t="shared" ca="1" si="163"/>
        <v>0</v>
      </c>
      <c r="F281" s="73">
        <f t="shared" ca="1" si="164"/>
        <v>761.62</v>
      </c>
      <c r="G281" s="15">
        <f t="shared" ca="1" si="165"/>
        <v>0</v>
      </c>
      <c r="H281" s="73">
        <f t="shared" ca="1" si="166"/>
        <v>6.68</v>
      </c>
      <c r="I281" s="15">
        <f t="shared" ca="1" si="167"/>
        <v>0</v>
      </c>
      <c r="J281" s="73">
        <f t="shared" ca="1" si="168"/>
        <v>754.94</v>
      </c>
      <c r="K281" s="15">
        <f t="shared" ca="1" si="169"/>
        <v>0</v>
      </c>
      <c r="L281" s="16">
        <f t="shared" ca="1" si="170"/>
        <v>756.9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>
        <f t="shared" ca="1" si="184"/>
        <v>26.4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4.0999999999999996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>
        <f t="shared" ca="1" si="198"/>
        <v>90</v>
      </c>
      <c r="AO281" s="15">
        <f t="shared" ca="1" si="199"/>
        <v>0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19191008</v>
      </c>
      <c r="C282" s="72">
        <f t="shared" si="161"/>
        <v>700</v>
      </c>
      <c r="D282" s="16">
        <f t="shared" ca="1" si="162"/>
        <v>28.6</v>
      </c>
      <c r="E282" s="15">
        <f t="shared" ca="1" si="163"/>
        <v>0</v>
      </c>
      <c r="F282" s="73">
        <f t="shared" ca="1" si="164"/>
        <v>762.43</v>
      </c>
      <c r="G282" s="15">
        <f t="shared" ca="1" si="165"/>
        <v>0</v>
      </c>
      <c r="H282" s="73">
        <f t="shared" ca="1" si="166"/>
        <v>6.76</v>
      </c>
      <c r="I282" s="15">
        <f t="shared" ca="1" si="167"/>
        <v>0</v>
      </c>
      <c r="J282" s="73">
        <f t="shared" ca="1" si="168"/>
        <v>755.68</v>
      </c>
      <c r="K282" s="15">
        <f t="shared" ca="1" si="169"/>
        <v>0</v>
      </c>
      <c r="L282" s="16">
        <f t="shared" ca="1" si="170"/>
        <v>757.7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>
        <f t="shared" ca="1" si="184"/>
        <v>26.4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3.6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>
        <f t="shared" ca="1" si="198"/>
        <v>90</v>
      </c>
      <c r="AO282" s="15">
        <f t="shared" ca="1" si="199"/>
        <v>0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19191009</v>
      </c>
      <c r="C283" s="72">
        <f t="shared" si="161"/>
        <v>700</v>
      </c>
      <c r="D283" s="16">
        <f t="shared" ca="1" si="162"/>
        <v>28.3</v>
      </c>
      <c r="E283" s="15">
        <f t="shared" ca="1" si="163"/>
        <v>0</v>
      </c>
      <c r="F283" s="73">
        <f t="shared" ca="1" si="164"/>
        <v>762.15</v>
      </c>
      <c r="G283" s="15">
        <f t="shared" ca="1" si="165"/>
        <v>0</v>
      </c>
      <c r="H283" s="73">
        <f t="shared" ca="1" si="166"/>
        <v>6.71</v>
      </c>
      <c r="I283" s="15">
        <f t="shared" ca="1" si="167"/>
        <v>0</v>
      </c>
      <c r="J283" s="73">
        <f t="shared" ca="1" si="168"/>
        <v>755.45</v>
      </c>
      <c r="K283" s="15">
        <f t="shared" ca="1" si="169"/>
        <v>0</v>
      </c>
      <c r="L283" s="16">
        <f t="shared" ca="1" si="170"/>
        <v>757.4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>
        <f t="shared" ca="1" si="184"/>
        <v>26.2</v>
      </c>
      <c r="AA283" s="15">
        <f t="shared" ca="1" si="185"/>
        <v>0</v>
      </c>
      <c r="AB283" s="9">
        <f t="shared" ca="1" si="186"/>
        <v>45</v>
      </c>
      <c r="AC283" s="15">
        <f t="shared" ca="1" si="187"/>
        <v>0</v>
      </c>
      <c r="AD283" s="76">
        <f t="shared" ca="1" si="188"/>
        <v>3.1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>
        <f t="shared" ca="1" si="198"/>
        <v>90</v>
      </c>
      <c r="AO283" s="15">
        <f t="shared" ca="1" si="199"/>
        <v>0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19191010</v>
      </c>
      <c r="C284" s="72">
        <f t="shared" si="161"/>
        <v>700</v>
      </c>
      <c r="D284" s="16">
        <f t="shared" ca="1" si="162"/>
        <v>28.9</v>
      </c>
      <c r="E284" s="15">
        <f t="shared" ca="1" si="163"/>
        <v>0</v>
      </c>
      <c r="F284" s="73">
        <f t="shared" ca="1" si="164"/>
        <v>762.58</v>
      </c>
      <c r="G284" s="15">
        <f t="shared" ca="1" si="165"/>
        <v>0</v>
      </c>
      <c r="H284" s="73">
        <f t="shared" ca="1" si="166"/>
        <v>6.78</v>
      </c>
      <c r="I284" s="15">
        <f t="shared" ca="1" si="167"/>
        <v>0</v>
      </c>
      <c r="J284" s="73">
        <f t="shared" ca="1" si="168"/>
        <v>755.8</v>
      </c>
      <c r="K284" s="15">
        <f t="shared" ca="1" si="169"/>
        <v>0</v>
      </c>
      <c r="L284" s="16">
        <f t="shared" ca="1" si="170"/>
        <v>757.9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>
        <f t="shared" ca="1" si="184"/>
        <v>26.6</v>
      </c>
      <c r="AA284" s="15">
        <f t="shared" ca="1" si="185"/>
        <v>0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2.1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>
        <f t="shared" ca="1" si="198"/>
        <v>90</v>
      </c>
      <c r="AO284" s="15">
        <f t="shared" ca="1" si="199"/>
        <v>0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19191011</v>
      </c>
      <c r="C285" s="72">
        <f t="shared" si="161"/>
        <v>700</v>
      </c>
      <c r="D285" s="16">
        <f t="shared" ca="1" si="162"/>
        <v>28.6</v>
      </c>
      <c r="E285" s="15">
        <f t="shared" ca="1" si="163"/>
        <v>0</v>
      </c>
      <c r="F285" s="73">
        <f t="shared" ca="1" si="164"/>
        <v>762.46</v>
      </c>
      <c r="G285" s="15">
        <f t="shared" ca="1" si="165"/>
        <v>0</v>
      </c>
      <c r="H285" s="73">
        <f t="shared" ca="1" si="166"/>
        <v>6.76</v>
      </c>
      <c r="I285" s="15">
        <f t="shared" ca="1" si="167"/>
        <v>0</v>
      </c>
      <c r="J285" s="73">
        <f t="shared" ca="1" si="168"/>
        <v>755.7</v>
      </c>
      <c r="K285" s="15">
        <f t="shared" ca="1" si="169"/>
        <v>0</v>
      </c>
      <c r="L285" s="16">
        <f t="shared" ca="1" si="170"/>
        <v>757.7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>
        <f t="shared" ca="1" si="184"/>
        <v>25.7</v>
      </c>
      <c r="AA285" s="15">
        <f t="shared" ca="1" si="185"/>
        <v>0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1.5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>
        <f t="shared" ca="1" si="198"/>
        <v>90</v>
      </c>
      <c r="AO285" s="15">
        <f t="shared" ca="1" si="199"/>
        <v>0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19191012</v>
      </c>
      <c r="C286" s="72">
        <f t="shared" si="161"/>
        <v>700</v>
      </c>
      <c r="D286" s="16">
        <f t="shared" ca="1" si="162"/>
        <v>27.2</v>
      </c>
      <c r="E286" s="15">
        <f t="shared" ca="1" si="163"/>
        <v>0</v>
      </c>
      <c r="F286" s="73">
        <f t="shared" ca="1" si="164"/>
        <v>761.75</v>
      </c>
      <c r="G286" s="15">
        <f t="shared" ca="1" si="165"/>
        <v>0</v>
      </c>
      <c r="H286" s="73">
        <f t="shared" ca="1" si="166"/>
        <v>6.53</v>
      </c>
      <c r="I286" s="15">
        <f t="shared" ca="1" si="167"/>
        <v>0</v>
      </c>
      <c r="J286" s="73">
        <f t="shared" ca="1" si="168"/>
        <v>755.22</v>
      </c>
      <c r="K286" s="15">
        <f t="shared" ca="1" si="169"/>
        <v>0</v>
      </c>
      <c r="L286" s="16">
        <f t="shared" ca="1" si="170"/>
        <v>757.2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>
        <f t="shared" ca="1" si="184"/>
        <v>24.1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2.6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>
        <f t="shared" ca="1" si="198"/>
        <v>90</v>
      </c>
      <c r="AO286" s="15">
        <f t="shared" ca="1" si="199"/>
        <v>0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19191013</v>
      </c>
      <c r="C287" s="72">
        <f t="shared" si="161"/>
        <v>700</v>
      </c>
      <c r="D287" s="16">
        <f t="shared" ca="1" si="162"/>
        <v>27.8</v>
      </c>
      <c r="E287" s="15">
        <f t="shared" ca="1" si="163"/>
        <v>0</v>
      </c>
      <c r="F287" s="73">
        <f t="shared" ca="1" si="164"/>
        <v>761.31</v>
      </c>
      <c r="G287" s="15">
        <f t="shared" ca="1" si="165"/>
        <v>0</v>
      </c>
      <c r="H287" s="73">
        <f t="shared" ca="1" si="166"/>
        <v>6.6</v>
      </c>
      <c r="I287" s="15">
        <f t="shared" ca="1" si="167"/>
        <v>0</v>
      </c>
      <c r="J287" s="73">
        <f t="shared" ca="1" si="168"/>
        <v>754.71</v>
      </c>
      <c r="K287" s="15">
        <f t="shared" ca="1" si="169"/>
        <v>0</v>
      </c>
      <c r="L287" s="16">
        <f t="shared" ca="1" si="170"/>
        <v>756.7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>
        <f t="shared" ca="1" si="184"/>
        <v>25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2.1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>
        <f t="shared" ca="1" si="198"/>
        <v>90</v>
      </c>
      <c r="AO287" s="15">
        <f t="shared" ca="1" si="199"/>
        <v>0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19191014</v>
      </c>
      <c r="C288" s="72">
        <f t="shared" si="161"/>
        <v>700</v>
      </c>
      <c r="D288" s="16">
        <f t="shared" ca="1" si="162"/>
        <v>28.3</v>
      </c>
      <c r="E288" s="15">
        <f t="shared" ca="1" si="163"/>
        <v>0</v>
      </c>
      <c r="F288" s="73">
        <f t="shared" ca="1" si="164"/>
        <v>761.19</v>
      </c>
      <c r="G288" s="15">
        <f t="shared" ca="1" si="165"/>
        <v>0</v>
      </c>
      <c r="H288" s="73">
        <f t="shared" ca="1" si="166"/>
        <v>6.65</v>
      </c>
      <c r="I288" s="15">
        <f t="shared" ca="1" si="167"/>
        <v>0</v>
      </c>
      <c r="J288" s="73">
        <f t="shared" ca="1" si="168"/>
        <v>754.53</v>
      </c>
      <c r="K288" s="15">
        <f t="shared" ca="1" si="169"/>
        <v>0</v>
      </c>
      <c r="L288" s="16">
        <f t="shared" ca="1" si="170"/>
        <v>756.7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>
        <f t="shared" ca="1" si="184"/>
        <v>23.2</v>
      </c>
      <c r="AA288" s="15">
        <f t="shared" ca="1" si="185"/>
        <v>0</v>
      </c>
      <c r="AB288" s="9">
        <f t="shared" ca="1" si="186"/>
        <v>45</v>
      </c>
      <c r="AC288" s="15">
        <f t="shared" ca="1" si="187"/>
        <v>0</v>
      </c>
      <c r="AD288" s="76">
        <f t="shared" ca="1" si="188"/>
        <v>2.1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>
        <f t="shared" ca="1" si="198"/>
        <v>90</v>
      </c>
      <c r="AO288" s="15">
        <f t="shared" ca="1" si="199"/>
        <v>0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19191015</v>
      </c>
      <c r="C289" s="72">
        <f t="shared" si="161"/>
        <v>700</v>
      </c>
      <c r="D289" s="16">
        <f t="shared" ca="1" si="162"/>
        <v>28.3</v>
      </c>
      <c r="E289" s="15">
        <f t="shared" ca="1" si="163"/>
        <v>0</v>
      </c>
      <c r="F289" s="73">
        <f t="shared" ca="1" si="164"/>
        <v>763.32</v>
      </c>
      <c r="G289" s="15">
        <f t="shared" ca="1" si="165"/>
        <v>0</v>
      </c>
      <c r="H289" s="73">
        <f t="shared" ca="1" si="166"/>
        <v>6.71</v>
      </c>
      <c r="I289" s="15">
        <f t="shared" ca="1" si="167"/>
        <v>0</v>
      </c>
      <c r="J289" s="73">
        <f t="shared" ca="1" si="168"/>
        <v>756.62</v>
      </c>
      <c r="K289" s="15">
        <f t="shared" ca="1" si="169"/>
        <v>0</v>
      </c>
      <c r="L289" s="16">
        <f t="shared" ca="1" si="170"/>
        <v>758.7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>
        <f t="shared" ca="1" si="184"/>
        <v>25.9</v>
      </c>
      <c r="AA289" s="15">
        <f t="shared" ca="1" si="185"/>
        <v>0</v>
      </c>
      <c r="AB289" s="9">
        <f t="shared" ca="1" si="186"/>
        <v>135</v>
      </c>
      <c r="AC289" s="15">
        <f t="shared" ca="1" si="187"/>
        <v>0</v>
      </c>
      <c r="AD289" s="76">
        <f t="shared" ca="1" si="188"/>
        <v>4.0999999999999996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>
        <f t="shared" ca="1" si="198"/>
        <v>90</v>
      </c>
      <c r="AO289" s="15">
        <f t="shared" ca="1" si="199"/>
        <v>0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19191016</v>
      </c>
      <c r="C290" s="72">
        <f t="shared" si="161"/>
        <v>700</v>
      </c>
      <c r="D290" s="16">
        <f t="shared" ca="1" si="162"/>
        <v>28.6</v>
      </c>
      <c r="E290" s="15">
        <f t="shared" ca="1" si="163"/>
        <v>0</v>
      </c>
      <c r="F290" s="73">
        <f t="shared" ca="1" si="164"/>
        <v>762.97</v>
      </c>
      <c r="G290" s="15">
        <f t="shared" ca="1" si="165"/>
        <v>0</v>
      </c>
      <c r="H290" s="73">
        <f t="shared" ca="1" si="166"/>
        <v>6.73</v>
      </c>
      <c r="I290" s="15">
        <f t="shared" ca="1" si="167"/>
        <v>0</v>
      </c>
      <c r="J290" s="73">
        <f t="shared" ca="1" si="168"/>
        <v>756.23</v>
      </c>
      <c r="K290" s="15">
        <f t="shared" ca="1" si="169"/>
        <v>0</v>
      </c>
      <c r="L290" s="16">
        <f t="shared" ca="1" si="170"/>
        <v>758.2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>
        <f t="shared" ca="1" si="184"/>
        <v>25.9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3.6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>
        <f t="shared" ca="1" si="198"/>
        <v>90</v>
      </c>
      <c r="AO290" s="15">
        <f t="shared" ca="1" si="199"/>
        <v>0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19191017</v>
      </c>
      <c r="C291" s="72">
        <f t="shared" si="161"/>
        <v>700</v>
      </c>
      <c r="D291" s="16">
        <f t="shared" ca="1" si="162"/>
        <v>28.9</v>
      </c>
      <c r="E291" s="15">
        <f t="shared" ca="1" si="163"/>
        <v>0</v>
      </c>
      <c r="F291" s="73">
        <f t="shared" ca="1" si="164"/>
        <v>761.7</v>
      </c>
      <c r="G291" s="15">
        <f t="shared" ca="1" si="165"/>
        <v>0</v>
      </c>
      <c r="H291" s="73">
        <f t="shared" ca="1" si="166"/>
        <v>6.73</v>
      </c>
      <c r="I291" s="15">
        <f t="shared" ca="1" si="167"/>
        <v>0</v>
      </c>
      <c r="J291" s="73">
        <f t="shared" ca="1" si="168"/>
        <v>754.96</v>
      </c>
      <c r="K291" s="15">
        <f t="shared" ca="1" si="169"/>
        <v>0</v>
      </c>
      <c r="L291" s="16">
        <f t="shared" ca="1" si="170"/>
        <v>756.9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>
        <f t="shared" ca="1" si="184"/>
        <v>26.8</v>
      </c>
      <c r="AA291" s="15">
        <f t="shared" ca="1" si="185"/>
        <v>0</v>
      </c>
      <c r="AB291" s="9">
        <f t="shared" ca="1" si="186"/>
        <v>135</v>
      </c>
      <c r="AC291" s="15">
        <f t="shared" ca="1" si="187"/>
        <v>0</v>
      </c>
      <c r="AD291" s="76">
        <f t="shared" ca="1" si="188"/>
        <v>4.0999999999999996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>
        <f t="shared" ca="1" si="198"/>
        <v>90</v>
      </c>
      <c r="AO291" s="15">
        <f t="shared" ca="1" si="199"/>
        <v>0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19191018</v>
      </c>
      <c r="C292" s="72">
        <f t="shared" si="161"/>
        <v>700</v>
      </c>
      <c r="D292" s="16">
        <f t="shared" ca="1" si="162"/>
        <v>28.9</v>
      </c>
      <c r="E292" s="15">
        <f t="shared" ca="1" si="163"/>
        <v>0</v>
      </c>
      <c r="F292" s="73">
        <f t="shared" ca="1" si="164"/>
        <v>762.13</v>
      </c>
      <c r="G292" s="15">
        <f t="shared" ca="1" si="165"/>
        <v>0</v>
      </c>
      <c r="H292" s="73">
        <f t="shared" ca="1" si="166"/>
        <v>6.78</v>
      </c>
      <c r="I292" s="15">
        <f t="shared" ca="1" si="167"/>
        <v>0</v>
      </c>
      <c r="J292" s="73">
        <f t="shared" ca="1" si="168"/>
        <v>755.35</v>
      </c>
      <c r="K292" s="15">
        <f t="shared" ca="1" si="169"/>
        <v>0</v>
      </c>
      <c r="L292" s="16">
        <f t="shared" ca="1" si="170"/>
        <v>757.4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>
        <f t="shared" ca="1" si="184"/>
        <v>26.4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4.0999999999999996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>
        <f t="shared" ca="1" si="198"/>
        <v>135</v>
      </c>
      <c r="AO292" s="15">
        <f t="shared" ca="1" si="199"/>
        <v>0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19191019</v>
      </c>
      <c r="C293" s="72">
        <f t="shared" si="161"/>
        <v>700</v>
      </c>
      <c r="D293" s="16">
        <f t="shared" ca="1" si="162"/>
        <v>28.6</v>
      </c>
      <c r="E293" s="15">
        <f t="shared" ca="1" si="163"/>
        <v>0</v>
      </c>
      <c r="F293" s="73">
        <f t="shared" ca="1" si="164"/>
        <v>763.22</v>
      </c>
      <c r="G293" s="15">
        <f t="shared" ca="1" si="165"/>
        <v>0</v>
      </c>
      <c r="H293" s="73">
        <f t="shared" ca="1" si="166"/>
        <v>6.76</v>
      </c>
      <c r="I293" s="15">
        <f t="shared" ca="1" si="167"/>
        <v>0</v>
      </c>
      <c r="J293" s="73">
        <f t="shared" ca="1" si="168"/>
        <v>756.46</v>
      </c>
      <c r="K293" s="15">
        <f t="shared" ca="1" si="169"/>
        <v>0</v>
      </c>
      <c r="L293" s="16">
        <f t="shared" ca="1" si="170"/>
        <v>758.4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>
        <f t="shared" ca="1" si="184"/>
        <v>26.3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3.1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>
        <f t="shared" ca="1" si="198"/>
        <v>90</v>
      </c>
      <c r="AO293" s="15">
        <f t="shared" ca="1" si="199"/>
        <v>0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19191020</v>
      </c>
      <c r="C294" s="72">
        <f t="shared" si="161"/>
        <v>700</v>
      </c>
      <c r="D294" s="16">
        <f t="shared" ca="1" si="162"/>
        <v>28.6</v>
      </c>
      <c r="E294" s="15">
        <f t="shared" ca="1" si="163"/>
        <v>0</v>
      </c>
      <c r="F294" s="73">
        <f t="shared" ca="1" si="164"/>
        <v>762.86</v>
      </c>
      <c r="G294" s="15">
        <f t="shared" ca="1" si="165"/>
        <v>0</v>
      </c>
      <c r="H294" s="73">
        <f t="shared" ca="1" si="166"/>
        <v>6.76</v>
      </c>
      <c r="I294" s="15">
        <f t="shared" ca="1" si="167"/>
        <v>0</v>
      </c>
      <c r="J294" s="73">
        <f t="shared" ca="1" si="168"/>
        <v>756.11</v>
      </c>
      <c r="K294" s="15">
        <f t="shared" ca="1" si="169"/>
        <v>0</v>
      </c>
      <c r="L294" s="16">
        <f t="shared" ca="1" si="170"/>
        <v>758.2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>
        <f t="shared" ca="1" si="184"/>
        <v>26.5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3.1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>
        <f t="shared" ca="1" si="198"/>
        <v>90</v>
      </c>
      <c r="AO294" s="15">
        <f t="shared" ca="1" si="199"/>
        <v>0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19191021</v>
      </c>
      <c r="C295" s="72">
        <f t="shared" si="161"/>
        <v>700</v>
      </c>
      <c r="D295" s="16">
        <f t="shared" ca="1" si="162"/>
        <v>28.6</v>
      </c>
      <c r="E295" s="15">
        <f t="shared" ca="1" si="163"/>
        <v>0</v>
      </c>
      <c r="F295" s="73">
        <f t="shared" ca="1" si="164"/>
        <v>763.02</v>
      </c>
      <c r="G295" s="15">
        <f t="shared" ca="1" si="165"/>
        <v>0</v>
      </c>
      <c r="H295" s="73">
        <f t="shared" ca="1" si="166"/>
        <v>6.76</v>
      </c>
      <c r="I295" s="15">
        <f t="shared" ca="1" si="167"/>
        <v>0</v>
      </c>
      <c r="J295" s="73">
        <f t="shared" ca="1" si="168"/>
        <v>756.26</v>
      </c>
      <c r="K295" s="15">
        <f t="shared" ca="1" si="169"/>
        <v>0</v>
      </c>
      <c r="L295" s="16">
        <f t="shared" ca="1" si="170"/>
        <v>758.2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>
        <f t="shared" ca="1" si="184"/>
        <v>26.5</v>
      </c>
      <c r="AA295" s="15">
        <f t="shared" ca="1" si="185"/>
        <v>0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5.0999999999999996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>
        <f t="shared" ca="1" si="198"/>
        <v>90</v>
      </c>
      <c r="AO295" s="15">
        <f t="shared" ca="1" si="199"/>
        <v>0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19191022</v>
      </c>
      <c r="C296" s="72">
        <f t="shared" si="161"/>
        <v>700</v>
      </c>
      <c r="D296" s="16">
        <f t="shared" ca="1" si="162"/>
        <v>28.9</v>
      </c>
      <c r="E296" s="15">
        <f t="shared" ca="1" si="163"/>
        <v>0</v>
      </c>
      <c r="F296" s="73">
        <f t="shared" ca="1" si="164"/>
        <v>764.79</v>
      </c>
      <c r="G296" s="15">
        <f t="shared" ca="1" si="165"/>
        <v>0</v>
      </c>
      <c r="H296" s="73">
        <f t="shared" ca="1" si="166"/>
        <v>6.78</v>
      </c>
      <c r="I296" s="15">
        <f t="shared" ca="1" si="167"/>
        <v>0</v>
      </c>
      <c r="J296" s="73">
        <f t="shared" ca="1" si="168"/>
        <v>758.01</v>
      </c>
      <c r="K296" s="15">
        <f t="shared" ca="1" si="169"/>
        <v>0</v>
      </c>
      <c r="L296" s="16">
        <f t="shared" ca="1" si="170"/>
        <v>760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>
        <f t="shared" ca="1" si="184"/>
        <v>26.8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3.1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>
        <f t="shared" ca="1" si="198"/>
        <v>90</v>
      </c>
      <c r="AO296" s="15">
        <f t="shared" ca="1" si="199"/>
        <v>0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19191023</v>
      </c>
      <c r="C297" s="72">
        <f t="shared" si="161"/>
        <v>700</v>
      </c>
      <c r="D297" s="16">
        <f t="shared" ca="1" si="162"/>
        <v>28.9</v>
      </c>
      <c r="E297" s="15">
        <f t="shared" ca="1" si="163"/>
        <v>0</v>
      </c>
      <c r="F297" s="73">
        <f t="shared" ca="1" si="164"/>
        <v>763.98</v>
      </c>
      <c r="G297" s="15">
        <f t="shared" ca="1" si="165"/>
        <v>0</v>
      </c>
      <c r="H297" s="73">
        <f t="shared" ca="1" si="166"/>
        <v>6.78</v>
      </c>
      <c r="I297" s="15">
        <f t="shared" ca="1" si="167"/>
        <v>0</v>
      </c>
      <c r="J297" s="73">
        <f t="shared" ca="1" si="168"/>
        <v>757.2</v>
      </c>
      <c r="K297" s="15">
        <f t="shared" ca="1" si="169"/>
        <v>0</v>
      </c>
      <c r="L297" s="16">
        <f t="shared" ca="1" si="170"/>
        <v>759.2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>
        <f t="shared" ca="1" si="184"/>
        <v>26.8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4.0999999999999996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>
        <f t="shared" ca="1" si="198"/>
        <v>90</v>
      </c>
      <c r="AO297" s="15">
        <f t="shared" ca="1" si="199"/>
        <v>0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19191024</v>
      </c>
      <c r="C298" s="72">
        <f t="shared" si="161"/>
        <v>700</v>
      </c>
      <c r="D298" s="16">
        <f t="shared" ca="1" si="162"/>
        <v>28.3</v>
      </c>
      <c r="E298" s="15">
        <f t="shared" ca="1" si="163"/>
        <v>0</v>
      </c>
      <c r="F298" s="73">
        <f t="shared" ca="1" si="164"/>
        <v>762.69</v>
      </c>
      <c r="G298" s="15">
        <f t="shared" ca="1" si="165"/>
        <v>0</v>
      </c>
      <c r="H298" s="73">
        <f t="shared" ca="1" si="166"/>
        <v>6.71</v>
      </c>
      <c r="I298" s="15">
        <f t="shared" ca="1" si="167"/>
        <v>0</v>
      </c>
      <c r="J298" s="73">
        <f t="shared" ca="1" si="168"/>
        <v>755.98</v>
      </c>
      <c r="K298" s="15">
        <f t="shared" ca="1" si="169"/>
        <v>0</v>
      </c>
      <c r="L298" s="16">
        <f t="shared" ca="1" si="170"/>
        <v>757.9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>
        <f t="shared" ca="1" si="184"/>
        <v>24.6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4.0999999999999996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>
        <f t="shared" ca="1" si="198"/>
        <v>90</v>
      </c>
      <c r="AO298" s="15">
        <f t="shared" ca="1" si="199"/>
        <v>0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19191025</v>
      </c>
      <c r="C299" s="72">
        <f t="shared" si="161"/>
        <v>700</v>
      </c>
      <c r="D299" s="16">
        <f t="shared" ca="1" si="162"/>
        <v>28.3</v>
      </c>
      <c r="E299" s="15">
        <f t="shared" ca="1" si="163"/>
        <v>0</v>
      </c>
      <c r="F299" s="73">
        <f t="shared" ca="1" si="164"/>
        <v>761.9</v>
      </c>
      <c r="G299" s="15">
        <f t="shared" ca="1" si="165"/>
        <v>0</v>
      </c>
      <c r="H299" s="73">
        <f t="shared" ca="1" si="166"/>
        <v>6.65</v>
      </c>
      <c r="I299" s="15">
        <f t="shared" ca="1" si="167"/>
        <v>0</v>
      </c>
      <c r="J299" s="73">
        <f t="shared" ca="1" si="168"/>
        <v>755.24</v>
      </c>
      <c r="K299" s="15">
        <f t="shared" ca="1" si="169"/>
        <v>0</v>
      </c>
      <c r="L299" s="16">
        <f t="shared" ca="1" si="170"/>
        <v>757.2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>
        <f t="shared" ca="1" si="184"/>
        <v>26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2.6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>
        <f t="shared" ca="1" si="198"/>
        <v>90</v>
      </c>
      <c r="AO299" s="15">
        <f t="shared" ca="1" si="199"/>
        <v>0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19191026</v>
      </c>
      <c r="C300" s="72">
        <f t="shared" si="161"/>
        <v>700</v>
      </c>
      <c r="D300" s="16">
        <f t="shared" ca="1" si="162"/>
        <v>28.3</v>
      </c>
      <c r="E300" s="15">
        <f t="shared" ca="1" si="163"/>
        <v>0</v>
      </c>
      <c r="F300" s="73">
        <f t="shared" ca="1" si="164"/>
        <v>763.42</v>
      </c>
      <c r="G300" s="15">
        <f t="shared" ca="1" si="165"/>
        <v>0</v>
      </c>
      <c r="H300" s="73">
        <f t="shared" ca="1" si="166"/>
        <v>6.71</v>
      </c>
      <c r="I300" s="15">
        <f t="shared" ca="1" si="167"/>
        <v>0</v>
      </c>
      <c r="J300" s="73">
        <f t="shared" ca="1" si="168"/>
        <v>756.72</v>
      </c>
      <c r="K300" s="15">
        <f t="shared" ca="1" si="169"/>
        <v>0</v>
      </c>
      <c r="L300" s="16">
        <f t="shared" ca="1" si="170"/>
        <v>758.7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>
        <f t="shared" ca="1" si="184"/>
        <v>24.8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1.5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>
        <f t="shared" ca="1" si="198"/>
        <v>90</v>
      </c>
      <c r="AO300" s="15">
        <f t="shared" ca="1" si="199"/>
        <v>0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19191027</v>
      </c>
      <c r="C301" s="72">
        <f t="shared" si="161"/>
        <v>700</v>
      </c>
      <c r="D301" s="16">
        <f t="shared" ca="1" si="162"/>
        <v>27.8</v>
      </c>
      <c r="E301" s="15">
        <f t="shared" ca="1" si="163"/>
        <v>0</v>
      </c>
      <c r="F301" s="73">
        <f t="shared" ca="1" si="164"/>
        <v>761.9</v>
      </c>
      <c r="G301" s="15">
        <f t="shared" ca="1" si="165"/>
        <v>0</v>
      </c>
      <c r="H301" s="73">
        <f t="shared" ca="1" si="166"/>
        <v>6.6</v>
      </c>
      <c r="I301" s="15">
        <f t="shared" ca="1" si="167"/>
        <v>0</v>
      </c>
      <c r="J301" s="73">
        <f t="shared" ca="1" si="168"/>
        <v>755.29</v>
      </c>
      <c r="K301" s="15">
        <f t="shared" ca="1" si="169"/>
        <v>0</v>
      </c>
      <c r="L301" s="16">
        <f t="shared" ca="1" si="170"/>
        <v>757.4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>
        <f t="shared" ca="1" si="184"/>
        <v>24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1.5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>
        <f t="shared" ca="1" si="198"/>
        <v>90</v>
      </c>
      <c r="AO301" s="15">
        <f t="shared" ca="1" si="199"/>
        <v>0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19191028</v>
      </c>
      <c r="C302" s="72">
        <f t="shared" si="161"/>
        <v>700</v>
      </c>
      <c r="D302" s="16">
        <f t="shared" ca="1" si="162"/>
        <v>28.3</v>
      </c>
      <c r="E302" s="15">
        <f t="shared" ca="1" si="163"/>
        <v>0</v>
      </c>
      <c r="F302" s="73">
        <f t="shared" ca="1" si="164"/>
        <v>761.9</v>
      </c>
      <c r="G302" s="15">
        <f t="shared" ca="1" si="165"/>
        <v>0</v>
      </c>
      <c r="H302" s="73">
        <f t="shared" ca="1" si="166"/>
        <v>6.65</v>
      </c>
      <c r="I302" s="15">
        <f t="shared" ca="1" si="167"/>
        <v>0</v>
      </c>
      <c r="J302" s="73">
        <f t="shared" ca="1" si="168"/>
        <v>755.24</v>
      </c>
      <c r="K302" s="15">
        <f t="shared" ca="1" si="169"/>
        <v>0</v>
      </c>
      <c r="L302" s="16">
        <f t="shared" ca="1" si="170"/>
        <v>757.2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>
        <f t="shared" ca="1" si="184"/>
        <v>23.8</v>
      </c>
      <c r="AA302" s="15">
        <f t="shared" ca="1" si="185"/>
        <v>0</v>
      </c>
      <c r="AB302" s="9">
        <f t="shared" ca="1" si="186"/>
        <v>135</v>
      </c>
      <c r="AC302" s="15">
        <f t="shared" ca="1" si="187"/>
        <v>0</v>
      </c>
      <c r="AD302" s="76">
        <f t="shared" ca="1" si="188"/>
        <v>4.0999999999999996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>
        <f t="shared" ca="1" si="198"/>
        <v>90</v>
      </c>
      <c r="AO302" s="15">
        <f t="shared" ca="1" si="199"/>
        <v>0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19191029</v>
      </c>
      <c r="C303" s="72">
        <f t="shared" si="161"/>
        <v>700</v>
      </c>
      <c r="D303" s="16">
        <f t="shared" ca="1" si="162"/>
        <v>28.6</v>
      </c>
      <c r="E303" s="15">
        <f t="shared" ca="1" si="163"/>
        <v>0</v>
      </c>
      <c r="F303" s="73">
        <f t="shared" ca="1" si="164"/>
        <v>763.22</v>
      </c>
      <c r="G303" s="15">
        <f t="shared" ca="1" si="165"/>
        <v>0</v>
      </c>
      <c r="H303" s="73">
        <f t="shared" ca="1" si="166"/>
        <v>6.76</v>
      </c>
      <c r="I303" s="15">
        <f t="shared" ca="1" si="167"/>
        <v>0</v>
      </c>
      <c r="J303" s="73">
        <f t="shared" ca="1" si="168"/>
        <v>756.46</v>
      </c>
      <c r="K303" s="15">
        <f t="shared" ca="1" si="169"/>
        <v>0</v>
      </c>
      <c r="L303" s="16">
        <f t="shared" ca="1" si="170"/>
        <v>758.4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>
        <f t="shared" ca="1" si="184"/>
        <v>23.4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4.0999999999999996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>
        <f t="shared" ca="1" si="198"/>
        <v>90</v>
      </c>
      <c r="AO303" s="15">
        <f t="shared" ca="1" si="199"/>
        <v>0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19191030</v>
      </c>
      <c r="C304" s="72">
        <f t="shared" si="161"/>
        <v>700</v>
      </c>
      <c r="D304" s="16">
        <f t="shared" ca="1" si="162"/>
        <v>28.6</v>
      </c>
      <c r="E304" s="15">
        <f t="shared" ca="1" si="163"/>
        <v>0</v>
      </c>
      <c r="F304" s="73">
        <f t="shared" ca="1" si="164"/>
        <v>764.29</v>
      </c>
      <c r="G304" s="15">
        <f t="shared" ca="1" si="165"/>
        <v>0</v>
      </c>
      <c r="H304" s="73">
        <f t="shared" ca="1" si="166"/>
        <v>6.76</v>
      </c>
      <c r="I304" s="15">
        <f t="shared" ca="1" si="167"/>
        <v>0</v>
      </c>
      <c r="J304" s="73">
        <f t="shared" ca="1" si="168"/>
        <v>757.53</v>
      </c>
      <c r="K304" s="15">
        <f t="shared" ca="1" si="169"/>
        <v>0</v>
      </c>
      <c r="L304" s="16">
        <f t="shared" ca="1" si="170"/>
        <v>759.5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>
        <f t="shared" ca="1" si="184"/>
        <v>26.3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4.5999999999999996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>
        <f t="shared" ca="1" si="198"/>
        <v>90</v>
      </c>
      <c r="AO304" s="15">
        <f t="shared" ca="1" si="199"/>
        <v>0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19191031</v>
      </c>
      <c r="C305" s="72">
        <f t="shared" si="161"/>
        <v>700</v>
      </c>
      <c r="D305" s="16">
        <f t="shared" ca="1" si="162"/>
        <v>28.3</v>
      </c>
      <c r="E305" s="15">
        <f t="shared" ca="1" si="163"/>
        <v>0</v>
      </c>
      <c r="F305" s="73">
        <f t="shared" ca="1" si="164"/>
        <v>763.17</v>
      </c>
      <c r="G305" s="15">
        <f t="shared" ca="1" si="165"/>
        <v>0</v>
      </c>
      <c r="H305" s="73">
        <f t="shared" ca="1" si="166"/>
        <v>6.71</v>
      </c>
      <c r="I305" s="15">
        <f t="shared" ca="1" si="167"/>
        <v>0</v>
      </c>
      <c r="J305" s="73">
        <f t="shared" ca="1" si="168"/>
        <v>756.46</v>
      </c>
      <c r="K305" s="15">
        <f t="shared" ca="1" si="169"/>
        <v>0</v>
      </c>
      <c r="L305" s="16">
        <f t="shared" ca="1" si="170"/>
        <v>758.4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>
        <f t="shared" ca="1" si="184"/>
        <v>25.4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2.1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>
        <f t="shared" ca="1" si="198"/>
        <v>90</v>
      </c>
      <c r="AO305" s="15">
        <f t="shared" ca="1" si="199"/>
        <v>0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19191101</v>
      </c>
      <c r="C306" s="72">
        <f t="shared" si="161"/>
        <v>700</v>
      </c>
      <c r="D306" s="16">
        <f t="shared" ca="1" si="162"/>
        <v>28.3</v>
      </c>
      <c r="E306" s="15">
        <f t="shared" ca="1" si="163"/>
        <v>0</v>
      </c>
      <c r="F306" s="73">
        <f t="shared" ca="1" si="164"/>
        <v>763.7</v>
      </c>
      <c r="G306" s="15">
        <f t="shared" ca="1" si="165"/>
        <v>0</v>
      </c>
      <c r="H306" s="73">
        <f t="shared" ca="1" si="166"/>
        <v>6.71</v>
      </c>
      <c r="I306" s="15">
        <f t="shared" ca="1" si="167"/>
        <v>0</v>
      </c>
      <c r="J306" s="73">
        <f t="shared" ca="1" si="168"/>
        <v>757</v>
      </c>
      <c r="K306" s="15">
        <f t="shared" ca="1" si="169"/>
        <v>0</v>
      </c>
      <c r="L306" s="16">
        <f t="shared" ca="1" si="170"/>
        <v>759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>
        <f t="shared" ca="1" si="184"/>
        <v>25.2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3.1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>
        <f t="shared" ca="1" si="198"/>
        <v>90</v>
      </c>
      <c r="AO306" s="15">
        <f t="shared" ca="1" si="199"/>
        <v>0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19191102</v>
      </c>
      <c r="C307" s="72">
        <f t="shared" si="161"/>
        <v>700</v>
      </c>
      <c r="D307" s="16">
        <f t="shared" ca="1" si="162"/>
        <v>28.1</v>
      </c>
      <c r="E307" s="15">
        <f t="shared" ca="1" si="163"/>
        <v>0</v>
      </c>
      <c r="F307" s="73">
        <f t="shared" ca="1" si="164"/>
        <v>764.08</v>
      </c>
      <c r="G307" s="15">
        <f t="shared" ca="1" si="165"/>
        <v>0</v>
      </c>
      <c r="H307" s="73">
        <f t="shared" ca="1" si="166"/>
        <v>6.68</v>
      </c>
      <c r="I307" s="15">
        <f t="shared" ca="1" si="167"/>
        <v>0</v>
      </c>
      <c r="J307" s="73">
        <f t="shared" ca="1" si="168"/>
        <v>757.4</v>
      </c>
      <c r="K307" s="15">
        <f t="shared" ca="1" si="169"/>
        <v>0</v>
      </c>
      <c r="L307" s="16">
        <f t="shared" ca="1" si="170"/>
        <v>759.5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>
        <f t="shared" ca="1" si="184"/>
        <v>25.6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3.1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>
        <f t="shared" ca="1" si="198"/>
        <v>90</v>
      </c>
      <c r="AO307" s="15">
        <f t="shared" ca="1" si="199"/>
        <v>0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19191103</v>
      </c>
      <c r="C308" s="72">
        <f t="shared" si="161"/>
        <v>700</v>
      </c>
      <c r="D308" s="16">
        <f t="shared" ca="1" si="162"/>
        <v>28.3</v>
      </c>
      <c r="E308" s="15">
        <f t="shared" ca="1" si="163"/>
        <v>0</v>
      </c>
      <c r="F308" s="73">
        <f t="shared" ca="1" si="164"/>
        <v>764.29</v>
      </c>
      <c r="G308" s="15">
        <f t="shared" ca="1" si="165"/>
        <v>0</v>
      </c>
      <c r="H308" s="73">
        <f t="shared" ca="1" si="166"/>
        <v>6.71</v>
      </c>
      <c r="I308" s="15">
        <f t="shared" ca="1" si="167"/>
        <v>0</v>
      </c>
      <c r="J308" s="73">
        <f t="shared" ca="1" si="168"/>
        <v>757.58</v>
      </c>
      <c r="K308" s="15">
        <f t="shared" ca="1" si="169"/>
        <v>0</v>
      </c>
      <c r="L308" s="16">
        <f t="shared" ca="1" si="170"/>
        <v>759.7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>
        <f t="shared" ca="1" si="184"/>
        <v>23.4</v>
      </c>
      <c r="AA308" s="15">
        <f t="shared" ca="1" si="185"/>
        <v>0</v>
      </c>
      <c r="AB308" s="9">
        <f t="shared" ca="1" si="186"/>
        <v>135</v>
      </c>
      <c r="AC308" s="15">
        <f t="shared" ca="1" si="187"/>
        <v>0</v>
      </c>
      <c r="AD308" s="76">
        <f t="shared" ca="1" si="188"/>
        <v>4.0999999999999996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>
        <f t="shared" ca="1" si="198"/>
        <v>90</v>
      </c>
      <c r="AO308" s="15">
        <f t="shared" ca="1" si="199"/>
        <v>0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19191104</v>
      </c>
      <c r="C309" s="72">
        <f t="shared" si="161"/>
        <v>700</v>
      </c>
      <c r="D309" s="16">
        <f t="shared" ca="1" si="162"/>
        <v>28.3</v>
      </c>
      <c r="E309" s="15">
        <f t="shared" ca="1" si="163"/>
        <v>0</v>
      </c>
      <c r="F309" s="73">
        <f t="shared" ca="1" si="164"/>
        <v>763.65</v>
      </c>
      <c r="G309" s="15">
        <f t="shared" ca="1" si="165"/>
        <v>0</v>
      </c>
      <c r="H309" s="73">
        <f t="shared" ca="1" si="166"/>
        <v>6.71</v>
      </c>
      <c r="I309" s="15">
        <f t="shared" ca="1" si="167"/>
        <v>0</v>
      </c>
      <c r="J309" s="73">
        <f t="shared" ca="1" si="168"/>
        <v>756.95</v>
      </c>
      <c r="K309" s="15">
        <f t="shared" ca="1" si="169"/>
        <v>0</v>
      </c>
      <c r="L309" s="16">
        <f t="shared" ca="1" si="170"/>
        <v>759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>
        <f t="shared" ca="1" si="184"/>
        <v>25.8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4.5999999999999996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>
        <f t="shared" ca="1" si="198"/>
        <v>90</v>
      </c>
      <c r="AO309" s="15">
        <f t="shared" ca="1" si="199"/>
        <v>0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19191105</v>
      </c>
      <c r="C310" s="72">
        <f t="shared" si="161"/>
        <v>700</v>
      </c>
      <c r="D310" s="16">
        <f t="shared" ca="1" si="162"/>
        <v>28.3</v>
      </c>
      <c r="E310" s="15">
        <f t="shared" ca="1" si="163"/>
        <v>0</v>
      </c>
      <c r="F310" s="73">
        <f t="shared" ca="1" si="164"/>
        <v>763.65</v>
      </c>
      <c r="G310" s="15">
        <f t="shared" ca="1" si="165"/>
        <v>0</v>
      </c>
      <c r="H310" s="73">
        <f t="shared" ca="1" si="166"/>
        <v>6.71</v>
      </c>
      <c r="I310" s="15">
        <f t="shared" ca="1" si="167"/>
        <v>0</v>
      </c>
      <c r="J310" s="73">
        <f t="shared" ca="1" si="168"/>
        <v>756.95</v>
      </c>
      <c r="K310" s="15">
        <f t="shared" ca="1" si="169"/>
        <v>0</v>
      </c>
      <c r="L310" s="16">
        <f t="shared" ca="1" si="170"/>
        <v>759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>
        <f t="shared" ca="1" si="184"/>
        <v>26.4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5.0999999999999996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>
        <f t="shared" ca="1" si="198"/>
        <v>90</v>
      </c>
      <c r="AO310" s="15">
        <f t="shared" ca="1" si="199"/>
        <v>0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19191106</v>
      </c>
      <c r="C311" s="72">
        <f t="shared" si="161"/>
        <v>700</v>
      </c>
      <c r="D311" s="16">
        <f t="shared" ca="1" si="162"/>
        <v>28.3</v>
      </c>
      <c r="E311" s="15">
        <f t="shared" ca="1" si="163"/>
        <v>0</v>
      </c>
      <c r="F311" s="73">
        <f t="shared" ca="1" si="164"/>
        <v>763.52</v>
      </c>
      <c r="G311" s="15">
        <f t="shared" ca="1" si="165"/>
        <v>0</v>
      </c>
      <c r="H311" s="73">
        <f t="shared" ca="1" si="166"/>
        <v>6.71</v>
      </c>
      <c r="I311" s="15">
        <f t="shared" ca="1" si="167"/>
        <v>0</v>
      </c>
      <c r="J311" s="73">
        <f t="shared" ca="1" si="168"/>
        <v>756.82</v>
      </c>
      <c r="K311" s="15">
        <f t="shared" ca="1" si="169"/>
        <v>0</v>
      </c>
      <c r="L311" s="16">
        <f t="shared" ca="1" si="170"/>
        <v>759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>
        <f t="shared" ca="1" si="184"/>
        <v>25.6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3.1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>
        <f t="shared" ca="1" si="198"/>
        <v>90</v>
      </c>
      <c r="AO311" s="15">
        <f t="shared" ca="1" si="199"/>
        <v>0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19191107</v>
      </c>
      <c r="C312" s="72">
        <f t="shared" si="161"/>
        <v>700</v>
      </c>
      <c r="D312" s="16">
        <f t="shared" ca="1" si="162"/>
        <v>28.1</v>
      </c>
      <c r="E312" s="15">
        <f t="shared" ca="1" si="163"/>
        <v>0</v>
      </c>
      <c r="F312" s="73">
        <f t="shared" ca="1" si="164"/>
        <v>762.38</v>
      </c>
      <c r="G312" s="15">
        <f t="shared" ca="1" si="165"/>
        <v>0</v>
      </c>
      <c r="H312" s="73">
        <f t="shared" ca="1" si="166"/>
        <v>6.68</v>
      </c>
      <c r="I312" s="15">
        <f t="shared" ca="1" si="167"/>
        <v>0</v>
      </c>
      <c r="J312" s="73">
        <f t="shared" ca="1" si="168"/>
        <v>755.7</v>
      </c>
      <c r="K312" s="15">
        <f t="shared" ca="1" si="169"/>
        <v>0</v>
      </c>
      <c r="L312" s="16">
        <f t="shared" ca="1" si="170"/>
        <v>757.7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>
        <f t="shared" ca="1" si="184"/>
        <v>25.6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2.6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>
        <f t="shared" ca="1" si="198"/>
        <v>90</v>
      </c>
      <c r="AO312" s="15">
        <f t="shared" ca="1" si="199"/>
        <v>0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19191108</v>
      </c>
      <c r="C313" s="72">
        <f t="shared" si="161"/>
        <v>700</v>
      </c>
      <c r="D313" s="16">
        <f t="shared" ca="1" si="162"/>
        <v>28.1</v>
      </c>
      <c r="E313" s="15">
        <f t="shared" ca="1" si="163"/>
        <v>0</v>
      </c>
      <c r="F313" s="73">
        <f t="shared" ca="1" si="164"/>
        <v>762.61</v>
      </c>
      <c r="G313" s="15">
        <f t="shared" ca="1" si="165"/>
        <v>0</v>
      </c>
      <c r="H313" s="73">
        <f t="shared" ca="1" si="166"/>
        <v>6.68</v>
      </c>
      <c r="I313" s="15">
        <f t="shared" ca="1" si="167"/>
        <v>0</v>
      </c>
      <c r="J313" s="73">
        <f t="shared" ca="1" si="168"/>
        <v>755.93</v>
      </c>
      <c r="K313" s="15">
        <f t="shared" ca="1" si="169"/>
        <v>0</v>
      </c>
      <c r="L313" s="16">
        <f t="shared" ca="1" si="170"/>
        <v>757.9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>
        <f t="shared" ca="1" si="184"/>
        <v>25.6</v>
      </c>
      <c r="AA313" s="15">
        <f t="shared" ca="1" si="185"/>
        <v>0</v>
      </c>
      <c r="AB313" s="9">
        <f t="shared" ca="1" si="186"/>
        <v>45</v>
      </c>
      <c r="AC313" s="15">
        <f t="shared" ca="1" si="187"/>
        <v>0</v>
      </c>
      <c r="AD313" s="76">
        <f t="shared" ca="1" si="188"/>
        <v>2.6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>
        <f t="shared" ca="1" si="198"/>
        <v>90</v>
      </c>
      <c r="AO313" s="15">
        <f t="shared" ca="1" si="199"/>
        <v>0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19191109</v>
      </c>
      <c r="C314" s="72">
        <f t="shared" si="161"/>
        <v>700</v>
      </c>
      <c r="D314" s="16">
        <f t="shared" ca="1" si="162"/>
        <v>27.8</v>
      </c>
      <c r="E314" s="15">
        <f t="shared" ca="1" si="163"/>
        <v>0</v>
      </c>
      <c r="F314" s="73">
        <f t="shared" ca="1" si="164"/>
        <v>762.38</v>
      </c>
      <c r="G314" s="15">
        <f t="shared" ca="1" si="165"/>
        <v>0</v>
      </c>
      <c r="H314" s="73">
        <f t="shared" ca="1" si="166"/>
        <v>6.65</v>
      </c>
      <c r="I314" s="15">
        <f t="shared" ca="1" si="167"/>
        <v>0</v>
      </c>
      <c r="J314" s="73">
        <f t="shared" ca="1" si="168"/>
        <v>755.73</v>
      </c>
      <c r="K314" s="15">
        <f t="shared" ca="1" si="169"/>
        <v>0</v>
      </c>
      <c r="L314" s="16">
        <f t="shared" ca="1" si="170"/>
        <v>757.7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>
        <f t="shared" ca="1" si="184"/>
        <v>25.3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2.6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>
        <f t="shared" ca="1" si="198"/>
        <v>90</v>
      </c>
      <c r="AO314" s="15">
        <f t="shared" ca="1" si="199"/>
        <v>0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19191110</v>
      </c>
      <c r="C315" s="72">
        <f t="shared" si="161"/>
        <v>700</v>
      </c>
      <c r="D315" s="16">
        <f t="shared" ca="1" si="162"/>
        <v>28.3</v>
      </c>
      <c r="E315" s="15">
        <f t="shared" ca="1" si="163"/>
        <v>0</v>
      </c>
      <c r="F315" s="73">
        <f t="shared" ca="1" si="164"/>
        <v>762.3</v>
      </c>
      <c r="G315" s="15">
        <f t="shared" ca="1" si="165"/>
        <v>0</v>
      </c>
      <c r="H315" s="73">
        <f t="shared" ca="1" si="166"/>
        <v>6.71</v>
      </c>
      <c r="I315" s="15">
        <f t="shared" ca="1" si="167"/>
        <v>0</v>
      </c>
      <c r="J315" s="73">
        <f t="shared" ca="1" si="168"/>
        <v>755.6</v>
      </c>
      <c r="K315" s="15">
        <f t="shared" ca="1" si="169"/>
        <v>0</v>
      </c>
      <c r="L315" s="16">
        <f t="shared" ca="1" si="170"/>
        <v>757.7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>
        <f t="shared" ca="1" si="184"/>
        <v>25.2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2.6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>
        <f t="shared" ca="1" si="198"/>
        <v>90</v>
      </c>
      <c r="AO315" s="15">
        <f t="shared" ca="1" si="199"/>
        <v>0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19191111</v>
      </c>
      <c r="C316" s="72">
        <f t="shared" si="161"/>
        <v>700</v>
      </c>
      <c r="D316" s="16">
        <f t="shared" ca="1" si="162"/>
        <v>27.8</v>
      </c>
      <c r="E316" s="15">
        <f t="shared" ca="1" si="163"/>
        <v>0</v>
      </c>
      <c r="F316" s="73">
        <f t="shared" ca="1" si="164"/>
        <v>762.15</v>
      </c>
      <c r="G316" s="15">
        <f t="shared" ca="1" si="165"/>
        <v>0</v>
      </c>
      <c r="H316" s="73">
        <f t="shared" ca="1" si="166"/>
        <v>6.65</v>
      </c>
      <c r="I316" s="15">
        <f t="shared" ca="1" si="167"/>
        <v>0</v>
      </c>
      <c r="J316" s="73">
        <f t="shared" ca="1" si="168"/>
        <v>755.5</v>
      </c>
      <c r="K316" s="15">
        <f t="shared" ca="1" si="169"/>
        <v>0</v>
      </c>
      <c r="L316" s="16">
        <f t="shared" ca="1" si="170"/>
        <v>757.4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>
        <f t="shared" ca="1" si="184"/>
        <v>25.7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1.5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>
        <f t="shared" ca="1" si="198"/>
        <v>90</v>
      </c>
      <c r="AO316" s="15">
        <f t="shared" ca="1" si="199"/>
        <v>0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19191112</v>
      </c>
      <c r="C317" s="72">
        <f t="shared" si="161"/>
        <v>700</v>
      </c>
      <c r="D317" s="16">
        <f t="shared" ca="1" si="162"/>
        <v>26.9</v>
      </c>
      <c r="E317" s="15">
        <f t="shared" ca="1" si="163"/>
        <v>0</v>
      </c>
      <c r="F317" s="73">
        <f t="shared" ca="1" si="164"/>
        <v>761.59</v>
      </c>
      <c r="G317" s="15">
        <f t="shared" ca="1" si="165"/>
        <v>0</v>
      </c>
      <c r="H317" s="73">
        <f t="shared" ca="1" si="166"/>
        <v>6.63</v>
      </c>
      <c r="I317" s="15">
        <f t="shared" ca="1" si="167"/>
        <v>0</v>
      </c>
      <c r="J317" s="73">
        <f t="shared" ca="1" si="168"/>
        <v>754.96</v>
      </c>
      <c r="K317" s="15">
        <f t="shared" ca="1" si="169"/>
        <v>0</v>
      </c>
      <c r="L317" s="16">
        <f t="shared" ca="1" si="170"/>
        <v>756.9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>
        <f t="shared" ca="1" si="184"/>
        <v>23.9</v>
      </c>
      <c r="AA317" s="15">
        <f t="shared" ca="1" si="185"/>
        <v>0</v>
      </c>
      <c r="AB317" s="9">
        <f t="shared" ca="1" si="186"/>
        <v>45</v>
      </c>
      <c r="AC317" s="15">
        <f t="shared" ca="1" si="187"/>
        <v>0</v>
      </c>
      <c r="AD317" s="76">
        <f t="shared" ca="1" si="188"/>
        <v>3.6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>
        <f t="shared" ca="1" si="198"/>
        <v>90</v>
      </c>
      <c r="AO317" s="15">
        <f t="shared" ca="1" si="199"/>
        <v>0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19191113</v>
      </c>
      <c r="C318" s="72">
        <f t="shared" si="161"/>
        <v>700</v>
      </c>
      <c r="D318" s="16">
        <f t="shared" ca="1" si="162"/>
        <v>27.2</v>
      </c>
      <c r="E318" s="15">
        <f t="shared" ca="1" si="163"/>
        <v>0</v>
      </c>
      <c r="F318" s="73">
        <f t="shared" ca="1" si="164"/>
        <v>761.19</v>
      </c>
      <c r="G318" s="15">
        <f t="shared" ca="1" si="165"/>
        <v>0</v>
      </c>
      <c r="H318" s="73">
        <f t="shared" ca="1" si="166"/>
        <v>6.53</v>
      </c>
      <c r="I318" s="15">
        <f t="shared" ca="1" si="167"/>
        <v>0</v>
      </c>
      <c r="J318" s="73">
        <f t="shared" ca="1" si="168"/>
        <v>754.66</v>
      </c>
      <c r="K318" s="15">
        <f t="shared" ca="1" si="169"/>
        <v>0</v>
      </c>
      <c r="L318" s="16">
        <f t="shared" ca="1" si="170"/>
        <v>756.7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>
        <f t="shared" ca="1" si="184"/>
        <v>23.4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1.5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>
        <f t="shared" ca="1" si="198"/>
        <v>90</v>
      </c>
      <c r="AO318" s="15">
        <f t="shared" ca="1" si="199"/>
        <v>0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19191114</v>
      </c>
      <c r="C319" s="72">
        <f t="shared" si="161"/>
        <v>700</v>
      </c>
      <c r="D319" s="16">
        <f t="shared" ca="1" si="162"/>
        <v>26.9</v>
      </c>
      <c r="E319" s="15">
        <f t="shared" ca="1" si="163"/>
        <v>0</v>
      </c>
      <c r="F319" s="73">
        <f t="shared" ca="1" si="164"/>
        <v>761.8</v>
      </c>
      <c r="G319" s="15">
        <f t="shared" ca="1" si="165"/>
        <v>0</v>
      </c>
      <c r="H319" s="73">
        <f t="shared" ca="1" si="166"/>
        <v>6.48</v>
      </c>
      <c r="I319" s="15">
        <f t="shared" ca="1" si="167"/>
        <v>0</v>
      </c>
      <c r="J319" s="73">
        <f t="shared" ca="1" si="168"/>
        <v>755.32</v>
      </c>
      <c r="K319" s="15">
        <f t="shared" ca="1" si="169"/>
        <v>0</v>
      </c>
      <c r="L319" s="16">
        <f t="shared" ca="1" si="170"/>
        <v>757.4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>
        <f t="shared" ca="1" si="184"/>
        <v>25.2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2.6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>
        <f t="shared" ca="1" si="198"/>
        <v>90</v>
      </c>
      <c r="AO319" s="15">
        <f t="shared" ca="1" si="199"/>
        <v>0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19191115</v>
      </c>
      <c r="C320" s="72">
        <f t="shared" si="161"/>
        <v>700</v>
      </c>
      <c r="D320" s="16">
        <f t="shared" ca="1" si="162"/>
        <v>27.2</v>
      </c>
      <c r="E320" s="15">
        <f t="shared" ca="1" si="163"/>
        <v>0</v>
      </c>
      <c r="F320" s="73">
        <f t="shared" ca="1" si="164"/>
        <v>763.83</v>
      </c>
      <c r="G320" s="15">
        <f t="shared" ca="1" si="165"/>
        <v>0</v>
      </c>
      <c r="H320" s="73">
        <f t="shared" ca="1" si="166"/>
        <v>6.58</v>
      </c>
      <c r="I320" s="15">
        <f t="shared" ca="1" si="167"/>
        <v>0</v>
      </c>
      <c r="J320" s="73">
        <f t="shared" ca="1" si="168"/>
        <v>757.25</v>
      </c>
      <c r="K320" s="15">
        <f t="shared" ca="1" si="169"/>
        <v>0</v>
      </c>
      <c r="L320" s="16">
        <f t="shared" ca="1" si="170"/>
        <v>759.2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>
        <f t="shared" ca="1" si="184"/>
        <v>24.6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2.1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>
        <f t="shared" ca="1" si="198"/>
        <v>90</v>
      </c>
      <c r="AO320" s="15">
        <f t="shared" ca="1" si="199"/>
        <v>0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19191116</v>
      </c>
      <c r="C321" s="72">
        <f t="shared" si="161"/>
        <v>700</v>
      </c>
      <c r="D321" s="16">
        <f t="shared" ca="1" si="162"/>
        <v>27.2</v>
      </c>
      <c r="E321" s="15">
        <f t="shared" ca="1" si="163"/>
        <v>0</v>
      </c>
      <c r="F321" s="73">
        <f t="shared" ca="1" si="164"/>
        <v>763.02</v>
      </c>
      <c r="G321" s="15">
        <f t="shared" ca="1" si="165"/>
        <v>0</v>
      </c>
      <c r="H321" s="73">
        <f t="shared" ca="1" si="166"/>
        <v>6.58</v>
      </c>
      <c r="I321" s="15">
        <f t="shared" ca="1" si="167"/>
        <v>0</v>
      </c>
      <c r="J321" s="73">
        <f t="shared" ca="1" si="168"/>
        <v>756.44</v>
      </c>
      <c r="K321" s="15">
        <f t="shared" ca="1" si="169"/>
        <v>0</v>
      </c>
      <c r="L321" s="16">
        <f t="shared" ca="1" si="170"/>
        <v>758.4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>
        <f t="shared" ca="1" si="184"/>
        <v>25.1</v>
      </c>
      <c r="AA321" s="15">
        <f t="shared" ca="1" si="185"/>
        <v>0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4.0999999999999996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>
        <f t="shared" ca="1" si="198"/>
        <v>90</v>
      </c>
      <c r="AO321" s="15">
        <f t="shared" ca="1" si="199"/>
        <v>0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19191117</v>
      </c>
      <c r="C322" s="72">
        <f t="shared" ref="C322:C366" si="201">Tijd</f>
        <v>700</v>
      </c>
      <c r="D322" s="16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27.8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322" s="73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762.41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322" s="73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6.65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322" s="73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755.75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757.7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25.7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3.6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19191118</v>
      </c>
      <c r="C323" s="72">
        <f t="shared" si="201"/>
        <v>700</v>
      </c>
      <c r="D323" s="16">
        <f t="shared" ca="1" si="202"/>
        <v>27.5</v>
      </c>
      <c r="E323" s="15">
        <f t="shared" ca="1" si="203"/>
        <v>0</v>
      </c>
      <c r="F323" s="73">
        <f t="shared" ca="1" si="204"/>
        <v>761.8</v>
      </c>
      <c r="G323" s="15">
        <f t="shared" ca="1" si="205"/>
        <v>0</v>
      </c>
      <c r="H323" s="73">
        <f t="shared" ca="1" si="206"/>
        <v>6.55</v>
      </c>
      <c r="I323" s="15">
        <f t="shared" ca="1" si="207"/>
        <v>0</v>
      </c>
      <c r="J323" s="73">
        <f t="shared" ca="1" si="208"/>
        <v>755.24</v>
      </c>
      <c r="K323" s="15">
        <f t="shared" ca="1" si="209"/>
        <v>0</v>
      </c>
      <c r="L323" s="16">
        <f t="shared" ca="1" si="210"/>
        <v>757.2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>
        <f t="shared" ca="1" si="224"/>
        <v>25.6</v>
      </c>
      <c r="AA323" s="15">
        <f t="shared" ca="1" si="225"/>
        <v>0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1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>
        <f t="shared" ca="1" si="238"/>
        <v>90</v>
      </c>
      <c r="AO323" s="15">
        <f t="shared" ca="1" si="239"/>
        <v>0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19191119</v>
      </c>
      <c r="C324" s="72">
        <f t="shared" si="201"/>
        <v>700</v>
      </c>
      <c r="D324" s="16">
        <f t="shared" ca="1" si="202"/>
        <v>27.8</v>
      </c>
      <c r="E324" s="15">
        <f t="shared" ca="1" si="203"/>
        <v>0</v>
      </c>
      <c r="F324" s="73">
        <f t="shared" ca="1" si="204"/>
        <v>762.46</v>
      </c>
      <c r="G324" s="15">
        <f t="shared" ca="1" si="205"/>
        <v>0</v>
      </c>
      <c r="H324" s="73">
        <f t="shared" ca="1" si="206"/>
        <v>6.65</v>
      </c>
      <c r="I324" s="15">
        <f t="shared" ca="1" si="207"/>
        <v>0</v>
      </c>
      <c r="J324" s="73">
        <f t="shared" ca="1" si="208"/>
        <v>755.8</v>
      </c>
      <c r="K324" s="15">
        <f t="shared" ca="1" si="209"/>
        <v>0</v>
      </c>
      <c r="L324" s="16">
        <f t="shared" ca="1" si="210"/>
        <v>757.9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>
        <f t="shared" ca="1" si="224"/>
        <v>25.3</v>
      </c>
      <c r="AA324" s="15">
        <f t="shared" ca="1" si="225"/>
        <v>0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1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>
        <f t="shared" ca="1" si="238"/>
        <v>90</v>
      </c>
      <c r="AO324" s="15">
        <f t="shared" ca="1" si="239"/>
        <v>0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19191120</v>
      </c>
      <c r="C325" s="72">
        <f t="shared" si="201"/>
        <v>700</v>
      </c>
      <c r="D325" s="16">
        <f t="shared" ca="1" si="202"/>
        <v>28.1</v>
      </c>
      <c r="E325" s="15">
        <f t="shared" ca="1" si="203"/>
        <v>0</v>
      </c>
      <c r="F325" s="73">
        <f t="shared" ca="1" si="204"/>
        <v>763.65</v>
      </c>
      <c r="G325" s="15">
        <f t="shared" ca="1" si="205"/>
        <v>0</v>
      </c>
      <c r="H325" s="73">
        <f t="shared" ca="1" si="206"/>
        <v>6.68</v>
      </c>
      <c r="I325" s="15">
        <f t="shared" ca="1" si="207"/>
        <v>0</v>
      </c>
      <c r="J325" s="73">
        <f t="shared" ca="1" si="208"/>
        <v>756.97</v>
      </c>
      <c r="K325" s="15">
        <f t="shared" ca="1" si="209"/>
        <v>0</v>
      </c>
      <c r="L325" s="16">
        <f t="shared" ca="1" si="210"/>
        <v>759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>
        <f t="shared" ca="1" si="224"/>
        <v>26.4</v>
      </c>
      <c r="AA325" s="15">
        <f t="shared" ca="1" si="225"/>
        <v>0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4.0999999999999996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>
        <f t="shared" ca="1" si="238"/>
        <v>90</v>
      </c>
      <c r="AO325" s="15">
        <f t="shared" ca="1" si="239"/>
        <v>0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19191121</v>
      </c>
      <c r="C326" s="72">
        <f t="shared" si="201"/>
        <v>700</v>
      </c>
      <c r="D326" s="16">
        <f t="shared" ca="1" si="202"/>
        <v>28.1</v>
      </c>
      <c r="E326" s="15">
        <f t="shared" ca="1" si="203"/>
        <v>0</v>
      </c>
      <c r="F326" s="73">
        <f t="shared" ca="1" si="204"/>
        <v>763.65</v>
      </c>
      <c r="G326" s="15">
        <f t="shared" ca="1" si="205"/>
        <v>0</v>
      </c>
      <c r="H326" s="73">
        <f t="shared" ca="1" si="206"/>
        <v>6.68</v>
      </c>
      <c r="I326" s="15">
        <f t="shared" ca="1" si="207"/>
        <v>0</v>
      </c>
      <c r="J326" s="73">
        <f t="shared" ca="1" si="208"/>
        <v>756.97</v>
      </c>
      <c r="K326" s="15">
        <f t="shared" ca="1" si="209"/>
        <v>0</v>
      </c>
      <c r="L326" s="16">
        <f t="shared" ca="1" si="210"/>
        <v>759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>
        <f t="shared" ca="1" si="224"/>
        <v>25</v>
      </c>
      <c r="AA326" s="15">
        <f t="shared" ca="1" si="225"/>
        <v>0</v>
      </c>
      <c r="AB326" s="9">
        <f t="shared" ca="1" si="226"/>
        <v>90</v>
      </c>
      <c r="AC326" s="15">
        <f t="shared" ca="1" si="227"/>
        <v>0</v>
      </c>
      <c r="AD326" s="76">
        <f t="shared" ca="1" si="228"/>
        <v>3.6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>
        <f t="shared" ca="1" si="238"/>
        <v>90</v>
      </c>
      <c r="AO326" s="15">
        <f t="shared" ca="1" si="239"/>
        <v>0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19191122</v>
      </c>
      <c r="C327" s="72">
        <f t="shared" si="201"/>
        <v>700</v>
      </c>
      <c r="D327" s="16">
        <f t="shared" ca="1" si="202"/>
        <v>27.8</v>
      </c>
      <c r="E327" s="15">
        <f t="shared" ca="1" si="203"/>
        <v>0</v>
      </c>
      <c r="F327" s="73">
        <f t="shared" ca="1" si="204"/>
        <v>762.97</v>
      </c>
      <c r="G327" s="15">
        <f t="shared" ca="1" si="205"/>
        <v>0</v>
      </c>
      <c r="H327" s="73">
        <f t="shared" ca="1" si="206"/>
        <v>6.65</v>
      </c>
      <c r="I327" s="15">
        <f t="shared" ca="1" si="207"/>
        <v>0</v>
      </c>
      <c r="J327" s="73">
        <f t="shared" ca="1" si="208"/>
        <v>756.31</v>
      </c>
      <c r="K327" s="15">
        <f t="shared" ca="1" si="209"/>
        <v>0</v>
      </c>
      <c r="L327" s="16">
        <f t="shared" ca="1" si="210"/>
        <v>758.4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>
        <f t="shared" ca="1" si="224"/>
        <v>26</v>
      </c>
      <c r="AA327" s="15">
        <f t="shared" ca="1" si="225"/>
        <v>0</v>
      </c>
      <c r="AB327" s="9">
        <f t="shared" ca="1" si="226"/>
        <v>45</v>
      </c>
      <c r="AC327" s="15">
        <f t="shared" ca="1" si="227"/>
        <v>0</v>
      </c>
      <c r="AD327" s="76">
        <f t="shared" ca="1" si="228"/>
        <v>1</v>
      </c>
      <c r="AE327" s="15">
        <f t="shared" ca="1" si="229"/>
        <v>0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>
        <f t="shared" ca="1" si="238"/>
        <v>45</v>
      </c>
      <c r="AO327" s="15">
        <f t="shared" ca="1" si="239"/>
        <v>0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19191123</v>
      </c>
      <c r="C328" s="72">
        <f t="shared" si="201"/>
        <v>700</v>
      </c>
      <c r="D328" s="16">
        <f t="shared" ca="1" si="202"/>
        <v>27.2</v>
      </c>
      <c r="E328" s="15">
        <f t="shared" ca="1" si="203"/>
        <v>0</v>
      </c>
      <c r="F328" s="73">
        <f t="shared" ca="1" si="204"/>
        <v>762.56</v>
      </c>
      <c r="G328" s="15">
        <f t="shared" ca="1" si="205"/>
        <v>0</v>
      </c>
      <c r="H328" s="73">
        <f t="shared" ca="1" si="206"/>
        <v>6.86</v>
      </c>
      <c r="I328" s="15">
        <f t="shared" ca="1" si="207"/>
        <v>0</v>
      </c>
      <c r="J328" s="73">
        <f t="shared" ca="1" si="208"/>
        <v>755.7</v>
      </c>
      <c r="K328" s="15">
        <f t="shared" ca="1" si="209"/>
        <v>0</v>
      </c>
      <c r="L328" s="16">
        <f t="shared" ca="1" si="210"/>
        <v>757.7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>
        <f t="shared" ca="1" si="224"/>
        <v>23.7</v>
      </c>
      <c r="AA328" s="15">
        <f t="shared" ca="1" si="225"/>
        <v>0</v>
      </c>
      <c r="AB328" s="9">
        <f t="shared" ca="1" si="226"/>
        <v>90</v>
      </c>
      <c r="AC328" s="15">
        <f t="shared" ca="1" si="227"/>
        <v>0</v>
      </c>
      <c r="AD328" s="76">
        <f t="shared" ca="1" si="228"/>
        <v>1</v>
      </c>
      <c r="AE328" s="15">
        <f t="shared" ca="1" si="229"/>
        <v>0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>
        <f t="shared" ca="1" si="238"/>
        <v>90</v>
      </c>
      <c r="AO328" s="15">
        <f t="shared" ca="1" si="239"/>
        <v>0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19191124</v>
      </c>
      <c r="C329" s="72">
        <f t="shared" si="201"/>
        <v>700</v>
      </c>
      <c r="D329" s="16">
        <f t="shared" ca="1" si="202"/>
        <v>27.2</v>
      </c>
      <c r="E329" s="15">
        <f t="shared" ca="1" si="203"/>
        <v>0</v>
      </c>
      <c r="F329" s="73">
        <f t="shared" ca="1" si="204"/>
        <v>762.25</v>
      </c>
      <c r="G329" s="15">
        <f t="shared" ca="1" si="205"/>
        <v>0</v>
      </c>
      <c r="H329" s="73">
        <f t="shared" ca="1" si="206"/>
        <v>6.58</v>
      </c>
      <c r="I329" s="15">
        <f t="shared" ca="1" si="207"/>
        <v>0</v>
      </c>
      <c r="J329" s="73">
        <f t="shared" ca="1" si="208"/>
        <v>755.68</v>
      </c>
      <c r="K329" s="15">
        <f t="shared" ca="1" si="209"/>
        <v>0</v>
      </c>
      <c r="L329" s="16">
        <f t="shared" ca="1" si="210"/>
        <v>757.7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>
        <f t="shared" ca="1" si="224"/>
        <v>25.3</v>
      </c>
      <c r="AA329" s="15">
        <f t="shared" ca="1" si="225"/>
        <v>0</v>
      </c>
      <c r="AB329" s="9">
        <f t="shared" ca="1" si="226"/>
        <v>90</v>
      </c>
      <c r="AC329" s="15">
        <f t="shared" ca="1" si="227"/>
        <v>0</v>
      </c>
      <c r="AD329" s="76">
        <f t="shared" ca="1" si="228"/>
        <v>2.1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>
        <f t="shared" ca="1" si="238"/>
        <v>90</v>
      </c>
      <c r="AO329" s="15">
        <f t="shared" ca="1" si="239"/>
        <v>0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19191125</v>
      </c>
      <c r="C330" s="72">
        <f t="shared" si="201"/>
        <v>700</v>
      </c>
      <c r="D330" s="16">
        <f t="shared" ca="1" si="202"/>
        <v>27.8</v>
      </c>
      <c r="E330" s="15">
        <f t="shared" ca="1" si="203"/>
        <v>0</v>
      </c>
      <c r="F330" s="73">
        <f t="shared" ca="1" si="204"/>
        <v>763.17</v>
      </c>
      <c r="G330" s="15">
        <f t="shared" ca="1" si="205"/>
        <v>0</v>
      </c>
      <c r="H330" s="73">
        <f t="shared" ca="1" si="206"/>
        <v>6.65</v>
      </c>
      <c r="I330" s="15">
        <f t="shared" ca="1" si="207"/>
        <v>0</v>
      </c>
      <c r="J330" s="73">
        <f t="shared" ca="1" si="208"/>
        <v>756.51</v>
      </c>
      <c r="K330" s="15">
        <f t="shared" ca="1" si="209"/>
        <v>0</v>
      </c>
      <c r="L330" s="16">
        <f t="shared" ca="1" si="210"/>
        <v>758.4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>
        <f t="shared" ca="1" si="224"/>
        <v>26.1</v>
      </c>
      <c r="AA330" s="15">
        <f t="shared" ca="1" si="225"/>
        <v>0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4.0999999999999996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>
        <f t="shared" ca="1" si="238"/>
        <v>90</v>
      </c>
      <c r="AO330" s="15">
        <f t="shared" ca="1" si="239"/>
        <v>0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19191126</v>
      </c>
      <c r="C331" s="72">
        <f t="shared" si="201"/>
        <v>700</v>
      </c>
      <c r="D331" s="16">
        <f t="shared" ca="1" si="202"/>
        <v>27.5</v>
      </c>
      <c r="E331" s="15">
        <f t="shared" ca="1" si="203"/>
        <v>0</v>
      </c>
      <c r="F331" s="73">
        <f t="shared" ca="1" si="204"/>
        <v>763.09</v>
      </c>
      <c r="G331" s="15">
        <f t="shared" ca="1" si="205"/>
        <v>0</v>
      </c>
      <c r="H331" s="73">
        <f t="shared" ca="1" si="206"/>
        <v>6.6</v>
      </c>
      <c r="I331" s="15">
        <f t="shared" ca="1" si="207"/>
        <v>0</v>
      </c>
      <c r="J331" s="73">
        <f t="shared" ca="1" si="208"/>
        <v>756.49</v>
      </c>
      <c r="K331" s="15">
        <f t="shared" ca="1" si="209"/>
        <v>0</v>
      </c>
      <c r="L331" s="16">
        <f t="shared" ca="1" si="210"/>
        <v>758.4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>
        <f t="shared" ca="1" si="224"/>
        <v>24.1</v>
      </c>
      <c r="AA331" s="15">
        <f t="shared" ca="1" si="225"/>
        <v>0</v>
      </c>
      <c r="AB331" s="9">
        <f t="shared" ca="1" si="226"/>
        <v>90</v>
      </c>
      <c r="AC331" s="15">
        <f t="shared" ca="1" si="227"/>
        <v>0</v>
      </c>
      <c r="AD331" s="76">
        <f t="shared" ca="1" si="228"/>
        <v>2.6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>
        <f t="shared" ca="1" si="238"/>
        <v>90</v>
      </c>
      <c r="AO331" s="15">
        <f t="shared" ca="1" si="239"/>
        <v>0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19191127</v>
      </c>
      <c r="C332" s="72">
        <f t="shared" si="201"/>
        <v>700</v>
      </c>
      <c r="D332" s="16">
        <f t="shared" ca="1" si="202"/>
        <v>26.7</v>
      </c>
      <c r="E332" s="15">
        <f t="shared" ca="1" si="203"/>
        <v>0</v>
      </c>
      <c r="F332" s="73">
        <f t="shared" ca="1" si="204"/>
        <v>760.98</v>
      </c>
      <c r="G332" s="15">
        <f t="shared" ca="1" si="205"/>
        <v>0</v>
      </c>
      <c r="H332" s="73">
        <f t="shared" ca="1" si="206"/>
        <v>6.45</v>
      </c>
      <c r="I332" s="15">
        <f t="shared" ca="1" si="207"/>
        <v>0</v>
      </c>
      <c r="J332" s="73">
        <f t="shared" ca="1" si="208"/>
        <v>754.53</v>
      </c>
      <c r="K332" s="15">
        <f t="shared" ca="1" si="209"/>
        <v>0</v>
      </c>
      <c r="L332" s="16">
        <f t="shared" ca="1" si="210"/>
        <v>756.7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>
        <f t="shared" ca="1" si="224"/>
        <v>23.4</v>
      </c>
      <c r="AA332" s="15">
        <f t="shared" ca="1" si="225"/>
        <v>0</v>
      </c>
      <c r="AB332" s="9">
        <f t="shared" ca="1" si="226"/>
        <v>90</v>
      </c>
      <c r="AC332" s="15">
        <f t="shared" ca="1" si="227"/>
        <v>0</v>
      </c>
      <c r="AD332" s="76">
        <f t="shared" ca="1" si="228"/>
        <v>2.6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>
        <f t="shared" ca="1" si="238"/>
        <v>90</v>
      </c>
      <c r="AO332" s="15">
        <f t="shared" ca="1" si="239"/>
        <v>0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19191128</v>
      </c>
      <c r="C333" s="72">
        <f t="shared" si="201"/>
        <v>700</v>
      </c>
      <c r="D333" s="16">
        <f t="shared" ca="1" si="202"/>
        <v>28.9</v>
      </c>
      <c r="E333" s="15">
        <f t="shared" ca="1" si="203"/>
        <v>0</v>
      </c>
      <c r="F333" s="73">
        <f t="shared" ca="1" si="204"/>
        <v>760.68</v>
      </c>
      <c r="G333" s="15">
        <f t="shared" ca="1" si="205"/>
        <v>0</v>
      </c>
      <c r="H333" s="73">
        <f t="shared" ca="1" si="206"/>
        <v>6.73</v>
      </c>
      <c r="I333" s="15">
        <f t="shared" ca="1" si="207"/>
        <v>0</v>
      </c>
      <c r="J333" s="73">
        <f t="shared" ca="1" si="208"/>
        <v>753.95</v>
      </c>
      <c r="K333" s="15">
        <f t="shared" ca="1" si="209"/>
        <v>0</v>
      </c>
      <c r="L333" s="16">
        <f t="shared" ca="1" si="210"/>
        <v>755.9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>
        <f t="shared" ca="1" si="224"/>
        <v>22.1</v>
      </c>
      <c r="AA333" s="15">
        <f t="shared" ca="1" si="225"/>
        <v>0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3.6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>
        <f t="shared" ca="1" si="238"/>
        <v>90</v>
      </c>
      <c r="AO333" s="15">
        <f t="shared" ca="1" si="239"/>
        <v>0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19191129</v>
      </c>
      <c r="C334" s="72">
        <f t="shared" si="201"/>
        <v>700</v>
      </c>
      <c r="D334" s="16">
        <f t="shared" ca="1" si="202"/>
        <v>27.2</v>
      </c>
      <c r="E334" s="15">
        <f t="shared" ca="1" si="203"/>
        <v>0</v>
      </c>
      <c r="F334" s="73">
        <f t="shared" ca="1" si="204"/>
        <v>760.5</v>
      </c>
      <c r="G334" s="15">
        <f t="shared" ca="1" si="205"/>
        <v>0</v>
      </c>
      <c r="H334" s="73">
        <f t="shared" ca="1" si="206"/>
        <v>6.53</v>
      </c>
      <c r="I334" s="15">
        <f t="shared" ca="1" si="207"/>
        <v>0</v>
      </c>
      <c r="J334" s="73">
        <f t="shared" ca="1" si="208"/>
        <v>753.97</v>
      </c>
      <c r="K334" s="15">
        <f t="shared" ca="1" si="209"/>
        <v>0</v>
      </c>
      <c r="L334" s="16">
        <f t="shared" ca="1" si="210"/>
        <v>755.9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>
        <f t="shared" ca="1" si="224"/>
        <v>22.4</v>
      </c>
      <c r="AA334" s="15">
        <f t="shared" ca="1" si="225"/>
        <v>0</v>
      </c>
      <c r="AB334" s="9">
        <f t="shared" ca="1" si="226"/>
        <v>90</v>
      </c>
      <c r="AC334" s="15">
        <f t="shared" ca="1" si="227"/>
        <v>0</v>
      </c>
      <c r="AD334" s="76">
        <f t="shared" ca="1" si="228"/>
        <v>1.5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>
        <f t="shared" ca="1" si="238"/>
        <v>90</v>
      </c>
      <c r="AO334" s="15">
        <f t="shared" ca="1" si="239"/>
        <v>0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19191130</v>
      </c>
      <c r="C335" s="72">
        <f t="shared" si="201"/>
        <v>700</v>
      </c>
      <c r="D335" s="16">
        <f t="shared" ca="1" si="202"/>
        <v>27.2</v>
      </c>
      <c r="E335" s="15">
        <f t="shared" ca="1" si="203"/>
        <v>0</v>
      </c>
      <c r="F335" s="73">
        <f t="shared" ca="1" si="204"/>
        <v>760.5</v>
      </c>
      <c r="G335" s="15">
        <f t="shared" ca="1" si="205"/>
        <v>0</v>
      </c>
      <c r="H335" s="73">
        <f t="shared" ca="1" si="206"/>
        <v>6.53</v>
      </c>
      <c r="I335" s="15">
        <f t="shared" ca="1" si="207"/>
        <v>0</v>
      </c>
      <c r="J335" s="73">
        <f t="shared" ca="1" si="208"/>
        <v>753.21</v>
      </c>
      <c r="K335" s="15">
        <f t="shared" ca="1" si="209"/>
        <v>0</v>
      </c>
      <c r="L335" s="16">
        <f t="shared" ca="1" si="210"/>
        <v>755.9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>
        <f t="shared" ca="1" si="224"/>
        <v>23.4</v>
      </c>
      <c r="AA335" s="15">
        <f t="shared" ca="1" si="225"/>
        <v>0</v>
      </c>
      <c r="AB335" s="9">
        <f t="shared" ca="1" si="226"/>
        <v>90</v>
      </c>
      <c r="AC335" s="15">
        <f t="shared" ca="1" si="227"/>
        <v>0</v>
      </c>
      <c r="AD335" s="76">
        <f t="shared" ca="1" si="228"/>
        <v>4.0999999999999996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>
        <f t="shared" ca="1" si="238"/>
        <v>90</v>
      </c>
      <c r="AO335" s="15">
        <f t="shared" ca="1" si="239"/>
        <v>0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19191201</v>
      </c>
      <c r="C336" s="72">
        <f t="shared" si="201"/>
        <v>700</v>
      </c>
      <c r="D336" s="16">
        <f t="shared" ca="1" si="202"/>
        <v>27.5</v>
      </c>
      <c r="E336" s="15">
        <f t="shared" ca="1" si="203"/>
        <v>0</v>
      </c>
      <c r="F336" s="73">
        <f t="shared" ca="1" si="204"/>
        <v>763.35</v>
      </c>
      <c r="G336" s="15">
        <f t="shared" ca="1" si="205"/>
        <v>0</v>
      </c>
      <c r="H336" s="73">
        <f t="shared" ca="1" si="206"/>
        <v>6.6</v>
      </c>
      <c r="I336" s="15">
        <f t="shared" ca="1" si="207"/>
        <v>0</v>
      </c>
      <c r="J336" s="73">
        <f t="shared" ca="1" si="208"/>
        <v>756.74</v>
      </c>
      <c r="K336" s="15">
        <f t="shared" ca="1" si="209"/>
        <v>0</v>
      </c>
      <c r="L336" s="16">
        <f t="shared" ca="1" si="210"/>
        <v>758.7</v>
      </c>
      <c r="M336" s="15">
        <f t="shared" ca="1" si="211"/>
        <v>0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>
        <f t="shared" ca="1" si="222"/>
        <v>26.7</v>
      </c>
      <c r="Y336" s="15">
        <f t="shared" ca="1" si="223"/>
        <v>0</v>
      </c>
      <c r="Z336" s="16">
        <f t="shared" ca="1" si="224"/>
        <v>24.5</v>
      </c>
      <c r="AA336" s="15">
        <f t="shared" ca="1" si="225"/>
        <v>0</v>
      </c>
      <c r="AB336" s="9">
        <f t="shared" ca="1" si="226"/>
        <v>90</v>
      </c>
      <c r="AC336" s="15">
        <f t="shared" ca="1" si="227"/>
        <v>0</v>
      </c>
      <c r="AD336" s="76">
        <f t="shared" ca="1" si="228"/>
        <v>3.1</v>
      </c>
      <c r="AE336" s="15">
        <f t="shared" ca="1" si="229"/>
        <v>0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>
        <f t="shared" ca="1" si="238"/>
        <v>90</v>
      </c>
      <c r="AO336" s="15">
        <f t="shared" ca="1" si="239"/>
        <v>0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19191202</v>
      </c>
      <c r="C337" s="72">
        <f t="shared" si="201"/>
        <v>700</v>
      </c>
      <c r="D337" s="16">
        <f t="shared" ca="1" si="202"/>
        <v>27.5</v>
      </c>
      <c r="E337" s="15">
        <f t="shared" ca="1" si="203"/>
        <v>0</v>
      </c>
      <c r="F337" s="73">
        <f t="shared" ca="1" si="204"/>
        <v>763.52</v>
      </c>
      <c r="G337" s="15">
        <f t="shared" ca="1" si="205"/>
        <v>0</v>
      </c>
      <c r="H337" s="73">
        <f t="shared" ca="1" si="206"/>
        <v>6.6</v>
      </c>
      <c r="I337" s="15">
        <f t="shared" ca="1" si="207"/>
        <v>0</v>
      </c>
      <c r="J337" s="73">
        <f t="shared" ca="1" si="208"/>
        <v>756.92</v>
      </c>
      <c r="K337" s="15">
        <f t="shared" ca="1" si="209"/>
        <v>0</v>
      </c>
      <c r="L337" s="16">
        <f t="shared" ca="1" si="210"/>
        <v>759</v>
      </c>
      <c r="M337" s="15">
        <f t="shared" ca="1" si="211"/>
        <v>0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>
        <f t="shared" ca="1" si="222"/>
        <v>30.4</v>
      </c>
      <c r="Y337" s="15">
        <f t="shared" ca="1" si="223"/>
        <v>0</v>
      </c>
      <c r="Z337" s="16">
        <f t="shared" ca="1" si="224"/>
        <v>25.4</v>
      </c>
      <c r="AA337" s="15">
        <f t="shared" ca="1" si="225"/>
        <v>0</v>
      </c>
      <c r="AB337" s="9">
        <f t="shared" ca="1" si="226"/>
        <v>90</v>
      </c>
      <c r="AC337" s="15">
        <f t="shared" ca="1" si="227"/>
        <v>0</v>
      </c>
      <c r="AD337" s="76">
        <f t="shared" ca="1" si="228"/>
        <v>3.1</v>
      </c>
      <c r="AE337" s="15">
        <f t="shared" ca="1" si="229"/>
        <v>0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>
        <f t="shared" ca="1" si="238"/>
        <v>90</v>
      </c>
      <c r="AO337" s="15">
        <f t="shared" ca="1" si="239"/>
        <v>0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19191203</v>
      </c>
      <c r="C338" s="72">
        <f t="shared" si="201"/>
        <v>700</v>
      </c>
      <c r="D338" s="16">
        <f t="shared" ca="1" si="202"/>
        <v>27.2</v>
      </c>
      <c r="E338" s="15">
        <f t="shared" ca="1" si="203"/>
        <v>0</v>
      </c>
      <c r="F338" s="73">
        <f t="shared" ca="1" si="204"/>
        <v>762.94</v>
      </c>
      <c r="G338" s="15">
        <f t="shared" ca="1" si="205"/>
        <v>0</v>
      </c>
      <c r="H338" s="73">
        <f t="shared" ca="1" si="206"/>
        <v>6.58</v>
      </c>
      <c r="I338" s="15">
        <f t="shared" ca="1" si="207"/>
        <v>0</v>
      </c>
      <c r="J338" s="73">
        <f t="shared" ca="1" si="208"/>
        <v>756.36</v>
      </c>
      <c r="K338" s="15">
        <f t="shared" ca="1" si="209"/>
        <v>0</v>
      </c>
      <c r="L338" s="16">
        <f t="shared" ca="1" si="210"/>
        <v>758.4</v>
      </c>
      <c r="M338" s="15">
        <f t="shared" ca="1" si="211"/>
        <v>0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>
        <f t="shared" ca="1" si="222"/>
        <v>30</v>
      </c>
      <c r="Y338" s="15">
        <f t="shared" ca="1" si="223"/>
        <v>0</v>
      </c>
      <c r="Z338" s="16">
        <f t="shared" ca="1" si="224"/>
        <v>24.3</v>
      </c>
      <c r="AA338" s="15">
        <f t="shared" ca="1" si="225"/>
        <v>0</v>
      </c>
      <c r="AB338" s="9">
        <f t="shared" ca="1" si="226"/>
        <v>90</v>
      </c>
      <c r="AC338" s="15">
        <f t="shared" ca="1" si="227"/>
        <v>0</v>
      </c>
      <c r="AD338" s="76">
        <f t="shared" ca="1" si="228"/>
        <v>3.1</v>
      </c>
      <c r="AE338" s="15">
        <f t="shared" ca="1" si="229"/>
        <v>0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>
        <f t="shared" ca="1" si="238"/>
        <v>90</v>
      </c>
      <c r="AO338" s="15">
        <f t="shared" ca="1" si="239"/>
        <v>0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19191204</v>
      </c>
      <c r="C339" s="72">
        <f t="shared" si="201"/>
        <v>700</v>
      </c>
      <c r="D339" s="16">
        <f t="shared" ca="1" si="202"/>
        <v>27.2</v>
      </c>
      <c r="E339" s="15">
        <f t="shared" ca="1" si="203"/>
        <v>0</v>
      </c>
      <c r="F339" s="73">
        <f t="shared" ca="1" si="204"/>
        <v>763.55</v>
      </c>
      <c r="G339" s="15">
        <f t="shared" ca="1" si="205"/>
        <v>0</v>
      </c>
      <c r="H339" s="73">
        <f t="shared" ca="1" si="206"/>
        <v>6.58</v>
      </c>
      <c r="I339" s="15">
        <f t="shared" ca="1" si="207"/>
        <v>0</v>
      </c>
      <c r="J339" s="73">
        <f t="shared" ca="1" si="208"/>
        <v>756.97</v>
      </c>
      <c r="K339" s="15">
        <f t="shared" ca="1" si="209"/>
        <v>0</v>
      </c>
      <c r="L339" s="16">
        <f t="shared" ca="1" si="210"/>
        <v>759</v>
      </c>
      <c r="M339" s="15">
        <f t="shared" ca="1" si="211"/>
        <v>0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>
        <f t="shared" ca="1" si="222"/>
        <v>29.9</v>
      </c>
      <c r="Y339" s="15">
        <f t="shared" ca="1" si="223"/>
        <v>0</v>
      </c>
      <c r="Z339" s="16">
        <f t="shared" ca="1" si="224"/>
        <v>25.3</v>
      </c>
      <c r="AA339" s="15">
        <f t="shared" ca="1" si="225"/>
        <v>0</v>
      </c>
      <c r="AB339" s="9">
        <f t="shared" ca="1" si="226"/>
        <v>45</v>
      </c>
      <c r="AC339" s="15">
        <f t="shared" ca="1" si="227"/>
        <v>0</v>
      </c>
      <c r="AD339" s="76">
        <f t="shared" ca="1" si="228"/>
        <v>4.0999999999999996</v>
      </c>
      <c r="AE339" s="15">
        <f t="shared" ca="1" si="229"/>
        <v>0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>
        <f t="shared" ca="1" si="238"/>
        <v>90</v>
      </c>
      <c r="AO339" s="15">
        <f t="shared" ca="1" si="239"/>
        <v>0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19191205</v>
      </c>
      <c r="C340" s="72">
        <f t="shared" si="201"/>
        <v>700</v>
      </c>
      <c r="D340" s="16">
        <f t="shared" ca="1" si="202"/>
        <v>26.9</v>
      </c>
      <c r="E340" s="15">
        <f t="shared" ca="1" si="203"/>
        <v>0</v>
      </c>
      <c r="F340" s="73">
        <f t="shared" ca="1" si="204"/>
        <v>764.34</v>
      </c>
      <c r="G340" s="15">
        <f t="shared" ca="1" si="205"/>
        <v>0</v>
      </c>
      <c r="H340" s="73">
        <f t="shared" ca="1" si="206"/>
        <v>6.55</v>
      </c>
      <c r="I340" s="15">
        <f t="shared" ca="1" si="207"/>
        <v>0</v>
      </c>
      <c r="J340" s="73">
        <f t="shared" ca="1" si="208"/>
        <v>757.78</v>
      </c>
      <c r="K340" s="15">
        <f t="shared" ca="1" si="209"/>
        <v>0</v>
      </c>
      <c r="L340" s="16">
        <f t="shared" ca="1" si="210"/>
        <v>759.7</v>
      </c>
      <c r="M340" s="15">
        <f t="shared" ca="1" si="211"/>
        <v>0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>
        <f t="shared" ca="1" si="222"/>
        <v>29.5</v>
      </c>
      <c r="Y340" s="15">
        <f t="shared" ca="1" si="223"/>
        <v>0</v>
      </c>
      <c r="Z340" s="16">
        <f t="shared" ca="1" si="224"/>
        <v>24.9</v>
      </c>
      <c r="AA340" s="15">
        <f t="shared" ca="1" si="225"/>
        <v>0</v>
      </c>
      <c r="AB340" s="9">
        <f t="shared" ca="1" si="226"/>
        <v>90</v>
      </c>
      <c r="AC340" s="15">
        <f t="shared" ca="1" si="227"/>
        <v>0</v>
      </c>
      <c r="AD340" s="76">
        <f t="shared" ca="1" si="228"/>
        <v>4.0999999999999996</v>
      </c>
      <c r="AE340" s="15">
        <f t="shared" ca="1" si="229"/>
        <v>0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>
        <f t="shared" ca="1" si="238"/>
        <v>90</v>
      </c>
      <c r="AO340" s="15">
        <f t="shared" ca="1" si="239"/>
        <v>0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19191206</v>
      </c>
      <c r="C341" s="72">
        <f t="shared" si="201"/>
        <v>700</v>
      </c>
      <c r="D341" s="16">
        <f t="shared" ca="1" si="202"/>
        <v>27.2</v>
      </c>
      <c r="E341" s="15">
        <f t="shared" ca="1" si="203"/>
        <v>0</v>
      </c>
      <c r="F341" s="73">
        <f t="shared" ca="1" si="204"/>
        <v>764.36</v>
      </c>
      <c r="G341" s="15">
        <f t="shared" ca="1" si="205"/>
        <v>0</v>
      </c>
      <c r="H341" s="73">
        <f t="shared" ca="1" si="206"/>
        <v>6.58</v>
      </c>
      <c r="I341" s="15">
        <f t="shared" ca="1" si="207"/>
        <v>0</v>
      </c>
      <c r="J341" s="73">
        <f t="shared" ca="1" si="208"/>
        <v>757.78</v>
      </c>
      <c r="K341" s="15">
        <f t="shared" ca="1" si="209"/>
        <v>0</v>
      </c>
      <c r="L341" s="16">
        <f t="shared" ca="1" si="210"/>
        <v>759.7</v>
      </c>
      <c r="M341" s="15">
        <f t="shared" ca="1" si="211"/>
        <v>0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>
        <f t="shared" ca="1" si="222"/>
        <v>29.6</v>
      </c>
      <c r="Y341" s="15">
        <f t="shared" ca="1" si="223"/>
        <v>0</v>
      </c>
      <c r="Z341" s="16">
        <f t="shared" ca="1" si="224"/>
        <v>25.3</v>
      </c>
      <c r="AA341" s="15">
        <f t="shared" ca="1" si="225"/>
        <v>0</v>
      </c>
      <c r="AB341" s="9">
        <f t="shared" ca="1" si="226"/>
        <v>45</v>
      </c>
      <c r="AC341" s="15">
        <f t="shared" ca="1" si="227"/>
        <v>0</v>
      </c>
      <c r="AD341" s="76">
        <f t="shared" ca="1" si="228"/>
        <v>6.2</v>
      </c>
      <c r="AE341" s="15">
        <f t="shared" ca="1" si="229"/>
        <v>0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>
        <f t="shared" ca="1" si="238"/>
        <v>90</v>
      </c>
      <c r="AO341" s="15">
        <f t="shared" ca="1" si="239"/>
        <v>0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19191207</v>
      </c>
      <c r="C342" s="72">
        <f t="shared" si="201"/>
        <v>700</v>
      </c>
      <c r="D342" s="16">
        <f t="shared" ca="1" si="202"/>
        <v>26.7</v>
      </c>
      <c r="E342" s="15">
        <f t="shared" ca="1" si="203"/>
        <v>0</v>
      </c>
      <c r="F342" s="73">
        <f t="shared" ca="1" si="204"/>
        <v>763.42</v>
      </c>
      <c r="G342" s="15">
        <f t="shared" ca="1" si="205"/>
        <v>0</v>
      </c>
      <c r="H342" s="73">
        <f t="shared" ca="1" si="206"/>
        <v>6.5</v>
      </c>
      <c r="I342" s="15">
        <f t="shared" ca="1" si="207"/>
        <v>0</v>
      </c>
      <c r="J342" s="73">
        <f t="shared" ca="1" si="208"/>
        <v>756.92</v>
      </c>
      <c r="K342" s="15">
        <f t="shared" ca="1" si="209"/>
        <v>0</v>
      </c>
      <c r="L342" s="16">
        <f t="shared" ca="1" si="210"/>
        <v>759</v>
      </c>
      <c r="M342" s="15">
        <f t="shared" ca="1" si="211"/>
        <v>0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>
        <f t="shared" ca="1" si="222"/>
        <v>27.9</v>
      </c>
      <c r="Y342" s="15">
        <f t="shared" ca="1" si="223"/>
        <v>0</v>
      </c>
      <c r="Z342" s="16">
        <f t="shared" ca="1" si="224"/>
        <v>23.5</v>
      </c>
      <c r="AA342" s="15">
        <f t="shared" ca="1" si="225"/>
        <v>0</v>
      </c>
      <c r="AB342" s="9">
        <f t="shared" ca="1" si="226"/>
        <v>90</v>
      </c>
      <c r="AC342" s="15">
        <f t="shared" ca="1" si="227"/>
        <v>0</v>
      </c>
      <c r="AD342" s="76">
        <f t="shared" ca="1" si="228"/>
        <v>4.5999999999999996</v>
      </c>
      <c r="AE342" s="15">
        <f t="shared" ca="1" si="229"/>
        <v>0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>
        <f t="shared" ca="1" si="238"/>
        <v>90</v>
      </c>
      <c r="AO342" s="15">
        <f t="shared" ca="1" si="239"/>
        <v>0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19191208</v>
      </c>
      <c r="C343" s="72">
        <f t="shared" si="201"/>
        <v>700</v>
      </c>
      <c r="D343" s="16">
        <f t="shared" ca="1" si="202"/>
        <v>26.9</v>
      </c>
      <c r="E343" s="15">
        <f t="shared" ca="1" si="203"/>
        <v>0</v>
      </c>
      <c r="F343" s="73">
        <f t="shared" ca="1" si="204"/>
        <v>764.08</v>
      </c>
      <c r="G343" s="15">
        <f t="shared" ca="1" si="205"/>
        <v>0</v>
      </c>
      <c r="H343" s="73">
        <f t="shared" ca="1" si="206"/>
        <v>6.55</v>
      </c>
      <c r="I343" s="15">
        <f t="shared" ca="1" si="207"/>
        <v>0</v>
      </c>
      <c r="J343" s="73">
        <f t="shared" ca="1" si="208"/>
        <v>757.53</v>
      </c>
      <c r="K343" s="15">
        <f t="shared" ca="1" si="209"/>
        <v>0</v>
      </c>
      <c r="L343" s="16">
        <f t="shared" ca="1" si="210"/>
        <v>759.5</v>
      </c>
      <c r="M343" s="15">
        <f t="shared" ca="1" si="211"/>
        <v>0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>
        <f t="shared" ca="1" si="222"/>
        <v>29.4</v>
      </c>
      <c r="Y343" s="15">
        <f t="shared" ca="1" si="223"/>
        <v>0</v>
      </c>
      <c r="Z343" s="16">
        <f t="shared" ca="1" si="224"/>
        <v>25.3</v>
      </c>
      <c r="AA343" s="15">
        <f t="shared" ca="1" si="225"/>
        <v>0</v>
      </c>
      <c r="AB343" s="9">
        <f t="shared" ca="1" si="226"/>
        <v>90</v>
      </c>
      <c r="AC343" s="15">
        <f t="shared" ca="1" si="227"/>
        <v>0</v>
      </c>
      <c r="AD343" s="76">
        <f t="shared" ca="1" si="228"/>
        <v>4.0999999999999996</v>
      </c>
      <c r="AE343" s="15">
        <f t="shared" ca="1" si="229"/>
        <v>0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>
        <f t="shared" ca="1" si="238"/>
        <v>90</v>
      </c>
      <c r="AO343" s="15">
        <f t="shared" ca="1" si="239"/>
        <v>0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19191209</v>
      </c>
      <c r="C344" s="72">
        <f t="shared" si="201"/>
        <v>700</v>
      </c>
      <c r="D344" s="16">
        <f t="shared" ca="1" si="202"/>
        <v>26.9</v>
      </c>
      <c r="E344" s="15">
        <f t="shared" ca="1" si="203"/>
        <v>0</v>
      </c>
      <c r="F344" s="73">
        <f t="shared" ca="1" si="204"/>
        <v>764.59</v>
      </c>
      <c r="G344" s="15">
        <f t="shared" ca="1" si="205"/>
        <v>0</v>
      </c>
      <c r="H344" s="73">
        <f t="shared" ca="1" si="206"/>
        <v>6.55</v>
      </c>
      <c r="I344" s="15">
        <f t="shared" ca="1" si="207"/>
        <v>0</v>
      </c>
      <c r="J344" s="73">
        <f t="shared" ca="1" si="208"/>
        <v>758.04</v>
      </c>
      <c r="K344" s="15">
        <f t="shared" ca="1" si="209"/>
        <v>0</v>
      </c>
      <c r="L344" s="16">
        <f t="shared" ca="1" si="210"/>
        <v>760</v>
      </c>
      <c r="M344" s="15">
        <f t="shared" ca="1" si="211"/>
        <v>0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>
        <f t="shared" ca="1" si="222"/>
        <v>29.7</v>
      </c>
      <c r="Y344" s="15">
        <f t="shared" ca="1" si="223"/>
        <v>0</v>
      </c>
      <c r="Z344" s="16">
        <f t="shared" ca="1" si="224"/>
        <v>24.7</v>
      </c>
      <c r="AA344" s="15">
        <f t="shared" ca="1" si="225"/>
        <v>0</v>
      </c>
      <c r="AB344" s="9">
        <f t="shared" ca="1" si="226"/>
        <v>90</v>
      </c>
      <c r="AC344" s="15">
        <f t="shared" ca="1" si="227"/>
        <v>0</v>
      </c>
      <c r="AD344" s="76">
        <f t="shared" ca="1" si="228"/>
        <v>4.0999999999999996</v>
      </c>
      <c r="AE344" s="15">
        <f t="shared" ca="1" si="229"/>
        <v>0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>
        <f t="shared" ca="1" si="238"/>
        <v>90</v>
      </c>
      <c r="AO344" s="15">
        <f t="shared" ca="1" si="239"/>
        <v>0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19191210</v>
      </c>
      <c r="C345" s="72">
        <f t="shared" si="201"/>
        <v>700</v>
      </c>
      <c r="D345" s="16">
        <f t="shared" ca="1" si="202"/>
        <v>26.1</v>
      </c>
      <c r="E345" s="15">
        <f t="shared" ca="1" si="203"/>
        <v>0</v>
      </c>
      <c r="F345" s="73">
        <f t="shared" ca="1" si="204"/>
        <v>763.83</v>
      </c>
      <c r="G345" s="15">
        <f t="shared" ca="1" si="205"/>
        <v>0</v>
      </c>
      <c r="H345" s="73">
        <f t="shared" ca="1" si="206"/>
        <v>6.45</v>
      </c>
      <c r="I345" s="15">
        <f t="shared" ca="1" si="207"/>
        <v>0</v>
      </c>
      <c r="J345" s="73">
        <f t="shared" ca="1" si="208"/>
        <v>757.38</v>
      </c>
      <c r="K345" s="15">
        <f t="shared" ca="1" si="209"/>
        <v>0</v>
      </c>
      <c r="L345" s="16">
        <f t="shared" ca="1" si="210"/>
        <v>759.5</v>
      </c>
      <c r="M345" s="15">
        <f t="shared" ca="1" si="211"/>
        <v>0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>
        <f t="shared" ca="1" si="222"/>
        <v>28.9</v>
      </c>
      <c r="Y345" s="15">
        <f t="shared" ca="1" si="223"/>
        <v>0</v>
      </c>
      <c r="Z345" s="16">
        <f t="shared" ca="1" si="224"/>
        <v>22.5</v>
      </c>
      <c r="AA345" s="15">
        <f t="shared" ca="1" si="225"/>
        <v>0</v>
      </c>
      <c r="AB345" s="9">
        <f t="shared" ca="1" si="226"/>
        <v>90</v>
      </c>
      <c r="AC345" s="15">
        <f t="shared" ca="1" si="227"/>
        <v>0</v>
      </c>
      <c r="AD345" s="76">
        <f t="shared" ca="1" si="228"/>
        <v>1</v>
      </c>
      <c r="AE345" s="15">
        <f t="shared" ca="1" si="229"/>
        <v>0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>
        <f t="shared" ca="1" si="238"/>
        <v>90</v>
      </c>
      <c r="AO345" s="15">
        <f t="shared" ca="1" si="239"/>
        <v>0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19191211</v>
      </c>
      <c r="C346" s="72">
        <f t="shared" si="201"/>
        <v>700</v>
      </c>
      <c r="D346" s="16">
        <f t="shared" ca="1" si="202"/>
        <v>25.3</v>
      </c>
      <c r="E346" s="15">
        <f t="shared" ca="1" si="203"/>
        <v>0</v>
      </c>
      <c r="F346" s="73">
        <f t="shared" ca="1" si="204"/>
        <v>762.46</v>
      </c>
      <c r="G346" s="15">
        <f t="shared" ca="1" si="205"/>
        <v>0</v>
      </c>
      <c r="H346" s="73">
        <f t="shared" ca="1" si="206"/>
        <v>6.35</v>
      </c>
      <c r="I346" s="15">
        <f t="shared" ca="1" si="207"/>
        <v>0</v>
      </c>
      <c r="J346" s="73">
        <f t="shared" ca="1" si="208"/>
        <v>756.11</v>
      </c>
      <c r="K346" s="15">
        <f t="shared" ca="1" si="209"/>
        <v>0</v>
      </c>
      <c r="L346" s="16">
        <f t="shared" ca="1" si="210"/>
        <v>758.2</v>
      </c>
      <c r="M346" s="15">
        <f t="shared" ca="1" si="211"/>
        <v>0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>
        <f t="shared" ca="1" si="222"/>
        <v>27.8</v>
      </c>
      <c r="Y346" s="15">
        <f t="shared" ca="1" si="223"/>
        <v>0</v>
      </c>
      <c r="Z346" s="16">
        <f t="shared" ca="1" si="224"/>
        <v>22.4</v>
      </c>
      <c r="AA346" s="15">
        <f t="shared" ca="1" si="225"/>
        <v>0</v>
      </c>
      <c r="AB346" s="9">
        <f t="shared" ca="1" si="226"/>
        <v>90</v>
      </c>
      <c r="AC346" s="15">
        <f t="shared" ca="1" si="227"/>
        <v>0</v>
      </c>
      <c r="AD346" s="76">
        <f t="shared" ca="1" si="228"/>
        <v>1</v>
      </c>
      <c r="AE346" s="15">
        <f t="shared" ca="1" si="229"/>
        <v>0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>
        <f t="shared" ca="1" si="238"/>
        <v>90</v>
      </c>
      <c r="AO346" s="15">
        <f t="shared" ca="1" si="239"/>
        <v>0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19191212</v>
      </c>
      <c r="C347" s="72">
        <f t="shared" si="201"/>
        <v>700</v>
      </c>
      <c r="D347" s="16">
        <f t="shared" ca="1" si="202"/>
        <v>26.1</v>
      </c>
      <c r="E347" s="15">
        <f t="shared" ca="1" si="203"/>
        <v>0</v>
      </c>
      <c r="F347" s="73">
        <f t="shared" ca="1" si="204"/>
        <v>763.19</v>
      </c>
      <c r="G347" s="15">
        <f t="shared" ca="1" si="205"/>
        <v>0</v>
      </c>
      <c r="H347" s="73">
        <f t="shared" ca="1" si="206"/>
        <v>6.45</v>
      </c>
      <c r="I347" s="15">
        <f t="shared" ca="1" si="207"/>
        <v>0</v>
      </c>
      <c r="J347" s="73">
        <f t="shared" ca="1" si="208"/>
        <v>756.74</v>
      </c>
      <c r="K347" s="15">
        <f t="shared" ca="1" si="209"/>
        <v>0</v>
      </c>
      <c r="L347" s="16">
        <f t="shared" ca="1" si="210"/>
        <v>758.7</v>
      </c>
      <c r="M347" s="15">
        <f t="shared" ca="1" si="211"/>
        <v>0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>
        <f t="shared" ca="1" si="222"/>
        <v>27.9</v>
      </c>
      <c r="Y347" s="15">
        <f t="shared" ca="1" si="223"/>
        <v>0</v>
      </c>
      <c r="Z347" s="16">
        <f t="shared" ca="1" si="224"/>
        <v>23.7</v>
      </c>
      <c r="AA347" s="15">
        <f t="shared" ca="1" si="225"/>
        <v>0</v>
      </c>
      <c r="AB347" s="9">
        <f t="shared" ca="1" si="226"/>
        <v>90</v>
      </c>
      <c r="AC347" s="15">
        <f t="shared" ca="1" si="227"/>
        <v>0</v>
      </c>
      <c r="AD347" s="76">
        <f t="shared" ca="1" si="228"/>
        <v>2.6</v>
      </c>
      <c r="AE347" s="15">
        <f t="shared" ca="1" si="229"/>
        <v>0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>
        <f t="shared" ca="1" si="238"/>
        <v>90</v>
      </c>
      <c r="AO347" s="15">
        <f t="shared" ca="1" si="239"/>
        <v>0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19191213</v>
      </c>
      <c r="C348" s="72">
        <f t="shared" si="201"/>
        <v>700</v>
      </c>
      <c r="D348" s="16">
        <f t="shared" ca="1" si="202"/>
        <v>26.9</v>
      </c>
      <c r="E348" s="15">
        <f t="shared" ca="1" si="203"/>
        <v>0</v>
      </c>
      <c r="F348" s="73">
        <f t="shared" ca="1" si="204"/>
        <v>764.54</v>
      </c>
      <c r="G348" s="15">
        <f t="shared" ca="1" si="205"/>
        <v>0</v>
      </c>
      <c r="H348" s="73">
        <f t="shared" ca="1" si="206"/>
        <v>6.55</v>
      </c>
      <c r="I348" s="15">
        <f t="shared" ca="1" si="207"/>
        <v>0</v>
      </c>
      <c r="J348" s="73">
        <f t="shared" ca="1" si="208"/>
        <v>757.99</v>
      </c>
      <c r="K348" s="15">
        <f t="shared" ca="1" si="209"/>
        <v>0</v>
      </c>
      <c r="L348" s="16">
        <f t="shared" ca="1" si="210"/>
        <v>760</v>
      </c>
      <c r="M348" s="15">
        <f t="shared" ca="1" si="211"/>
        <v>0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>
        <f t="shared" ca="1" si="222"/>
        <v>29.6</v>
      </c>
      <c r="Y348" s="15">
        <f t="shared" ca="1" si="223"/>
        <v>0</v>
      </c>
      <c r="Z348" s="16">
        <f t="shared" ca="1" si="224"/>
        <v>25.3</v>
      </c>
      <c r="AA348" s="15">
        <f t="shared" ca="1" si="225"/>
        <v>0</v>
      </c>
      <c r="AB348" s="9">
        <f t="shared" ca="1" si="226"/>
        <v>90</v>
      </c>
      <c r="AC348" s="15">
        <f t="shared" ca="1" si="227"/>
        <v>0</v>
      </c>
      <c r="AD348" s="76">
        <f t="shared" ca="1" si="228"/>
        <v>4.0999999999999996</v>
      </c>
      <c r="AE348" s="15">
        <f t="shared" ca="1" si="229"/>
        <v>0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>
        <f t="shared" ca="1" si="238"/>
        <v>90</v>
      </c>
      <c r="AO348" s="15">
        <f t="shared" ca="1" si="239"/>
        <v>0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19191214</v>
      </c>
      <c r="C349" s="72">
        <f t="shared" si="201"/>
        <v>700</v>
      </c>
      <c r="D349" s="16">
        <f t="shared" ca="1" si="202"/>
        <v>26.7</v>
      </c>
      <c r="E349" s="15">
        <f t="shared" ca="1" si="203"/>
        <v>0</v>
      </c>
      <c r="F349" s="73">
        <f t="shared" ca="1" si="204"/>
        <v>765.05</v>
      </c>
      <c r="G349" s="15">
        <f t="shared" ca="1" si="205"/>
        <v>0</v>
      </c>
      <c r="H349" s="73">
        <f t="shared" ca="1" si="206"/>
        <v>6.5</v>
      </c>
      <c r="I349" s="15">
        <f t="shared" ca="1" si="207"/>
        <v>0</v>
      </c>
      <c r="J349" s="73">
        <f t="shared" ca="1" si="208"/>
        <v>758.55</v>
      </c>
      <c r="K349" s="15">
        <f t="shared" ca="1" si="209"/>
        <v>0</v>
      </c>
      <c r="L349" s="16">
        <f t="shared" ca="1" si="210"/>
        <v>760.5</v>
      </c>
      <c r="M349" s="15">
        <f t="shared" ca="1" si="211"/>
        <v>0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>
        <f t="shared" ca="1" si="222"/>
        <v>29.8</v>
      </c>
      <c r="Y349" s="15">
        <f t="shared" ca="1" si="223"/>
        <v>0</v>
      </c>
      <c r="Z349" s="16">
        <f t="shared" ca="1" si="224"/>
        <v>23.3</v>
      </c>
      <c r="AA349" s="15">
        <f t="shared" ca="1" si="225"/>
        <v>0</v>
      </c>
      <c r="AB349" s="9">
        <f t="shared" ca="1" si="226"/>
        <v>90</v>
      </c>
      <c r="AC349" s="15">
        <f t="shared" ca="1" si="227"/>
        <v>0</v>
      </c>
      <c r="AD349" s="76">
        <f t="shared" ca="1" si="228"/>
        <v>4.0999999999999996</v>
      </c>
      <c r="AE349" s="15">
        <f t="shared" ca="1" si="229"/>
        <v>0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>
        <f t="shared" ca="1" si="238"/>
        <v>90</v>
      </c>
      <c r="AO349" s="15">
        <f t="shared" ca="1" si="239"/>
        <v>0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19191215</v>
      </c>
      <c r="C350" s="72">
        <f t="shared" si="201"/>
        <v>700</v>
      </c>
      <c r="D350" s="16">
        <f t="shared" ca="1" si="202"/>
        <v>27.2</v>
      </c>
      <c r="E350" s="15">
        <f t="shared" ca="1" si="203"/>
        <v>0</v>
      </c>
      <c r="F350" s="73">
        <f t="shared" ca="1" si="204"/>
        <v>764.77</v>
      </c>
      <c r="G350" s="15">
        <f t="shared" ca="1" si="205"/>
        <v>0</v>
      </c>
      <c r="H350" s="73">
        <f t="shared" ca="1" si="206"/>
        <v>6.58</v>
      </c>
      <c r="I350" s="15">
        <f t="shared" ca="1" si="207"/>
        <v>0</v>
      </c>
      <c r="J350" s="73">
        <f t="shared" ca="1" si="208"/>
        <v>758.19</v>
      </c>
      <c r="K350" s="15">
        <f t="shared" ca="1" si="209"/>
        <v>0</v>
      </c>
      <c r="L350" s="16">
        <f t="shared" ca="1" si="210"/>
        <v>760.2</v>
      </c>
      <c r="M350" s="15">
        <f t="shared" ca="1" si="211"/>
        <v>0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>
        <f t="shared" ca="1" si="222"/>
        <v>29.4</v>
      </c>
      <c r="Y350" s="15">
        <f t="shared" ca="1" si="223"/>
        <v>0</v>
      </c>
      <c r="Z350" s="16">
        <f t="shared" ca="1" si="224"/>
        <v>25.4</v>
      </c>
      <c r="AA350" s="15">
        <f t="shared" ca="1" si="225"/>
        <v>0</v>
      </c>
      <c r="AB350" s="9">
        <f t="shared" ca="1" si="226"/>
        <v>90</v>
      </c>
      <c r="AC350" s="15">
        <f t="shared" ca="1" si="227"/>
        <v>0</v>
      </c>
      <c r="AD350" s="76">
        <f t="shared" ca="1" si="228"/>
        <v>4.0999999999999996</v>
      </c>
      <c r="AE350" s="15">
        <f t="shared" ca="1" si="229"/>
        <v>0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>
        <f t="shared" ca="1" si="238"/>
        <v>90</v>
      </c>
      <c r="AO350" s="15">
        <f t="shared" ca="1" si="239"/>
        <v>0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19191216</v>
      </c>
      <c r="C351" s="72">
        <f t="shared" si="201"/>
        <v>700</v>
      </c>
      <c r="D351" s="16">
        <f t="shared" ca="1" si="202"/>
        <v>26.9</v>
      </c>
      <c r="E351" s="15">
        <f t="shared" ca="1" si="203"/>
        <v>0</v>
      </c>
      <c r="F351" s="73">
        <f t="shared" ca="1" si="204"/>
        <v>765</v>
      </c>
      <c r="G351" s="15">
        <f t="shared" ca="1" si="205"/>
        <v>0</v>
      </c>
      <c r="H351" s="73">
        <f t="shared" ca="1" si="206"/>
        <v>6.55</v>
      </c>
      <c r="I351" s="15">
        <f t="shared" ca="1" si="207"/>
        <v>0</v>
      </c>
      <c r="J351" s="73">
        <f t="shared" ca="1" si="208"/>
        <v>758.44</v>
      </c>
      <c r="K351" s="15">
        <f t="shared" ca="1" si="209"/>
        <v>0</v>
      </c>
      <c r="L351" s="16">
        <f t="shared" ca="1" si="210"/>
        <v>760.5</v>
      </c>
      <c r="M351" s="15">
        <f t="shared" ca="1" si="211"/>
        <v>0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>
        <f t="shared" ca="1" si="222"/>
        <v>29.5</v>
      </c>
      <c r="Y351" s="15">
        <f t="shared" ca="1" si="223"/>
        <v>0</v>
      </c>
      <c r="Z351" s="16">
        <f t="shared" ca="1" si="224"/>
        <v>25.1</v>
      </c>
      <c r="AA351" s="15">
        <f t="shared" ca="1" si="225"/>
        <v>0</v>
      </c>
      <c r="AB351" s="9">
        <f t="shared" ca="1" si="226"/>
        <v>90</v>
      </c>
      <c r="AC351" s="15">
        <f t="shared" ca="1" si="227"/>
        <v>0</v>
      </c>
      <c r="AD351" s="76">
        <f t="shared" ca="1" si="228"/>
        <v>3.6</v>
      </c>
      <c r="AE351" s="15">
        <f t="shared" ca="1" si="229"/>
        <v>0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>
        <f t="shared" ca="1" si="238"/>
        <v>90</v>
      </c>
      <c r="AO351" s="15">
        <f t="shared" ca="1" si="239"/>
        <v>0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19191217</v>
      </c>
      <c r="C352" s="72">
        <f t="shared" si="201"/>
        <v>700</v>
      </c>
      <c r="D352" s="16">
        <f t="shared" ca="1" si="202"/>
        <v>26.7</v>
      </c>
      <c r="E352" s="15">
        <f t="shared" ca="1" si="203"/>
        <v>0</v>
      </c>
      <c r="F352" s="73">
        <f t="shared" ca="1" si="204"/>
        <v>765.23</v>
      </c>
      <c r="G352" s="15">
        <f t="shared" ca="1" si="205"/>
        <v>0</v>
      </c>
      <c r="H352" s="73">
        <f t="shared" ca="1" si="206"/>
        <v>6.5</v>
      </c>
      <c r="I352" s="15">
        <f t="shared" ca="1" si="207"/>
        <v>0</v>
      </c>
      <c r="J352" s="73">
        <f t="shared" ca="1" si="208"/>
        <v>758.72</v>
      </c>
      <c r="K352" s="15">
        <f t="shared" ca="1" si="209"/>
        <v>0</v>
      </c>
      <c r="L352" s="16">
        <f t="shared" ca="1" si="210"/>
        <v>760.7</v>
      </c>
      <c r="M352" s="15">
        <f t="shared" ca="1" si="211"/>
        <v>0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>
        <f t="shared" ca="1" si="222"/>
        <v>29.4</v>
      </c>
      <c r="Y352" s="15">
        <f t="shared" ca="1" si="223"/>
        <v>0</v>
      </c>
      <c r="Z352" s="16">
        <f t="shared" ca="1" si="224"/>
        <v>24.4</v>
      </c>
      <c r="AA352" s="15">
        <f t="shared" ca="1" si="225"/>
        <v>0</v>
      </c>
      <c r="AB352" s="9">
        <f t="shared" ca="1" si="226"/>
        <v>135</v>
      </c>
      <c r="AC352" s="15">
        <f t="shared" ca="1" si="227"/>
        <v>0</v>
      </c>
      <c r="AD352" s="76">
        <f t="shared" ca="1" si="228"/>
        <v>2.6</v>
      </c>
      <c r="AE352" s="15">
        <f t="shared" ca="1" si="229"/>
        <v>0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>
        <f t="shared" ca="1" si="238"/>
        <v>90</v>
      </c>
      <c r="AO352" s="15">
        <f t="shared" ca="1" si="239"/>
        <v>0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19191218</v>
      </c>
      <c r="C353" s="72">
        <f t="shared" si="201"/>
        <v>700</v>
      </c>
      <c r="D353" s="16">
        <f t="shared" ca="1" si="202"/>
        <v>26.9</v>
      </c>
      <c r="E353" s="15">
        <f t="shared" ca="1" si="203"/>
        <v>0</v>
      </c>
      <c r="F353" s="73">
        <f t="shared" ca="1" si="204"/>
        <v>765.25</v>
      </c>
      <c r="G353" s="15">
        <f t="shared" ca="1" si="205"/>
        <v>0</v>
      </c>
      <c r="H353" s="73">
        <f t="shared" ca="1" si="206"/>
        <v>6.55</v>
      </c>
      <c r="I353" s="15">
        <f t="shared" ca="1" si="207"/>
        <v>0</v>
      </c>
      <c r="J353" s="73">
        <f t="shared" ca="1" si="208"/>
        <v>758.7</v>
      </c>
      <c r="K353" s="15">
        <f t="shared" ca="1" si="209"/>
        <v>0</v>
      </c>
      <c r="L353" s="16">
        <f t="shared" ca="1" si="210"/>
        <v>760.7</v>
      </c>
      <c r="M353" s="15">
        <f t="shared" ca="1" si="211"/>
        <v>0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>
        <f t="shared" ca="1" si="222"/>
        <v>29.5</v>
      </c>
      <c r="Y353" s="15">
        <f t="shared" ca="1" si="223"/>
        <v>0</v>
      </c>
      <c r="Z353" s="16">
        <f t="shared" ca="1" si="224"/>
        <v>24.6</v>
      </c>
      <c r="AA353" s="15">
        <f t="shared" ca="1" si="225"/>
        <v>0</v>
      </c>
      <c r="AB353" s="9">
        <f t="shared" ca="1" si="226"/>
        <v>90</v>
      </c>
      <c r="AC353" s="15">
        <f t="shared" ca="1" si="227"/>
        <v>0</v>
      </c>
      <c r="AD353" s="76">
        <f t="shared" ca="1" si="228"/>
        <v>3.6</v>
      </c>
      <c r="AE353" s="15">
        <f t="shared" ca="1" si="229"/>
        <v>0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>
        <f t="shared" ca="1" si="238"/>
        <v>90</v>
      </c>
      <c r="AO353" s="15">
        <f t="shared" ca="1" si="239"/>
        <v>0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19191219</v>
      </c>
      <c r="C354" s="72">
        <f t="shared" si="201"/>
        <v>700</v>
      </c>
      <c r="D354" s="16">
        <f t="shared" ca="1" si="202"/>
        <v>26.7</v>
      </c>
      <c r="E354" s="15">
        <f t="shared" ca="1" si="203"/>
        <v>0</v>
      </c>
      <c r="F354" s="73">
        <f t="shared" ca="1" si="204"/>
        <v>765.05</v>
      </c>
      <c r="G354" s="15">
        <f t="shared" ca="1" si="205"/>
        <v>0</v>
      </c>
      <c r="H354" s="73">
        <f t="shared" ca="1" si="206"/>
        <v>6.5</v>
      </c>
      <c r="I354" s="15">
        <f t="shared" ca="1" si="207"/>
        <v>0</v>
      </c>
      <c r="J354" s="73">
        <f t="shared" ca="1" si="208"/>
        <v>758.55</v>
      </c>
      <c r="K354" s="15">
        <f t="shared" ca="1" si="209"/>
        <v>0</v>
      </c>
      <c r="L354" s="16">
        <f t="shared" ca="1" si="210"/>
        <v>760.5</v>
      </c>
      <c r="M354" s="15">
        <f t="shared" ca="1" si="211"/>
        <v>0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>
        <f t="shared" ca="1" si="222"/>
        <v>29.7</v>
      </c>
      <c r="Y354" s="15">
        <f t="shared" ca="1" si="223"/>
        <v>0</v>
      </c>
      <c r="Z354" s="16">
        <f t="shared" ca="1" si="224"/>
        <v>24.6</v>
      </c>
      <c r="AA354" s="15">
        <f t="shared" ca="1" si="225"/>
        <v>0</v>
      </c>
      <c r="AB354" s="9">
        <f t="shared" ca="1" si="226"/>
        <v>45</v>
      </c>
      <c r="AC354" s="15">
        <f t="shared" ca="1" si="227"/>
        <v>0</v>
      </c>
      <c r="AD354" s="76">
        <f t="shared" ca="1" si="228"/>
        <v>2.6</v>
      </c>
      <c r="AE354" s="15">
        <f t="shared" ca="1" si="229"/>
        <v>0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>
        <f t="shared" ca="1" si="238"/>
        <v>90</v>
      </c>
      <c r="AO354" s="15">
        <f t="shared" ca="1" si="239"/>
        <v>0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19191220</v>
      </c>
      <c r="C355" s="72">
        <f t="shared" si="201"/>
        <v>700</v>
      </c>
      <c r="D355" s="16">
        <f t="shared" ca="1" si="202"/>
        <v>27.2</v>
      </c>
      <c r="E355" s="15">
        <f t="shared" ca="1" si="203"/>
        <v>0</v>
      </c>
      <c r="F355" s="73">
        <f t="shared" ca="1" si="204"/>
        <v>765</v>
      </c>
      <c r="G355" s="15">
        <f t="shared" ca="1" si="205"/>
        <v>0</v>
      </c>
      <c r="H355" s="73">
        <f t="shared" ca="1" si="206"/>
        <v>6.58</v>
      </c>
      <c r="I355" s="15">
        <f t="shared" ca="1" si="207"/>
        <v>0</v>
      </c>
      <c r="J355" s="73">
        <f t="shared" ca="1" si="208"/>
        <v>758.42</v>
      </c>
      <c r="K355" s="15">
        <f t="shared" ca="1" si="209"/>
        <v>0</v>
      </c>
      <c r="L355" s="16">
        <f t="shared" ca="1" si="210"/>
        <v>760.5</v>
      </c>
      <c r="M355" s="15">
        <f t="shared" ca="1" si="211"/>
        <v>0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>
        <f t="shared" ca="1" si="222"/>
        <v>30</v>
      </c>
      <c r="Y355" s="15">
        <f t="shared" ca="1" si="223"/>
        <v>0</v>
      </c>
      <c r="Z355" s="16">
        <f t="shared" ca="1" si="224"/>
        <v>24.6</v>
      </c>
      <c r="AA355" s="15">
        <f t="shared" ca="1" si="225"/>
        <v>0</v>
      </c>
      <c r="AB355" s="9">
        <f t="shared" ca="1" si="226"/>
        <v>90</v>
      </c>
      <c r="AC355" s="15">
        <f t="shared" ca="1" si="227"/>
        <v>0</v>
      </c>
      <c r="AD355" s="76">
        <f t="shared" ca="1" si="228"/>
        <v>3.1</v>
      </c>
      <c r="AE355" s="15">
        <f t="shared" ca="1" si="229"/>
        <v>0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>
        <f t="shared" ca="1" si="238"/>
        <v>90</v>
      </c>
      <c r="AO355" s="15">
        <f t="shared" ca="1" si="239"/>
        <v>0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19191221</v>
      </c>
      <c r="C356" s="72">
        <f t="shared" si="201"/>
        <v>700</v>
      </c>
      <c r="D356" s="16">
        <f t="shared" ca="1" si="202"/>
        <v>26.9</v>
      </c>
      <c r="E356" s="15">
        <f t="shared" ca="1" si="203"/>
        <v>0</v>
      </c>
      <c r="F356" s="73">
        <f t="shared" ca="1" si="204"/>
        <v>765.02</v>
      </c>
      <c r="G356" s="15">
        <f t="shared" ca="1" si="205"/>
        <v>0</v>
      </c>
      <c r="H356" s="73">
        <f t="shared" ca="1" si="206"/>
        <v>6.55</v>
      </c>
      <c r="I356" s="15">
        <f t="shared" ca="1" si="207"/>
        <v>0</v>
      </c>
      <c r="J356" s="73">
        <f t="shared" ca="1" si="208"/>
        <v>758.47</v>
      </c>
      <c r="K356" s="15">
        <f t="shared" ca="1" si="209"/>
        <v>0</v>
      </c>
      <c r="L356" s="16">
        <f t="shared" ca="1" si="210"/>
        <v>760.5</v>
      </c>
      <c r="M356" s="15">
        <f t="shared" ca="1" si="211"/>
        <v>0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>
        <f t="shared" ca="1" si="222"/>
        <v>29.4</v>
      </c>
      <c r="Y356" s="15">
        <f t="shared" ca="1" si="223"/>
        <v>0</v>
      </c>
      <c r="Z356" s="16">
        <f t="shared" ca="1" si="224"/>
        <v>24.1</v>
      </c>
      <c r="AA356" s="15">
        <f t="shared" ca="1" si="225"/>
        <v>0</v>
      </c>
      <c r="AB356" s="9">
        <f t="shared" ca="1" si="226"/>
        <v>90</v>
      </c>
      <c r="AC356" s="15">
        <f t="shared" ca="1" si="227"/>
        <v>0</v>
      </c>
      <c r="AD356" s="76">
        <f t="shared" ca="1" si="228"/>
        <v>2.1</v>
      </c>
      <c r="AE356" s="15">
        <f t="shared" ca="1" si="229"/>
        <v>0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>
        <f t="shared" ca="1" si="238"/>
        <v>90</v>
      </c>
      <c r="AO356" s="15">
        <f t="shared" ca="1" si="239"/>
        <v>0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19191222</v>
      </c>
      <c r="C357" s="72">
        <f t="shared" si="201"/>
        <v>700</v>
      </c>
      <c r="D357" s="16">
        <f t="shared" ca="1" si="202"/>
        <v>26.4</v>
      </c>
      <c r="E357" s="15">
        <f t="shared" ca="1" si="203"/>
        <v>0</v>
      </c>
      <c r="F357" s="73">
        <f t="shared" ca="1" si="204"/>
        <v>764.26</v>
      </c>
      <c r="G357" s="15">
        <f t="shared" ca="1" si="205"/>
        <v>0</v>
      </c>
      <c r="H357" s="73">
        <f t="shared" ca="1" si="206"/>
        <v>6.48</v>
      </c>
      <c r="I357" s="15">
        <f t="shared" ca="1" si="207"/>
        <v>0</v>
      </c>
      <c r="J357" s="73">
        <f t="shared" ca="1" si="208"/>
        <v>757.78</v>
      </c>
      <c r="K357" s="15">
        <f t="shared" ca="1" si="209"/>
        <v>0</v>
      </c>
      <c r="L357" s="16">
        <f t="shared" ca="1" si="210"/>
        <v>759.7</v>
      </c>
      <c r="M357" s="15">
        <f t="shared" ca="1" si="211"/>
        <v>0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>
        <f t="shared" ca="1" si="222"/>
        <v>29.4</v>
      </c>
      <c r="Y357" s="15">
        <f t="shared" ca="1" si="223"/>
        <v>0</v>
      </c>
      <c r="Z357" s="16">
        <f t="shared" ca="1" si="224"/>
        <v>22.7</v>
      </c>
      <c r="AA357" s="15">
        <f t="shared" ca="1" si="225"/>
        <v>0</v>
      </c>
      <c r="AB357" s="9">
        <f t="shared" ca="1" si="226"/>
        <v>90</v>
      </c>
      <c r="AC357" s="15">
        <f t="shared" ca="1" si="227"/>
        <v>0</v>
      </c>
      <c r="AD357" s="76">
        <f t="shared" ca="1" si="228"/>
        <v>4.0999999999999996</v>
      </c>
      <c r="AE357" s="15">
        <f t="shared" ca="1" si="229"/>
        <v>0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>
        <f t="shared" ca="1" si="238"/>
        <v>90</v>
      </c>
      <c r="AO357" s="15">
        <f t="shared" ca="1" si="239"/>
        <v>0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19191223</v>
      </c>
      <c r="C358" s="72">
        <f t="shared" si="201"/>
        <v>700</v>
      </c>
      <c r="D358" s="16">
        <f t="shared" ca="1" si="202"/>
        <v>26.7</v>
      </c>
      <c r="E358" s="15">
        <f t="shared" ca="1" si="203"/>
        <v>0</v>
      </c>
      <c r="F358" s="73">
        <f t="shared" ca="1" si="204"/>
        <v>764.54</v>
      </c>
      <c r="G358" s="15">
        <f t="shared" ca="1" si="205"/>
        <v>0</v>
      </c>
      <c r="H358" s="73">
        <f t="shared" ca="1" si="206"/>
        <v>6.5</v>
      </c>
      <c r="I358" s="15">
        <f t="shared" ca="1" si="207"/>
        <v>0</v>
      </c>
      <c r="J358" s="73">
        <f t="shared" ca="1" si="208"/>
        <v>758.04</v>
      </c>
      <c r="K358" s="15">
        <f t="shared" ca="1" si="209"/>
        <v>0</v>
      </c>
      <c r="L358" s="16">
        <f t="shared" ca="1" si="210"/>
        <v>760</v>
      </c>
      <c r="M358" s="15">
        <f t="shared" ca="1" si="211"/>
        <v>0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>
        <f t="shared" ca="1" si="222"/>
        <v>28.4</v>
      </c>
      <c r="Y358" s="15">
        <f t="shared" ca="1" si="223"/>
        <v>0</v>
      </c>
      <c r="Z358" s="16">
        <f t="shared" ca="1" si="224"/>
        <v>23.4</v>
      </c>
      <c r="AA358" s="15">
        <f t="shared" ca="1" si="225"/>
        <v>0</v>
      </c>
      <c r="AB358" s="9">
        <f t="shared" ca="1" si="226"/>
        <v>90</v>
      </c>
      <c r="AC358" s="15">
        <f t="shared" ca="1" si="227"/>
        <v>0</v>
      </c>
      <c r="AD358" s="76">
        <f t="shared" ca="1" si="228"/>
        <v>2.6</v>
      </c>
      <c r="AE358" s="15">
        <f t="shared" ca="1" si="229"/>
        <v>0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>
        <f t="shared" ca="1" si="238"/>
        <v>90</v>
      </c>
      <c r="AO358" s="15">
        <f t="shared" ca="1" si="239"/>
        <v>0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19191224</v>
      </c>
      <c r="C359" s="72">
        <f t="shared" si="201"/>
        <v>700</v>
      </c>
      <c r="D359" s="16">
        <f t="shared" ca="1" si="202"/>
        <v>26.7</v>
      </c>
      <c r="E359" s="15">
        <f t="shared" ca="1" si="203"/>
        <v>0</v>
      </c>
      <c r="F359" s="73">
        <f t="shared" ca="1" si="204"/>
        <v>764.46</v>
      </c>
      <c r="G359" s="15">
        <f t="shared" ca="1" si="205"/>
        <v>0</v>
      </c>
      <c r="H359" s="73">
        <f t="shared" ca="1" si="206"/>
        <v>6.5</v>
      </c>
      <c r="I359" s="15">
        <f t="shared" ca="1" si="207"/>
        <v>0</v>
      </c>
      <c r="J359" s="73">
        <f t="shared" ca="1" si="208"/>
        <v>757.96</v>
      </c>
      <c r="K359" s="15">
        <f t="shared" ca="1" si="209"/>
        <v>0</v>
      </c>
      <c r="L359" s="16">
        <f t="shared" ca="1" si="210"/>
        <v>760</v>
      </c>
      <c r="M359" s="15">
        <f t="shared" ca="1" si="211"/>
        <v>0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>
        <f t="shared" ca="1" si="222"/>
        <v>28.7</v>
      </c>
      <c r="Y359" s="15">
        <f t="shared" ca="1" si="223"/>
        <v>0</v>
      </c>
      <c r="Z359" s="16">
        <f t="shared" ca="1" si="224"/>
        <v>24.2</v>
      </c>
      <c r="AA359" s="15">
        <f t="shared" ca="1" si="225"/>
        <v>0</v>
      </c>
      <c r="AB359" s="9">
        <f t="shared" ca="1" si="226"/>
        <v>90</v>
      </c>
      <c r="AC359" s="15">
        <f t="shared" ca="1" si="227"/>
        <v>0</v>
      </c>
      <c r="AD359" s="76">
        <f t="shared" ca="1" si="228"/>
        <v>2.6</v>
      </c>
      <c r="AE359" s="15">
        <f t="shared" ca="1" si="229"/>
        <v>0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>
        <f t="shared" ca="1" si="238"/>
        <v>90</v>
      </c>
      <c r="AO359" s="15">
        <f t="shared" ca="1" si="239"/>
        <v>0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19191225</v>
      </c>
      <c r="C360" s="72">
        <f t="shared" si="201"/>
        <v>700</v>
      </c>
      <c r="D360" s="16">
        <f t="shared" ca="1" si="202"/>
        <v>26.7</v>
      </c>
      <c r="E360" s="15">
        <f t="shared" ca="1" si="203"/>
        <v>0</v>
      </c>
      <c r="F360" s="73">
        <f t="shared" ca="1" si="204"/>
        <v>765.51</v>
      </c>
      <c r="G360" s="15">
        <f t="shared" ca="1" si="205"/>
        <v>0</v>
      </c>
      <c r="H360" s="73">
        <f t="shared" ca="1" si="206"/>
        <v>6.5</v>
      </c>
      <c r="I360" s="15">
        <f t="shared" ca="1" si="207"/>
        <v>0</v>
      </c>
      <c r="J360" s="73">
        <f t="shared" ca="1" si="208"/>
        <v>759</v>
      </c>
      <c r="K360" s="15">
        <f t="shared" ca="1" si="209"/>
        <v>0</v>
      </c>
      <c r="L360" s="16">
        <f t="shared" ca="1" si="210"/>
        <v>761</v>
      </c>
      <c r="M360" s="15">
        <f t="shared" ca="1" si="211"/>
        <v>0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>
        <f t="shared" ca="1" si="222"/>
        <v>28.6</v>
      </c>
      <c r="Y360" s="15">
        <f t="shared" ca="1" si="223"/>
        <v>0</v>
      </c>
      <c r="Z360" s="16">
        <f t="shared" ca="1" si="224"/>
        <v>23.9</v>
      </c>
      <c r="AA360" s="15">
        <f t="shared" ca="1" si="225"/>
        <v>0</v>
      </c>
      <c r="AB360" s="9">
        <f t="shared" ca="1" si="226"/>
        <v>90</v>
      </c>
      <c r="AC360" s="15">
        <f t="shared" ca="1" si="227"/>
        <v>0</v>
      </c>
      <c r="AD360" s="76">
        <f t="shared" ca="1" si="228"/>
        <v>2.6</v>
      </c>
      <c r="AE360" s="15">
        <f t="shared" ca="1" si="229"/>
        <v>0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>
        <f t="shared" ca="1" si="238"/>
        <v>90</v>
      </c>
      <c r="AO360" s="15">
        <f t="shared" ca="1" si="239"/>
        <v>0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19191226</v>
      </c>
      <c r="C361" s="72">
        <f t="shared" si="201"/>
        <v>700</v>
      </c>
      <c r="D361" s="16">
        <f t="shared" ca="1" si="202"/>
        <v>26.7</v>
      </c>
      <c r="E361" s="15">
        <f t="shared" ca="1" si="203"/>
        <v>0</v>
      </c>
      <c r="F361" s="73">
        <f t="shared" ca="1" si="204"/>
        <v>765.33</v>
      </c>
      <c r="G361" s="15">
        <f t="shared" ca="1" si="205"/>
        <v>0</v>
      </c>
      <c r="H361" s="73">
        <f t="shared" ca="1" si="206"/>
        <v>6.5</v>
      </c>
      <c r="I361" s="15">
        <f t="shared" ca="1" si="207"/>
        <v>0</v>
      </c>
      <c r="J361" s="73">
        <f t="shared" ca="1" si="208"/>
        <v>758.83</v>
      </c>
      <c r="K361" s="15">
        <f t="shared" ca="1" si="209"/>
        <v>0</v>
      </c>
      <c r="L361" s="16">
        <f t="shared" ca="1" si="210"/>
        <v>761</v>
      </c>
      <c r="M361" s="15">
        <f t="shared" ca="1" si="211"/>
        <v>0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>
        <f t="shared" ca="1" si="222"/>
        <v>28.4</v>
      </c>
      <c r="Y361" s="15">
        <f t="shared" ca="1" si="223"/>
        <v>0</v>
      </c>
      <c r="Z361" s="16">
        <f t="shared" ca="1" si="224"/>
        <v>23.4</v>
      </c>
      <c r="AA361" s="15">
        <f t="shared" ca="1" si="225"/>
        <v>0</v>
      </c>
      <c r="AB361" s="9">
        <f t="shared" ca="1" si="226"/>
        <v>135</v>
      </c>
      <c r="AC361" s="15">
        <f t="shared" ca="1" si="227"/>
        <v>0</v>
      </c>
      <c r="AD361" s="76">
        <f t="shared" ca="1" si="228"/>
        <v>2.6</v>
      </c>
      <c r="AE361" s="15">
        <f t="shared" ca="1" si="229"/>
        <v>0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>
        <f t="shared" ca="1" si="238"/>
        <v>135</v>
      </c>
      <c r="AO361" s="15">
        <f t="shared" ca="1" si="239"/>
        <v>0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19191227</v>
      </c>
      <c r="C362" s="72">
        <f t="shared" si="201"/>
        <v>700</v>
      </c>
      <c r="D362" s="16">
        <f t="shared" ca="1" si="202"/>
        <v>26.9</v>
      </c>
      <c r="E362" s="15">
        <f t="shared" ca="1" si="203"/>
        <v>0</v>
      </c>
      <c r="F362" s="73">
        <f t="shared" ca="1" si="204"/>
        <v>765</v>
      </c>
      <c r="G362" s="15">
        <f t="shared" ca="1" si="205"/>
        <v>0</v>
      </c>
      <c r="H362" s="73">
        <f t="shared" ca="1" si="206"/>
        <v>6.55</v>
      </c>
      <c r="I362" s="15">
        <f t="shared" ca="1" si="207"/>
        <v>0</v>
      </c>
      <c r="J362" s="73">
        <f t="shared" ca="1" si="208"/>
        <v>758.44</v>
      </c>
      <c r="K362" s="15">
        <f t="shared" ca="1" si="209"/>
        <v>0</v>
      </c>
      <c r="L362" s="16">
        <f t="shared" ca="1" si="210"/>
        <v>760.5</v>
      </c>
      <c r="M362" s="15">
        <f t="shared" ca="1" si="211"/>
        <v>0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>
        <f t="shared" ca="1" si="222"/>
        <v>28.4</v>
      </c>
      <c r="Y362" s="15">
        <f t="shared" ca="1" si="223"/>
        <v>0</v>
      </c>
      <c r="Z362" s="16">
        <f t="shared" ca="1" si="224"/>
        <v>24.5</v>
      </c>
      <c r="AA362" s="15">
        <f t="shared" ca="1" si="225"/>
        <v>0</v>
      </c>
      <c r="AB362" s="9">
        <f t="shared" ca="1" si="226"/>
        <v>135</v>
      </c>
      <c r="AC362" s="15">
        <f t="shared" ca="1" si="227"/>
        <v>0</v>
      </c>
      <c r="AD362" s="76">
        <f t="shared" ca="1" si="228"/>
        <v>3.1</v>
      </c>
      <c r="AE362" s="15">
        <f t="shared" ca="1" si="229"/>
        <v>0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>
        <f t="shared" ca="1" si="238"/>
        <v>90</v>
      </c>
      <c r="AO362" s="15">
        <f t="shared" ca="1" si="239"/>
        <v>0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19191228</v>
      </c>
      <c r="C363" s="72">
        <f t="shared" si="201"/>
        <v>700</v>
      </c>
      <c r="D363" s="16">
        <f t="shared" ca="1" si="202"/>
        <v>26.9</v>
      </c>
      <c r="E363" s="15">
        <f t="shared" ca="1" si="203"/>
        <v>0</v>
      </c>
      <c r="F363" s="73">
        <f t="shared" ca="1" si="204"/>
        <v>765.61</v>
      </c>
      <c r="G363" s="15">
        <f t="shared" ca="1" si="205"/>
        <v>0</v>
      </c>
      <c r="H363" s="73">
        <f t="shared" ca="1" si="206"/>
        <v>6.55</v>
      </c>
      <c r="I363" s="15">
        <f t="shared" ca="1" si="207"/>
        <v>0</v>
      </c>
      <c r="J363" s="73">
        <f t="shared" ca="1" si="208"/>
        <v>759.05</v>
      </c>
      <c r="K363" s="15">
        <f t="shared" ca="1" si="209"/>
        <v>0</v>
      </c>
      <c r="L363" s="16">
        <f t="shared" ca="1" si="210"/>
        <v>761</v>
      </c>
      <c r="M363" s="15">
        <f t="shared" ca="1" si="211"/>
        <v>0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>
        <f t="shared" ca="1" si="222"/>
        <v>29.4</v>
      </c>
      <c r="Y363" s="15">
        <f t="shared" ca="1" si="223"/>
        <v>0</v>
      </c>
      <c r="Z363" s="16">
        <f t="shared" ca="1" si="224"/>
        <v>24.9</v>
      </c>
      <c r="AA363" s="15">
        <f t="shared" ca="1" si="225"/>
        <v>0</v>
      </c>
      <c r="AB363" s="9">
        <f t="shared" ca="1" si="226"/>
        <v>90</v>
      </c>
      <c r="AC363" s="15">
        <f t="shared" ca="1" si="227"/>
        <v>0</v>
      </c>
      <c r="AD363" s="76">
        <f t="shared" ca="1" si="228"/>
        <v>4.5999999999999996</v>
      </c>
      <c r="AE363" s="15">
        <f t="shared" ca="1" si="229"/>
        <v>0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>
        <f t="shared" ca="1" si="238"/>
        <v>90</v>
      </c>
      <c r="AO363" s="15">
        <f t="shared" ca="1" si="239"/>
        <v>0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19191229</v>
      </c>
      <c r="C364" s="72">
        <f t="shared" si="201"/>
        <v>700</v>
      </c>
      <c r="D364" s="16">
        <f t="shared" ca="1" si="202"/>
        <v>27.2</v>
      </c>
      <c r="E364" s="15">
        <f t="shared" ca="1" si="203"/>
        <v>0</v>
      </c>
      <c r="F364" s="73">
        <f t="shared" ca="1" si="204"/>
        <v>766.34</v>
      </c>
      <c r="G364" s="15">
        <f t="shared" ca="1" si="205"/>
        <v>0</v>
      </c>
      <c r="H364" s="73">
        <f t="shared" ca="1" si="206"/>
        <v>6.58</v>
      </c>
      <c r="I364" s="15">
        <f t="shared" ca="1" si="207"/>
        <v>0</v>
      </c>
      <c r="J364" s="73">
        <f t="shared" ca="1" si="208"/>
        <v>759.76</v>
      </c>
      <c r="K364" s="15">
        <f t="shared" ca="1" si="209"/>
        <v>0</v>
      </c>
      <c r="L364" s="16">
        <f t="shared" ca="1" si="210"/>
        <v>761.7</v>
      </c>
      <c r="M364" s="15">
        <f t="shared" ca="1" si="211"/>
        <v>0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>
        <f t="shared" ca="1" si="222"/>
        <v>29.4</v>
      </c>
      <c r="Y364" s="15">
        <f t="shared" ca="1" si="223"/>
        <v>0</v>
      </c>
      <c r="Z364" s="16">
        <f t="shared" ca="1" si="224"/>
        <v>24.7</v>
      </c>
      <c r="AA364" s="15">
        <f t="shared" ca="1" si="225"/>
        <v>0</v>
      </c>
      <c r="AB364" s="9">
        <f t="shared" ca="1" si="226"/>
        <v>90</v>
      </c>
      <c r="AC364" s="15">
        <f t="shared" ca="1" si="227"/>
        <v>0</v>
      </c>
      <c r="AD364" s="76">
        <f t="shared" ca="1" si="228"/>
        <v>5.0999999999999996</v>
      </c>
      <c r="AE364" s="15">
        <f t="shared" ca="1" si="229"/>
        <v>0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>
        <f t="shared" ca="1" si="238"/>
        <v>90</v>
      </c>
      <c r="AO364" s="15">
        <f t="shared" ca="1" si="239"/>
        <v>0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19191230</v>
      </c>
      <c r="C365" s="72">
        <f t="shared" si="201"/>
        <v>700</v>
      </c>
      <c r="D365" s="16">
        <f t="shared" ca="1" si="202"/>
        <v>26.9</v>
      </c>
      <c r="E365" s="15">
        <f t="shared" ca="1" si="203"/>
        <v>0</v>
      </c>
      <c r="F365" s="73">
        <f t="shared" ca="1" si="204"/>
        <v>766.32</v>
      </c>
      <c r="G365" s="15">
        <f t="shared" ca="1" si="205"/>
        <v>0</v>
      </c>
      <c r="H365" s="73">
        <f t="shared" ca="1" si="206"/>
        <v>6.55</v>
      </c>
      <c r="I365" s="15">
        <f t="shared" ca="1" si="207"/>
        <v>0</v>
      </c>
      <c r="J365" s="73">
        <f t="shared" ca="1" si="208"/>
        <v>759.76</v>
      </c>
      <c r="K365" s="15">
        <f t="shared" ca="1" si="209"/>
        <v>0</v>
      </c>
      <c r="L365" s="16">
        <f t="shared" ca="1" si="210"/>
        <v>761.7</v>
      </c>
      <c r="M365" s="15">
        <f t="shared" ca="1" si="211"/>
        <v>0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>
        <f t="shared" ca="1" si="222"/>
        <v>29.9</v>
      </c>
      <c r="Y365" s="15">
        <f t="shared" ca="1" si="223"/>
        <v>0</v>
      </c>
      <c r="Z365" s="16">
        <f t="shared" ca="1" si="224"/>
        <v>24.4</v>
      </c>
      <c r="AA365" s="15">
        <f t="shared" ca="1" si="225"/>
        <v>0</v>
      </c>
      <c r="AB365" s="9">
        <f t="shared" ca="1" si="226"/>
        <v>90</v>
      </c>
      <c r="AC365" s="15">
        <f t="shared" ca="1" si="227"/>
        <v>0</v>
      </c>
      <c r="AD365" s="76">
        <f t="shared" ca="1" si="228"/>
        <v>2.6</v>
      </c>
      <c r="AE365" s="15">
        <f t="shared" ca="1" si="229"/>
        <v>0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>
        <f t="shared" ca="1" si="238"/>
        <v>90</v>
      </c>
      <c r="AO365" s="15">
        <f t="shared" ca="1" si="239"/>
        <v>0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19191231</v>
      </c>
      <c r="C366" s="72">
        <f t="shared" si="201"/>
        <v>700</v>
      </c>
      <c r="D366" s="16">
        <f t="shared" ca="1" si="202"/>
        <v>26.9</v>
      </c>
      <c r="E366" s="15">
        <f t="shared" ca="1" si="203"/>
        <v>0</v>
      </c>
      <c r="F366" s="73">
        <f t="shared" ca="1" si="204"/>
        <v>765.25</v>
      </c>
      <c r="G366" s="15">
        <f t="shared" ca="1" si="205"/>
        <v>0</v>
      </c>
      <c r="H366" s="73">
        <f t="shared" ca="1" si="206"/>
        <v>6.55</v>
      </c>
      <c r="I366" s="15">
        <f t="shared" ca="1" si="207"/>
        <v>0</v>
      </c>
      <c r="J366" s="73">
        <f t="shared" ca="1" si="208"/>
        <v>758.7</v>
      </c>
      <c r="K366" s="15">
        <f t="shared" ca="1" si="209"/>
        <v>0</v>
      </c>
      <c r="L366" s="16">
        <f t="shared" ca="1" si="210"/>
        <v>760.7</v>
      </c>
      <c r="M366" s="15">
        <f t="shared" ca="1" si="211"/>
        <v>0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>
        <f t="shared" ca="1" si="222"/>
        <v>29.8</v>
      </c>
      <c r="Y366" s="15">
        <f t="shared" ca="1" si="223"/>
        <v>0</v>
      </c>
      <c r="Z366" s="16">
        <f t="shared" ca="1" si="224"/>
        <v>26.4</v>
      </c>
      <c r="AA366" s="15">
        <f t="shared" ca="1" si="225"/>
        <v>0</v>
      </c>
      <c r="AB366" s="9">
        <f t="shared" ca="1" si="226"/>
        <v>45</v>
      </c>
      <c r="AC366" s="15">
        <f t="shared" ca="1" si="227"/>
        <v>0</v>
      </c>
      <c r="AD366" s="76">
        <f t="shared" ca="1" si="228"/>
        <v>2.6</v>
      </c>
      <c r="AE366" s="15">
        <f t="shared" ca="1" si="229"/>
        <v>0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>
        <f t="shared" ca="1" si="238"/>
        <v>90</v>
      </c>
      <c r="AO366" s="15">
        <f t="shared" ca="1" si="239"/>
        <v>0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78989, 19190101, 1,  165, 00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78989, 19190102, 1,   10, 00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78989, 19190103, 1,  122, 00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78989, 19190104, 1,    3, 00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78989, 19190105, 1,    0, 00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78989, 19190106, 1,    0, 00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78989, 19190107, 1,    0, 00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78989, 19190108, 1,    0, 00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78989, 19190109, 1,    0, 00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78989, 19190110, 1,    8, 00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78989, 19190111, 1,    0, 00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78989, 19190112, 1,    0, 00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78989, 19190113, 1,    0, 00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78989, 19190114, 1,    0, 00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78989, 19190115, 1,    0, 00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78989, 19190116, 1,    0, 00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78989, 19190117, 1,    0, 00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78989, 19190118, 1,    5, 00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78989, 19190119, 1,    0, 00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78989, 19190120, 1,   20, 00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78989, 19190121, 1,    0, 00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78989, 19190122, 1,    0, 00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78989, 19190123, 1,    0, 00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78989, 19190124, 1,    0, 00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78989, 19190125, 1,    0, 00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78989, 19190126, 1,    0, 00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78989, 19190127, 1,   10, 00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78989, 19190128, 1,    8, 00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78989, 19190129, 1,    0, 00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78989, 19190130, 1,    0, 00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78989, 19190131, 1,    0, 00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78989, 19190201, 1,    0, 00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78989, 19190202, 1,    0, 00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78989, 19190203, 1,    0, 00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78989, 19190204, 1,    0, 00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78989, 19190205, 1,    0, 00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78989, 19190206, 1,    0, 00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78989, 19190207, 1,    0, 00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78989, 19190208, 1,    0, 00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78989, 19190209, 1,    3, 00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78989, 19190210, 1,   13, 00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78989, 19190211, 1,    0, 00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78989, 19190212, 1,    0, 00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78989, 19190213, 1,  142, 00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78989, 19190214, 1,    3, 00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78989, 19190215, 1,    0, 00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78989, 19190216, 1,   41, 00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78989, 19190217, 1,    5, 00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78989, 19190218, 1,    0, 00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78989, 19190219, 1,    0, 00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78989, 19190220, 1,    0, 00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78989, 19190221, 1,   10, 00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78989, 19190222, 1,    0, 00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78989, 19190223, 1,    0, 00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78989, 19190224, 1,    0, 00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78989, 19190225, 1,    0, 00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78989, 19190226, 1,    0, 00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78989, 19190227, 1,    0, 00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78989, 19190228, 1,    0, 00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78989, 19190301, 1,    0, 00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78989, 19190302, 1,    0, 00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78989, 19190303, 1,    0, 00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78989, 19190304, 1,    0, 00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78989, 19190305, 1,    0, 00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78989, 19190306, 1,    0, 00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78989, 19190307, 1,    0, 00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78989, 19190308, 1,    0, 00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78989, 19190309, 1,    0, 00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78989, 19190310, 1,    5, 00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78989, 19190311, 1,    5, 00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78989, 19190312, 1,    0, 00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78989, 19190313, 1,    0, 00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78989, 19190314, 1,    0, 00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78989, 19190315, 1,   15, 00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78989, 19190316, 1,   53, 00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78989, 19190317, 1,    5, 00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78989, 19190318, 1,    0, 00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78989, 19190319, 1,    5, 00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78989, 19190320, 1,    0, 00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78989, 19190321, 1,    0, 00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78989, 19190322, 1,    0, 00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78989, 19190323, 1,    0, 00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78989, 19190324, 1,    0, 00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78989, 19190325, 1,    3, 00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78989, 19190326, 1,    0, 00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78989, 19190327, 1,    5, 00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78989, 19190328, 1,   15, 00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78989, 19190329, 1,   10, 00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78989, 19190330, 1,    0, 00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78989, 19190331, 1,    5, 00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78989, 19190401, 1,    0, 00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78989, 19190402, 1,    0, 00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78989, 19190403, 1,    0, 00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78989, 19190404, 1,    0, 00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78989, 19190405, 1,    0, 00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78989, 19190406, 1,    0, 00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78989, 19190407, 1,    0, 00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78989, 19190408, 1,    0, 00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78989, 19190409, 1,    0, 00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78989, 19190410, 1,   10, 00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78989, 19190411, 1,   74, 00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78989, 19190412, 1,    0, 00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78989, 19190413, 1,    0, 00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78989, 19190414, 1,    0, 00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78989, 19190415, 1,    0, 00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78989, 19190416, 1,    0, 00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78989, 19190417, 1,    0, 00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78989, 19190418, 1,    0, 00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78989, 19190419, 1,    0, 00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78989, 19190420, 1,    0, 00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78989, 19190421, 1,    0, 00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78989, 19190422, 1,    0, 00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78989, 19190423, 1,    0, 00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78989, 19190424, 1,    3, 00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78989, 19190425, 1,    0, 00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78989, 19190426, 1,  229, 00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78989, 19190427, 1,   23, 00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78989, 19190428, 1,    5, 00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78989, 19190429, 1,    0, 00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78989, 19190430, 1,   23, 00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78989, 19190501, 1,    0, 00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78989, 19190502, 1,    0, 00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78989, 19190503, 1,    0, 00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78989, 19190504, 1,    5, 00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78989, 19190505, 1,    0, 00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78989, 19190506, 1,    0, 00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78989, 19190507, 1,    0, 00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78989, 19190508, 1,    0, 00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78989, 19190509, 1,    8, 00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78989, 19190510, 1,    0, 00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78989, 19190511, 1,   10, 00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78989, 19190512, 1,   20, 00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78989, 19190513, 1,    0, 00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78989, 19190514, 1,    0, 00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78989, 19190515, 1,    0, 00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78989, 19190516, 1,    0, 00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78989, 19190517, 1,   36, 00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78989, 19190518, 1,   69, 00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78989, 19190519, 1,    0, 00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78989, 19190520, 1,    0, 00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78989, 19190521, 1,    0, 00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78989, 19190522, 1,    0, 00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78989, 19190523, 1,    5, 00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78989, 19190524, 1,    8, 00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78989, 19190525, 1,    0, 00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78989, 19190526, 1,    0, 00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78989, 19190527, 1,    0, 00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78989, 19190528, 1,    3, 00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78989, 19190529, 1,    0, 00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78989, 19190530, 1,    0, 00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78989, 19190531, 1,    0, 00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78989, 19190601, 1,    0, 00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78989, 19190602, 1,    0, 00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78989, 19190603, 1,    0, 00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78989, 19190604, 1,   15, 00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78989, 19190605, 1,   15, 00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78989, 19190606, 1,    5, 00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78989, 19190607, 1,    0, 00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78989, 19190608, 1,    3, 00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78989, 19190609, 1,   15, 00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78989, 19190610, 1,   10, 00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78989, 19190611, 1,    3, 00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78989, 19190612, 1,    0, 00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78989, 19190613, 1,    0, 00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78989, 19190614, 1,    0, 00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78989, 19190615, 1,    0, 00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78989, 19190616, 1,    0, 00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78989, 19190617, 1,    0, 00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78989, 19190618, 1,    0, 00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78989, 19190619, 1,    0, 00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78989, 19190620, 1,    0, 00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78989, 19190621, 1,    0, 00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78989, 19190622, 1,    0, 00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78989, 19190623, 1,    0, 00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78989, 19190624, 1,    0, 00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78989, 19190625, 1,    0, 00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78989, 19190626, 1,    0, 00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78989, 19190627, 1,    0, 00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78989, 19190628, 1,    0, 00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78989, 19190629, 1,    0, 00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78989, 19190630, 1,    0, 00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78989, 19190701, 1,    0, 00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78989, 19190702, 1,    0, 00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78989, 19190703, 1,    0, 00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78989, 19190704, 1,    0, 00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78989, 19190705, 1,    0, 00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78989, 19190706, 1,    0, 00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78989, 19190707, 1,    0, 00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78989, 19190708, 1,    0, 00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78989, 19190709, 1,    3, 00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78989, 19190710, 1,    0, 00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78989, 19190711, 1,    0, 00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78989, 19190712, 1,    0, 00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78989, 19190713, 1,    0, 00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78989, 19190714, 1,    5, 00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78989, 19190715, 1,    0, 00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78989, 19190716, 1,   10, 00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78989, 19190717, 1,    0, 00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78989, 19190718, 1,    0, 00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78989, 19190719, 1,    3, 00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78989, 19190720, 1,    0, 00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78989, 19190721, 1,    0, 00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78989, 19190722, 1,    0, 00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78989, 19190723, 1,   10, 00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78989, 19190724, 1,    5, 00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78989, 19190725, 1,    0, 00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78989, 19190726, 1,    8, 00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78989, 19190727, 1,    0, 00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78989, 19190728, 1,    0, 00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78989, 19190729, 1,   48, 00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78989, 19190730, 1,    0, 00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78989, 19190731, 1,    0, 00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78989, 19190801, 1,   15, 00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78989, 19190802, 1,    0, 00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78989, 19190803, 1,    0, 00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78989, 19190804, 1,   36, 00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78989, 19190805, 1,    0, 00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78989, 19190806, 1,    0, 00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78989, 19190807, 1,    0, 00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78989, 19190808, 1,    0, 00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19190809,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78989, 19190810, 1,    5, 00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78989, 19190811, 1,    0, 00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78989, 19190812, 1,    8, 00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78989, 19190813, 1,    0, 00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78989, 19190814, 1,    5, 00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78989, 19190815, 1,    0, 00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78989, 19190816, 1,    8, 00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78989, 19190817, 1,   97, 00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78989, 19190818, 1,    5, 00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78989, 19190819, 1,    0, 00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78989, 19190820, 1,    0, 00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78989, 19190821, 1,    8, 00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78989, 19190822, 1,    5, 00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78989, 19190823, 1,    0, 00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78989, 19190824, 1,   23, 00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78989, 19190825, 1,   10, 00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78989, 19190826, 1,    0, 00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78989, 19190827, 1,    0, 00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78989, 19190828, 1,    0, 00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78989, 19190829, 1,    0, 00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78989, 19190830, 1,    0, 00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78989, 19190831, 1,   41, 00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78989, 19190901, 1,    0, 00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78989, 19190902, 1,    0, 00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78989, 19190903, 1,    0, 00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78989, 19190904, 1,   23, 00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78989, 19190905, 1,    0, 00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78989, 19190906, 1,    0, 00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78989, 19190907, 1,    0, 00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78989, 19190908, 1,    0, 00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78989, 19190909, 1,    0, 00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78989, 19190910, 1,    0, 00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78989, 19190911, 1,    0, 00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78989, 19190912, 1,    0, 00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78989, 19190913, 1,    0, 00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78989, 19190914, 1,    0, 00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78989, 19190915, 1,    0, 00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78989, 19190916, 1,   30, 00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78989, 19190917, 1,    5, 00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78989, 19190918, 1,    0, 00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78989, 19190919, 1,    0, 00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78989, 19190920, 1,    0, 00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78989, 19190921, 1,    0, 00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78989, 19190922, 1,    0, 00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78989, 19190923, 1,    0, 00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78989, 19190924, 1,    0, 00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78989, 19190925, 1,    0, 00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78989, 19190926, 1,    0, 00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78989, 19190927, 1,    0, 00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78989, 19190928, 1,    0, 00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78989, 19190929, 1,    0, 00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78989, 19190930, 1,    0, 00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78989, 19191001, 1,    0, 00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78989, 19191002, 1,    0, 00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78989, 19191003, 1,    0, 00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78989, 19191004, 1,    0, 00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78989, 19191005, 1,    0, 00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78989, 19191006, 1,    0, 00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78989, 19191007, 1,    0, 00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78989, 19191008, 1,    0, 00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78989, 19191009, 1,    0, 00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78989, 19191010, 1,    0, 00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78989, 19191011, 1,    8, 00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78989, 19191012, 1,   86, 00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78989, 19191013, 1,    5, 00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78989, 19191014, 1,  135, 00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78989, 19191015, 1,    0, 00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78989, 19191016, 1,    0, 00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78989, 19191017, 1,    0, 00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78989, 19191018, 1,    0, 00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78989, 19191019, 1,    0, 00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78989, 19191020, 1,    0, 00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78989, 19191021, 1,    0, 00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78989, 19191022, 1,   10, 00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78989, 19191023, 1,    0, 00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78989, 19191024, 1,   56, 00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78989, 19191025, 1,    0, 00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78989, 19191026, 1,    5, 00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78989, 19191027, 1,    8, 00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78989, 19191028, 1,   28, 00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78989, 19191029, 1,    3, 00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78989, 19191030, 1,    0, 00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78989, 19191031, 1,    0, 00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78989, 19191101, 1,    8, 00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78989, 19191102, 1,   15, 00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78989, 19191103, 1,   30, 00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78989, 19191104, 1,    0, 00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78989, 19191105, 1,    0, 00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78989, 19191106, 1,    0, 00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78989, 19191107, 1,    0, 00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78989, 19191108, 1,    0, 00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78989, 19191109, 1,    0, 00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78989, 19191110, 1,    0, 00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78989, 19191111, 1,    0, 00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78989, 19191112, 1,   25, 00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78989, 19191113, 1,    0, 00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78989, 19191114, 1,    0, 00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78989, 19191115, 1,    8, 00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78989, 19191116, 1,    0, 00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78989, 19191117, 1,    5, 00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78989, 19191118, 1,    0, 00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78989, 19191119, 1,    0, 00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78989, 19191120, 1,    0, 00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78989, 19191121, 1,   15, 00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78989, 19191122, 1,   10, 00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78989, 19191123, 1,    8, 00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78989, 19191124, 1,    0, 00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78989, 19191125, 1,    0, 00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78989, 19191126, 1,   61, 00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78989, 19191127, 1,    8, 00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78989, 19191128, 1,  269, 00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78989, 19191129, 1,    0, 00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78989, 19191130, 1,   81, 00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78989, 19191201, 1,   10, 00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78989, 19191202, 1,    0, 00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78989, 19191203, 1,   10, 00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78989, 19191204, 1,    0, 00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78989, 19191205, 1,    0, 00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78989, 19191206, 1,    0, 00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78989, 19191207, 1,  137, 00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78989, 19191208, 1,    0, 00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78989, 19191209, 1,    0, 00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78989, 19191210, 1,  163, 00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78989, 19191211, 1,  122, 00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78989, 19191212, 1,    3, 00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78989, 19191213, 1,    0, 00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78989, 19191214, 1,   23, 00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78989, 19191215, 1,    0, 00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78989, 19191216, 1,    8, 00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78989, 19191217, 1,    0, 00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78989, 19191218, 1,    0, 00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78989, 19191219, 1,    0, 00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78989, 19191220, 1,    0, 00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78989, 19191221, 1,    0, 00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78989, 19191222, 1,  188, 00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78989, 19191223, 1,    0, 00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78989, 19191224, 1,    5, 00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78989, 19191225, 1,    0, 00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78989, 19191226, 1,    0, 00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78989, 19191227, 1,    0, 00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78989, 19191228, 1,    0, 00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78989, 19191229, 1,    5, 00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78989, 19191230, 1,    0, 00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78989, 19191231, 1,   13, 00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19190101, 0700,  256, 00, 76429, 00,  638, 00, 75791, 00, 7600, 00, ////, 07, ////, 07, ////, 07, ///, 07, ///, 07,  287, 00,  218, 00,  90, 00,   15, 00, ////, 07, ///, 07, //, 07, ////////////, 07,  90, 00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19190102, 0700,  250, 00, 76322, 00,  630, 00, 75692, 00, 7590, 00, ////, 07, ////, 07, ////, 07, ///, 07, ///, 07,  282, 00,  224, 00,   0, 00,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19190103, 0700,  250, 00, 76335, 00,  630, 00, 75705, 00, 7592, 00, ////, 07, ////, 07, ////, 07, ///, 07, ///, 07,  271, 00,  222, 00,  90, 00,   15, 00, ////, 07, ///, 07, //, 07, ////////////, 07,  90, 00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19190104, 0700,  258, 00, 76429, 00,  640, 00, 75789, 00, 7600, 00, ////, 07, ////, 07, ////, 07, ///, 07, ///, 07,  284, 00,  238, 00,   0, 00,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19190105, 0700,  261, 00, 76530, 00,  645, 00, 75885, 00, 7610, 00, ////, 07, ////, 07, ////, 07, ///, 07, ///, 07,  296, 00,  238, 00,  90, 00,   15, 00, ////, 07, ///, 07, //, 07, ////////////, 07,  90, 00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19190106, 0700,  267, 00, 76632, 00,  650, 00, 75982, 00, 7617, 00, ////, 07, ////, 07, ////, 07, ///, 07, ///, 07,  294, 00,  241, 00, 135, 00,   21, 00, ////, 07, ///, 07, //, 07, ////////////, 07, 135, 00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19190107, 0700,  267, 00, 76680, 00,  650, 00, 75954, 00, 7615, 00, ////, 07, ////, 07, ////, 07, ///, 07, ///, 07,  299, 00,  237, 00, 135, 00,   15, 00, ////, 07, ///, 07, //, 07, ////////////, 07,  90, 00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19190108, 0700,  261, 00, 76454, 00,  645, 00, 75834, 00, 7605, 00, ////, 07, ////, 07, ////, 07, ///, 07, ///, 07,  289, 00,  241, 00,  90, 00,   41, 00, ////, 07, ///, 07, //, 07, ////////////, 07,  90, 00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19190109, 0700,  264, 00, 76434, 00,  648, 00, 75786, 00, 7600, 00, ////, 07, ////, 07, ////, 07, ///, 07, ///, 07,  286, 00,  250, 00,  90, 00,   51, 00, ////, 07, ///, 07, //, 07, ////////////, 07,  90, 00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19190110, 0700,  264, 00, 76398, 00,  648, 00, 75750, 00, 7595, 00, ////, 07, ////, 07, ////, 07, ///, 07, ///, 07,  292, 00,  248, 00, 135, 00,   51, 00, ////, 07, ///, 07, //, 07, ////////////, 07,  90, 00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19190111, 0700,  267, 00, 76431, 00,  650, 00, 75781, 00, 7600, 00, ////, 07, ////, 07, ////, 07, ///, 07, ///, 07,  292, 00,  251, 00,  90, 00,   41, 00, ////, 07, ///, 07, //, 07, ////////////, 07,  90, 00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19190112, 0700,  267, 00, 76576, 00,  650, 00, 75926, 00, 7612, 00, ////, 07, ////, 07, ////, 07, ///, 07, ///, 07,  289, 00,  253, 00, 135, 00,   62, 00, ////, 07, ///, 07, //, 07, ////////////, 07, 135, 00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19190113, 0700,  261, 00, 76500, 00,  645, 00, 75855, 00, 7605, 00, ////, 07, ////, 07, ////, 07, ///, 07, ///, 07,  296, 00,  238, 00,  90, 00,   31, 00, ////, 07, ///, 07, //, 07, ////////////, 07,  90, 00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19190114, 0700,  258, 00, 76380, 00,  640, 00, 75740, 00, 7595, 00, ////, 07, ////, 07, ////, 07, ///, 07, ///, 07,  287, 00,  238, 00, 135, 00,   41, 00, ////, 07, ///, 07, //, 07, ////////////, 07, 135, 00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19190115, 0700,  267, 00, 76401, 00,  650, 00, 75750, 00, 7595, 00, ////, 07, ////, 07, ////, 07, ///, 07, ///, 07,  287, 00,  239, 00,  90, 00,   31, 00, ////, 07, ///, 07, //, 07, ////////////, 07,  90, 00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19190116, 0700,  267, 00, 76431, 00,  650, 00, 75781, 00, 7600, 00, ////, 07, ////, 07, ////, 07, ///, 07, ///, 07,  291, 00,  245, 00,  90, 00,   62, 00, ////, 07, ///, 07, //, 07, ////////////, 07,  90, 00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19190117, 0700,  264, 00, 76497, 00,  648, 00, 75849, 00, 7605, 00, ////, 07, ////, 07, ////, 07, ///, 07, ///, 07,  289, 00,  244, 00, 135, 00,   46, 00, ////, 07, ///, 07, //, 07, ////////////, 07,  90, 00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19190118, 0700,  261, 00, 76429, 00,  645, 00, 75783, 00, 7600, 00, ////, 07, ////, 07, ////, 07, ///, 07, ///, 07,  284, 00,  238, 00,  45, 00,   51, 00, ////, 07, ///, 07, //, 07, ////////////, 07,  90, 00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19190119, 0700,  256, 00, 76436, 00,  638, 00, 75799, 00, 7600, 00, ////, 07, ////, 07, ////, 07, ///, 07, ///, 07,  287, 00,  228, 00, 135, 00,   26, 00, ////, 07, ///, 07, //, 07, ////////////, 07, 135, 00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19190120, 0700,  258, 00, 76393, 00,  640, 00, 75753, 00, 7595, 00, ////, 07, ////, 07, ////, 07, ///, 07, ///, 07,  283, 00,  251, 00,  45, 00,   15, 00, ////, 07, ///, 07, //, 07, ////////////, 07,  90, 00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19190121, 0700,  264, 00, 76403, 00,  648, 00, 75756, 00, 7597, 00, ////, 07, ////, 07, ////, 07, ///, 07, ///, 07,  286, 00,  233, 00,  90, 00,   31, 00, ////, 07, ///, 07, //, 07, ////////////, 07,  90, 00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19190122, 0700,  258, 00, 76373, 00,  640, 00, 75733, 00, 7595, 00, ////, 07, ////, 07, ////, 07, ///, 07, ///, 07,  289, 00,  240, 00,  90, 00,   26, 00, ////, 07, ///, 07, //, 07, ////////////, 07,  90, 00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19190123, 0700,  261, 00, 76378, 00,  645, 00, 75733, 00, 7595, 00, ////, 07, ////, 07, ////, 07, ///, 07, ///, 07,  290, 00,  237, 00,  90, 00,   26, 00, ////, 07, ///, 07, //, 07, ////////////, 07,  90, 00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19190124, 0700,  256, 00, 76335, 00,  638, 00, 75697, 00, 7590, 00, ////, 07, ////, 07, ////, 07, ///, 07, ///, 07,  287, 00,  252, 00, 135, 00,   15, 00, ////, 07, ///, 07, //, 07, ////////////, 07,  90, 00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19190125, 0700,  256, 00, 76294, 00,  638, 00, 75656, 00, 7587, 00, ////, 07, ////, 07, ////, 07, ///, 07, ///, 07,  287, 00,  234, 00,  90, 00,   31, 00, ////, 07, ///, 07, //, 07, ////////////, 07,  90, 00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19190126, 0700,  258, 00, 76352, 00,  640, 00, 75712, 00, 7592, 00, ////, 07, ////, 07, ////, 07, ///, 07, ///, 07,  289, 00,  232, 00,  45, 00,   26, 00, ////, 07, ///, 07, //, 07, ////////////, 07,  45, 00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19190127, 0700,  261, 00, 76385, 00,  645, 00, 75740, 00, 7595, 00, ////, 07, ////, 07, ////, 07, ///, 07, ///, 07,  287, 00,  234, 00, 135, 00,   31, 00, ////, 07, ///, 07, //, 07, ////////////, 07,  90, 00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19190128, 0700,  264, 00, 76439, 00,  648, 00, 75791, 00, 7600, 00, ////, 07, ////, 07, ////, 07, ///, 07, ///, 07,  285, 00,  247, 00,  90, 00,   41, 00, ////, 07, ///, 07, //, 07, ////////////, 07,  90, 00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19190129, 0700,  264, 00, 76332, 00,  648, 00, 75684, 00, 7590, 00, ////, 07, ////, 07, ////, 07, ///, 07, ///, 07,  286, 00,  244, 00,  90, 00,   46, 00, ////, 07, ///, 07, //, 07, ////////////, 07,  90, 00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19190130, 0700,  264, 00, 76302, 00,  648, 00, 75654, 00, 7587, 00, ////, 07, ////, 07, ////, 07, ///, 07, ///, 07,  289, 00,  246, 00,  45, 00,   41, 00, ////, 07, ///, 07, //, 07, ////////////, 07,  90, 00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19190131, 0700,  267, 00, 76337, 00,  650, 00, 75687, 00, 7590, 00, ////, 07, ////, 07, ////, 07, ///, 07, ///, 07,  294, 00,  251, 00,  90, 00,   62, 00, ////, 07, ///, 07, //, 07, ////////////, 07,  90, 00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19190201, 0700,  267, 00, 76302, 00,  650, 00, 75651, 00, 7584, 00, ////, 07, ////, 07, ////, 07, ///, 07, ///, 07,  289, 00,  250, 00,  90, 00,   62, 00, ////, 07, ///, 07, //, 07, ////////////, 07,  90, 00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19190202, 0700,  267, 00, 76271, 00,  650, 00, 75621, 00, 7582, 00, ////, 07, ////, 07, ////, 07, ///, 07, ///, 07,  287, 00,  251, 00,  90, 00,   41, 00, ////, 07, ///, 07, //, 07, ////////////, 07,  90, 00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19190203, 0700,  272, 00, 76332, 00,  658, 00, 75674, 00, 7587, 00, ////, 07, ////, 07, ////, 07, ///, 07, ///, 07,  297, 00,  251, 00,  90, 00,   41, 00, ////, 07, ///, 07, //, 07, ////////////, 07,  90, 00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19190204, 0700,  269, 00, 76380, 00,  655, 00, 75725, 00, 7592, 00, ////, 07, ////, 07, ////, 07, ///, 07, ///, 07,  291, 00,  251, 00, 135, 00,   41, 00, ////, 07, ///, 07, //, 07, ////////////, 07,  90, 00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19190205, 0700,  269, 00, 76406, 00,  655, 00, 75750, 00, 7595, 00, ////, 07, ////, 07, ////, 07, ///, 07, ///, 07,  289, 00,  244, 00,  90, 00,   41, 00, ////, 07, ///, 07, //, 07, ////////////, 07, 135, 00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19190206, 0700,  264, 00, 76375, 00,  648, 00, 75728, 00, 7592, 00, ////, 07, ////, 07, ////, 07, ///, 07, ///, 07,  294, 00,  237, 00,  90, 00,   21, 00, ////, 07, ///, 07, //, 07, ////////////, 07,  90, 00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19190207, 0700,  267, 00, 76474, 00,  650, 00, 75824, 00, 7602, 00, ////, 07, ////, 07, ////, 07, ///, 07, ///, 07,  293, 00,  239, 00,  90, 00,   26, 00, ////, 07, ///, 07, //, 07, ////////////, 07,  90, 00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19190208, 0700,  269, 00, 76601, 00,  655, 00, 75946, 00, 7615, 00, ////, 07, ////, 07, ////, 07, ///, 07, ///, 07,  291, 00,  242, 00,  90, 00,   26, 00, ////, 07, ///, 07, //, 07, ////////////, 07,  90, 00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19190209, 0700,  269, 00, 76505, 00,  655, 00, 75697, 00, 7605, 00, ////, 07, ////, 07, ////, 07, ///, 07, ///, 07,  302, 00,  233, 00,  45, 00,   36, 00, ////, 07, ///, 07, //, 07, ////////////, 07,  90, 00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19190210, 0700,  264, 00, 76474, 00,  648, 00, 75827, 00, 7602, 00, ////, 07, ////, 07, ////, 07, ///, 07, ///, 07,  279, 00,  238, 00,  90, 00,   51, 00, ////, 07, ///, 07, //, 07, ////////////, 07,  90, 00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19190211, 0700,  258, 00, 76525, 00,  640, 00, 75888, 00, 7610, 00, ////, 07, ////, 07, ////, 07, ///, 07, ///, 07,  291, 00,  231, 00,  90, 00,   31, 00, ////, 07, ///, 07, //, 07, ////////////, 07,  90, 00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19190212, 0700,  267, 00, 76558, 00,  650, 00, 75908, 00, 7610, 00, ////, 07, ////, 07, ////, 07, ///, 07, ///, 07,  300, 00,  238, 00,  90, 00,   10, 00, ////, 07, ///, 07, //, 07, ////////////, 07,  90, 00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19190213, 0700,  264, 00, 76624, 00,  648, 00, 75976, 00, 7617, 00, ////, 07, ////, 07, ////, 07, ///, 07, ///, 07,  283, 00,  224, 00,  90, 00,   21, 00, ////, 07, ///, 07, //, 07, ////////////, 07,  90, 00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19190214, 0700,  261, 00, 76606, 00,  645, 00, 75961, 00, 7617, 00, ////, 07, ////, 07, ////, 07, ///, 07, ///, 07,  289, 00,  229, 00,  90, 00,   41, 00, ////, 07, ///, 07, //, 07, ////////////, 07,  90, 00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19190215, 0700,  267, 00, 76611, 00,  650, 00, 75961, 00, 7617, 00, ////, 07, ////, 07, ////, 07, ///, 07, ///, 07,  292, 00,  243, 00, 135, 00,   36, 00, ////, 07, ///, 07, //, 07, ////////////, 07,  90, 00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19190216, 0700,  261, 00, 76584, 00,  645, 00, 75938, 00, 7615, 00, ////, 07, ////, 07, ////, 07, ///, 07, ///, 07,  289, 00,  240, 00,  90, 00,   31, 00, ////, 07, ///, 07, //, 07, ////////////, 07,  90, 00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19190217, 0700,  264, 00, 76609, 00,  648, 00, 75961, 00, 7617, 00, ////, 07, ////, 07, ////, 07, ///, 07, ///, 07,  301, 00,  240, 00,  90, 00,   21, 00, ////, 07, ///, 07, //, 07, ////////////, 07,  90, 00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19190218, 0700,  261, 00, 76586, 00,  645, 00, 75941, 00, 7615, 00, ////, 07, ////, 07, ////, 07, ///, 07, ///, 07,  289, 00,  246, 00,  90, 00,   46, 00, ////, 07, ///, 07, //, 07, ////////////, 07,  90, 00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19190219, 0700,  264, 00, 76611, 00,  648, 00, 75710, 00, 7617, 00, ////, 07, ////, 07, ////, 07, ///, 07, ///, 07,  294, 00,  248, 00, 135, 00,   51, 00, ////, 07, ///, 07, //, 07, ////////////, 07,  90, 00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19190220, 0700,  267, 00, 76609, 00,  650, 00, 75959, 00, 7615, 00, ////, 07, ////, 07, ////, 07, ///, 07, ///, 07,  294, 00,  246, 00,  90, 00,   41, 00, ////, 07, ///, 07, //, 07, ////////////, 07,  90, 00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19190221, 0700,  261, 00, 76561, 00,  645, 00, 75916, 00, 7612, 00, ////, 07, ////, 07, ////, 07, ///, 07, ///, 07,  293, 00,  232, 00,  90, 00,   41, 00, ////, 07, ///, 07, //, 07, ////////////, 07,  90, 00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19190222, 0700,  261, 00, 76576, 00,  645, 00, 75931, 00, 7612, 00, ////, 07, ////, 07, ////, 07, ///, 07, ///, 07,  291, 00,  244, 00,  90, 00,   41, 00, ////, 07, ///, 07, //, 07, ////////////, 07,  90, 00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19190223, 0700,  264, 00, 76601, 00,  648, 00, 75954, 00, 7615, 00, ////, 07, ////, 07, ////, 07, ///, 07, ///, 07,  293, 00,  246, 00,  90, 00,   62, 00, ////, 07, ///, 07, //, 07, ////////////, 07,  90, 00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19190224, 0700,  267, 00, 76556, 00,  650, 00, 75905, 00, 7610, 00, ////, 07, ////, 07, ////, 07, ///, 07, ///, 07,  299, 00,  246, 00, 135, 00,   41, 00, ////, 07, ///, 07, //, 07, ////////////, 07, 135, 00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19190225, 0700,  264, 00, 76484, 00,  648, 00, 75837, 00, 7605, 00, ////, 07, ////, 07, ////, 07, ///, 07, ///, 07,  292, 00,  241, 00,  90, 00,   62, 00, ////, 07, ///, 07, //, 07, ////////////, 07,  90, 00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19190226, 0700,  269, 00, 76429, 00,  655, 00, 75773, 00, 7597, 00, ////, 07, ////, 07, ////, 07, ///, 07, ///, 07,  294, 00,  250, 00,  45, 00,   41, 00, ////, 07, ///, 07, //, 07, ////////////, 07,  90, 00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19190227, 0700,  267, 00, 76454, 00,  650, 00, 75804, 00, 7600, 00, ////, 07, ////, 07, ////, 07, ///, 07, ///, 07,  301, 00,  250, 00, 135, 00,   46, 00, ////, 07, ///, 07, //, 07, ////////////, 07,  90, 00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19190228, 0700,  267, 00, 76561, 00,  650, 00, 75910, 00, 7612, 00, ////, 07, ////, 07, ////, 07, ///, 07, ///, 07,  293, 00,  249, 00,  90, 00,   51, 00, ////, 07, ///, 07, //, 07, ////////////, 07,  90, 00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19190301, 0700,  267, 00, 76556, 00,  650, 00, 75905, 00, 7610, 00, ////, 07, ////, 07, ////, 07, ///, 07, ///, 07,  300, 00,  248, 00,  90, 00,   51, 00, ////, 07, ///, 07, //, 07, ////////////, 07,  90, 00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19190302, 0700,  267, 00, 76533, 00,  650, 00, 75883, 00, 7610, 00, ////, 07, ////, 07, ////, 07, ///, 07, ///, 07,  293, 00,  244, 00,  90, 00,   36, 00, ////, 07, ///, 07, //, 07, ////////////, 07,  90, 00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19190303, 0700,  261, 00, 76533, 00,  645, 00, 75888, 00, 7610, 00, ////, 07, ////, 07, ////, 07, ///, 07, ///, 07,  287, 00,  244, 00,  90, 00,   31, 00, ////, 07, ///, 07, //, 07, ////////////, 07,  90, 00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19190304, 0700,  261, 00, 76500, 00,  645, 00, 75855, 00, 7605, 00, ////, 07, ////, 07, ////, 07, ///, 07, ///, 07,  291, 00,  243, 00,  90, 00,   46, 00, ////, 07, ///, 07, //, 07, ////////////, 07,  90, 00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19190305, 0700,  258, 00, 76505, 00,  640, 00, 75865, 00, 7607, 00, ////, 07, ////, 07, ////, 07, ///, 07, ///, 07,  289, 00,  241, 00,  90, 00,   41, 00, ////, 07, ///, 07, //, 07, ////////////, 07,  90, 00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19190306, 0700,  261, 00, 76584, 00,  645, 00, 75938, 00, 7615, 00, ////, 07, ////, 07, ////, 07, ///, 07, ///, 07,  294, 00,  245, 00,  45, 00,   51, 00, ////, 07, ///, 07, //, 07, ////////////, 07,  90, 00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19190307, 0700,  261, 00, 76563, 00,  645, 00, 75918, 00, 7612, 00, ////, 07, ////, 07, ////, 07, ///, 07, ///, 07,  291, 00,  248, 00,  45, 00,   51, 00, ////, 07, ///, 07, //, 07, ////////////, 07,  90, 00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19190308, 0700,  261, 00, 76538, 00,  645, 00, 75893, 00, 7610, 00, ////, 07, ////, 07, ////, 07, ///, 07, ///, 07,  283, 00,  241, 00,  90, 00,   41, 00, ////, 07, ///, 07, //, 07, ////////////, 07,  90, 00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19190309, 0700,  264, 00, 76551, 00,  648, 00, 75903, 00, 7610, 00, ////, 07, ////, 07, ////, 07, ///, 07, ///, 07,  291, 00,  244, 00,  90, 00,   46, 00, ////, 07, ///, 07, //, 07, ////////////, 07,  90, 00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19190310, 0700,  261, 00, 76479, 00,  645, 00, 75834, 00, 7605, 00, ////, 07, ////, 07, ////, 07, ///, 07, ///, 07,  292, 00,  245, 00,  45, 00,   31, 00, ////, 07, ///, 07, //, 07, ////////////, 07,  90, 00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19190311, 0700,  261, 00, 76431, 00,  645, 00, 75786, 00, 7600, 00, ////, 07, ////, 07, ////, 07, ///, 07, ///, 07,  295, 00,  244, 00,  90, 00,   51, 00, ////, 07, ///, 07, //, 07, ////////////, 07,  90, 00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19190312, 0700,  261, 00, 76436, 00,  645, 00, 75791, 00, 7600, 00, ////, 07, ////, 07, ////, 07, ///, 07, ///, 07,  291, 00,  240, 00,  90, 00,   62, 00, ////, 07, ///, 07, //, 07, ////////////, 07,  90, 00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19190313, 0700,  261, 00, 76551, 00,  645, 00, 75905, 00, 7610, 00, ////, 07, ////, 07, ////, 07, ///, 07, ///, 07,  295, 00,  235, 00,  90, 00,   21, 00, ////, 07, ///, 07, //, 07, ////////////, 07,  90, 00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19190314, 0700,  261, 00, 76505, 00,  645, 00, 75860, 00, 7607, 00, ////, 07, ////, 07, ////, 07, ///, 07, ///, 07,  293, 00,  235, 00,  90, 00,   26, 00, ////, 07, ///, 07, //, 07, ////////////, 07,  90, 00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19190315, 0700,  261, 00, 76584, 00,  645, 00, 75938, 00, 7615, 00, ////, 07, ////, 07, ////, 07, ///, 07, ///, 07,  291, 00,  242, 00,  90, 00,   41, 00, ////, 07, ///, 07, //, 07, ////////////, 07,  90, 00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19190316, 0700,  264, 00, 76629, 00,  648, 00, 75982, 00, 7617, 00, ////, 07, ////, 07, ////, 07, ///, 07, ///, 07,  293, 00,  233, 00,  90, 00,   46, 00, ////, 07, ///, 07, //, 07, ////////////, 07,  90, 00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19190317, 0700,  264, 00, 76611, 00,  648, 00, 75964, 00, 7617, 00, ////, 07, ////, 07, ////, 07, ///, 07, ///, 07,  296, 00,  239, 00,  45, 00,   31, 00, ////, 07, ///, 07, //, 07, ////////////, 07,  90, 00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19190318, 0700,  261, 00, 76601, 00,  645, 00, 75956, 00, 7615, 00, ////, 07, ////, 07, ////, 07, ///, 07, ///, 07,  286, 00,  234, 00,  45, 00,   51, 00, ////, 07, ///, 07, //, 07, ////////////, 07,  90, 00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19190319, 0700,  256, 00, 76510, 00,  638, 00, 75872, 00, 7607, 00, ////, 07, ////, 07, ////, 07, ///, 07, ///, 07,  283, 00,  222, 00,  90, 00,   36, 00, ////, 07, ///, 07, //, 07, ////////////, 07,  90, 00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19190320, 0700,  253, 00, 76556, 00,  635, 00, 75921, 00, 7612, 00, ////, 07, ////, 07, ////, 07, ///, 07, ///, 07,  284, 00,  221, 00,  90, 00,   26, 00, ////, 07, ///, 07, //, 07, ////////////, 07,  90, 00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19190321, 0700,  261, 00, 76556, 00,  645, 00, 75910, 00, 7612, 00, ////, 07, ////, 07, ////, 07, ///, 07, ///, 07,  283, 00,  234, 00, 135, 00,   21, 00, ////, 07, ///, 07, //, 07, ////////////, 07,  90, 00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19190322, 0700,  264, 00, 76530, 00,  648, 00, 75883, 00, 7610, 00, ////, 07, ////, 07, ////, 07, ///, 07, ///, 07,  285, 00,  233, 00,   0, 00,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19190323, 0700,  267, 00, 76500, 00,  650, 00, 75824, 00, 7605, 00, ////, 07, ////, 07, ////, 07, ///, 07, ///, 07,  284, 00,  235, 00,  45, 00,   21, 00, ////, 07, ///, 07, //, 07, ////////////, 07,  45, 00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19190324, 0700,  272, 00, 76510, 00,  658, 00, 75852, 00, 7605, 00, ////, 07, ////, 07, ////, 07, ///, 07, ///, 07,  295, 00,  244, 00,  90, 00,   26, 00, ////, 07, ///, 07, //, 07, ////////////, 07,  90, 00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19190325, 0700,  275, 00, 76474, 00,  660, 00, 75814, 00, 7602, 00, ////, 07, ////, 07, ////, 07, ///, 07, ///, 07,  305, 00,  252, 00,  45, 00,   46, 00, ////, 07, ///, 07, //, 07, ////////////, 07,  90, 00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19190326, 0700,  275, 00, 76525, 00,  660, 00, 75865, 00, 7607, 00, ////, 07, ////, 07, ////, 07, ///, 07, ///, 07,  290, 00,  256, 00,  45, 00,   62, 00, ////, 07, ///, 07, //, 07, ////////////, 07,  90, 00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19190327, 0700,  267, 00, 76454, 00,  650, 00, 75804, 00, 7600, 00, ////, 07, ////, 07, ////, 07, ///, 07, ///, 07,  294, 00,  242, 00,  90, 00,   26, 00, ////, 07, ///, 07, //, 07, ////////////, 07,  90, 00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19190328, 0700,  267, 00, 76500, 00,  650, 00, 75849, 00, 7605, 00, ////, 07, ////, 07, ////, 07, ///, 07, ///, 07,  288, 00,  249, 00,  90, 00,   51, 00, ////, 07, ///, 07, //, 07, ////////////, 07,  90, 00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19190329, 0700,  267, 00, 76429, 00,  650, 00, 75778, 00, 7597, 00, ////, 07, ////, 07, ////, 07, ///, 07, ///, 07,  301, 00,  255, 00,  90, 00,   10, 00, ////, 07, ///, 07, //, 07, ////////////, 07,  90, 00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19190330, 0700,  267, 00, 76479, 00,  650, 00, 75829, 00, 7602, 00, ////, 07, ////, 07, ////, 07, ///, 07, ///, 07,  293, 00,  246, 00, 135, 00,   41, 00, ////, 07, ///, 07, //, 07, ////////////, 07,  90, 00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19190331, 0700,  269, 00, 76500, 00,  655, 00, 75844, 00, 7605, 00, ////, 07, ////, 07, ////, 07, ///, 07, ///, 07,  300, 00,  253, 00,  90, 00,   31, 00, ////, 07, ///, 07, //, 07, ////////////, 07,  90, 00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19190401, 0700,  272, 00, 76429, 00,  658, 00, 75771, 00, 7597, 00, ////, 07, ////, 07, ////, 07, ///, 07, ///, 07,  310, 00,  253, 00,  90, 00,   51, 00, ////, 07, ///, 07, //, 07, ////////////, 07,  90, 00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19190402, 0700,  269, 00, 76454, 00,  655, 00, 75799, 00, 7600, 00, ////, 07, ////, 07, ////, 07, ///, 07, ///, 07,  283, 00,  256, 00, 135, 00,   46, 00, ////, 07, ///, 07, //, 07, ////////////, 07,  90, 00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19190403, 0700,  272, 00, 76556, 00,  658, 00, 75898, 00, 7610, 00, ////, 07, ////, 07, ////, 07, ///, 07, ///, 07,  307, 00,  256, 00,  90, 00,   51, 00, ////, 07, ///, 07, //, 07, ////////////, 07,  90, 00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19190404, 0700,  269, 00, 76479, 00,  655, 00, 75824, 00, 7602, 00, ////, 07, ////, 07, ////, 07, ///, 07, ///, 07,  302, 00,  242, 00,  90, 00,   41, 00, ////, 07, ///, 07, //, 07, ////////////, 07,  90, 00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19190405, 0700,  275, 00, 76479, 00,  660, 00, 75819, 00, 7602, 00, ////, 07, ////, 07, ////, 07, ///, 07, ///, 07,  300, 00,  252, 00,  45, 00,   62, 00, ////, 07, ///, 07, //, 07, ////////////, 07,  90, 00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19190406, 0700,  275, 00, 76373, 00,  660, 00, 75712, 00, 7592, 00, ////, 07, ////, 07, ////, 07, ///, 07, ///, 07,  307, 00,  253, 00,  90, 00,   41, 00, ////, 07, ///, 07, //, 07, ////////////, 07,  90, 00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19190407, 0700,  278, 00, 76551, 00,  665, 00, 75885, 00, 7610, 00, ////, 07, ////, 07, ////, 07, ///, 07, ///, 07,  302, 00,  253, 00,  90, 00,   41, 00, ////, 07, ///, 07, //, 07, ////////////, 07,  90, 00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19190408, 0700,  278, 00, 76431, 00,  665, 00, 75766, 00, 7597, 00, ////, 07, ////, 07, ////, 07, ///, 07, ///, 07,  310, 00,  257, 00,  45, 00,   51, 00, ////, 07, ///, 07, //, 07, ////////////, 07,  90, 00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19190409, 0700,  278, 00, 76385, 00,  665, 00, 75720, 00, 7592, 00, ////, 07, ////, 07, ////, 07, ///, 07, ///, 07,  311, 00,  257, 00,  90, 00,   51, 00, ////, 07, ///, 07, //, 07, ////////////, 07,  90, 00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19190410, 0700,  278, 00, 76324, 00,  665, 00, 75659, 00, 7587, 00, ////, 07, ////, 07, ////, 07, ///, 07, ///, 07,  301, 00,  248, 00,  45, 00,   41, 00, ////, 07, ///, 07, //, 07, ////////////, 07,  90, 00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19190411, 0700,  275, 00, 76459, 00,  660, 00, 75799, 00, 7600, 00, ////, 07, ////, 07, ////, 07, ///, 07, ///, 07,  283, 00,  246, 00,  45, 00,   46, 00, ////, 07, ///, 07, //, 07, ////////////, 07,  45, 00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19190412, 0700,  278, 00, 76540, 00,  665, 00, 75875, 00, 7607, 00, ////, 07, ////, 07, ////, 07, ///, 07, ///, 07,  306, 00,  247, 00,  90, 00,   62, 00, ////, 07, ///, 07, //, 07, ////////////, 07,  90, 00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19190413, 0700,  275, 00, 76548, 00,  660, 00, 75888, 00, 7610, 00, ////, 07, ////, 07, ////, 07, ///, 07, ///, 07,  305, 00,  260, 00,  45, 00,   62, 00, ////, 07, ///, 07, //, 07, ////////////, 07,  90, 00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19190414, 0700,  275, 00, 76350, 00,  660, 00, 75689, 00, 7590, 00, ////, 07, ////, 07, ////, 07, ///, 07, ///, 07,  304, 00,  256, 00,  90, 00,   62, 00, ////, 07, ///, 07, //, 07, ////////////, 07,  90, 00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19190415, 0700,  275, 00, 76327, 00,  660, 00, 75667, 00, 7587, 00, ////, 07, ////, 07, ////, 07, ///, 07, ///, 07,  299, 00,  256, 00,  90, 00,   51, 00, ////, 07, ///, 07, //, 07, ////////////, 07,  90, 00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19190416, 0700,  275, 00, 76380, 00,  660, 00, 75720, 00, 7592, 00, ////, 07, ////, 07, ////, 07, ///, 07, ///, 07,  296, 00,  259, 00, 135, 00,   51, 00, ////, 07, ///, 07, //, 07, ////////////, 07,  90, 00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19190417, 0700,  278, 00, 76454, 00,  665, 00, 75789, 00, 7600, 00, ////, 07, ////, 07, ////, 07, ///, 07, ///, 07,  307, 00,  261, 00,  90, 00,   62, 00, ////, 07, ///, 07, //, 07, ////////////, 07,  90, 00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19190418, 0700,  275, 00, 76398, 00,  660, 00, 75738, 00, 7595, 00, ////, 07, ////, 07, ////, 07, ///, 07, ///, 07,  309, 00,  262, 00,  90, 00,   77, 00, ////, 07, ///, 07, //, 07, ////////////, 07,  90, 00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19190419, 0700,  275, 00, 76370, 00,  660, 00, 75710, 00, 7592, 00, ////, 07, ////, 07, ////, 07, ///, 07, ///, 07,  292, 00,  253, 00,  90, 00,   46, 00, ////, 07, ///, 07, //, 07, ////////////, 07,  90, 00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19190420, 0700,  272, 00, 76434, 00,  658, 00, 75776, 00, 7597, 00, ////, 07, ////, 07, ////, 07, ///, 07, ///, 07,  295, 00,  252, 00, 135, 00,   41, 00, ////, 07, ///, 07, //, 07, ////////////, 07,  90, 00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19190421, 0700,  275, 00, 76375, 00,  660, 00, 75715, 00, 7592, 00, ////, 07, ////, 07, ////, 07, ///, 07, ///, 07,  310, 00,  251, 00,  90, 00,   46, 00, ////, 07, ///, 07, //, 07, ////////////, 07,  90, 00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19190422, 0700,  275, 00, 76327, 00,  660, 00, 75667, 00, 7587, 00, ////, 07, ////, 07, ////, 07, ///, 07, ///, 07,  307, 00,  253, 00,  90, 00,   46, 00, ////, 07, ///, 07, //, 07, ////////////, 07,  90, 00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19190423, 0700,  275, 00, 76352, 00,  660, 00, 75692, 00, 7590, 00, ////, 07, ////, 07, ////, 07, ///, 07, ///, 07,  300, 00,  256, 00,  90, 00,   51, 00, ////, 07, ///, 07, //, 07, ////////////, 07,  90, 00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19190424, 0700,  278, 00, 76327, 00,  665, 00, 75662, 00, 7587, 00, ////, 07, ////, 07, ////, 07, ///, 07, ///, 07,  305, 00,  262, 00,  45, 00,   41, 00, ////, 07, ///, 07, //, 07, ////////////, 07,  90, 00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19190425, 0700,  278, 00, 76200, 00,  665, 00, 75535, 00, 7574, 00, ////, 07, ////, 07, ////, 07, ///, 07, ///, 07,  288, 00,  253, 00,  90, 00,   51, 00, ////, 07, ///, 07, //, 07, ////////////, 07,  90, 00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19190426, 0700,  267, 00, 76246, 00,  650, 00, 75595, 00, 7579, 00, ////, 07, ////, 07, ////, 07, ///, 07, ///, 07,  307, 00,  248, 00, 135, 00,   62, 00, ////, 07, ///, 07, //, 07, ////////////, 07,  90, 00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19190427, 0700,  269, 00, 76393, 00,  655, 00, 75738, 00, 7595, 00, ////, 07, ////, 07, ////, 07, ///, 07, ///, 07,  283, 00,  249, 00,  45, 00,   26, 00, ////, 07, ///, 07, //, 07, ////////////, 07,  90, 00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19190428, 0700,  269, 00, 76385, 00,  655, 00, 75730, 00, 7595, 00, ////, 07, ////, 07, ////, 07, ///, 07, ///, 07,  281, 00,  248, 00,  45, 00,   26, 00, ////, 07, ///, 07, //, 07, ////////////, 07,  45, 00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19190429, 0700,  272, 00, 76302, 00,  658, 00, 75659, 00, 7584, 00, ////, 07, ////, 07, ////, 07, ///, 07, ///, 07,  304, 00,  252, 00,  90, 00,   41, 00, ////, 07, ///, 07, //, 07, ////////////, 07,  90, 00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19190430, 0700,  278, 00, 76279, 00,  665, 00, 75613, 00, 7582, 00, ////, 07, ////, 07, ////, 07, ///, 07, ///, 07,  304, 00,  256, 00,  45, 00,   51, 00, ////, 07, ///, 07, //, 07, ////////////, 07,  90, 00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19190501, 0700,  278, 00, 76302, 00,  665, 00, 75636, 00, 7584, 00, ////, 07, ////, 07, ////, 07, ///, 07, ///, 07,  305, 00,  261, 00,  90, 00,   62, 00, ////, 07, ///, 07, //, 07, ////////////, 07,  90, 00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19190502, 0700,  278, 00, 76457, 00,  665, 00, 75791, 00, 7600, 00, ////, 07, ////, 07, ////, 07, ///, 07, ///, 07,  306, 00,  249, 00,  90, 00,   62, 00, ////, 07, ///, 07, //, 07, ////////////, 07,  90, 00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19190503, 0700,  278, 00, 76479, 00,  665, 00, 75814, 00, 7602, 00, ////, 07, ////, 07, ////, 07, ///, 07, ///, 07,  306, 00,  259, 00,  90, 00,   41, 00, ////, 07, ///, 07, //, 07, ////////////, 07,  90, 00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19190504, 0700,  278, 00, 76459, 00,  665, 00, 75794, 00, 7600, 00, ////, 07, ////, 07, ////, 07, ///, 07, ///, 07,  309, 00,  246, 00,  45, 00,   51, 00, ////, 07, ///, 07, //, 07, ////////////, 07,  90, 00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19190505, 0700,  278, 00, 76451, 00,  665, 00, 75786, 00, 7600, 00, ////, 07, ////, 07, ////, 07, ///, 07, ///, 07,  302, 00,  257, 00,  45, 00,   41, 00, ////, 07, ///, 07, //, 07, ////////////, 07,  90, 00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19190506, 0700,  278, 00, 76431, 00,  660, 00, 75771, 00, 7597, 00, ////, 07, ////, 07, ////, 07, ///, 07, ///, 07,  316, 00,  257, 00,  90, 00,   41, 00, ////, 07, ///, 07, //, 07, ////////////, 07,  90, 00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19190507, 0700,  278, 00, 76307, 00,  660, 00, 75646, 00, 7584, 00, ////, 07, ////, 07, ////, 07, ///, 07, ///, 07,  309, 00,  258, 00,  90, 00,   62, 00, ////, 07, ///, 07, //, 07, ////////////, 07,  90, 00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19190508, 0700,  275, 00, 76297, 00,  655, 00, 75641, 00, 7584, 00, ////, 07, ////, 07, ////, 07, ///, 07, ///, 07,  307, 00,  261, 00,  90, 00,   51, 00, ////, 07, ///, 07, //, 07, ////////////, 07,  90, 00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19190509, 0700,  278, 00, 76380, 00,  660, 00, 75720, 00, 7592, 00, ////, 07, ////, 07, ////, 07, ///, 07, ///, 07,  303, 00,  256, 00,  90, 00,   62, 00, ////, 07, ///, 07, //, 07, ////////////, 07,  90, 00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19190510, 0700,  278, 00, 76383, 00,  665, 00, 75717, 00, 7592, 00, ////, 07, ////, 07, ////, 07, ///, 07, ///, 07,  309, 00,  257, 00,  90, 00,   51, 00, ////, 07, ///, 07, //, 07, ////////////, 07,  90, 00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19190511, 0700,  275, 00, 76416, 00,  660, 00, 75756, 00, 7597, 00, ////, 07, ////, 07, ////, 07, ///, 07, ///, 07,  313, 00,  255, 00,  90, 00,   41, 00, ////, 07, ///, 07, //, 07, ////////////, 07,  90, 00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19190512, 0700,  275, 00, 76431, 00,  660, 00, 75771, 00, 7597, 00, ////, 07, ////, 07, ////, 07, ///, 07, ///, 07,  305, 00,  261, 00, 135, 00,   41, 00, ////, 07, ///, 07, //, 07, ////////////, 07,  90, 00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19190513, 0700,  278, 00, 76401, 00,  660, 00, 75740, 00, 7595, 00, ////, 07, ////, 07, ////, 07, ///, 07, ///, 07,  304, 00,  261, 00,  90, 00,   62, 00, ////, 07, ///, 07, //, 07, ////////////, 07,  90, 00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19190514, 0700,  275, 00, 76322, 00,  660, 00, 75662, 00, 7587, 00, ////, 07, ////, 07, ////, 07, ///, 07, ///, 07,  311, 00,  262, 00,  90, 00,   62, 00, ////, 07, ///, 07, //, 07, ////////////, 07,  90, 00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19190515, 0700,  283, 00, 76383, 00,  671, 00, 75712, 00, 7592, 00, ////, 07, ////, 07, ////, 07, ///, 07, ///, 07,  316, 00,  264, 00, 135, 00,   46, 00, ////, 07, ///, 07, //, 07, ////////////, 07,  90, 00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19190516, 0700,  283, 00, 76449, 00,  671, 00, 75778, 00, 7597, 00, ////, 07, ////, 07, ////, 07, ///, 07, ///, 07,  308, 00,  266, 00, 135, 00,   51, 00, ////, 07, ///, 07, //, 07, ////////////, 07,  90, 00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19190517, 0700,  283, 00, 76479, 00,  671, 00, 75809, 00, 7602, 00, ////, 07, ////, 07, ////, 07, ///, 07, ///, 07,  311, 00,  259, 00,  90, 00,   51, 00, ////, 07, ///, 07, //, 07, ////////////, 07,  90, 00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19190518, 0700,  281, 00, 76431, 00,  668, 00, 75763, 00, 7597, 00, ////, 07, ////, 07, ////, 07, ///, 07, ///, 07,  300, 00,  252, 00,  90, 00,   62, 00, ////, 07, ///, 07, //, 07, ////////////, 07,  90, 00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19190519, 0700,  278, 00, 76393, 00,  665, 00, 75712, 00, 7592, 00, ////, 07, ////, 07, ////, 07, ///, 07, ///, 07,  302, 00,  266, 00,  90, 00,   51, 00, ////, 07, ///, 07, //, 07, ////////////, 07,  90, 00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19190520, 0700,  278, 00, 76276, 00,  665, 00, 75611, 00, 7582, 00, ////, 07, ////, 07, ////, 07, ///, 07, ///, 07,  309, 00,  267, 00,  90, 00,   51, 00, ////, 07, ///, 07, //, 07, ////////////, 07,  90, 00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19190521, 0700,  281, 00, 76274, 00,  668, 00, 75606, 00, 7582, 00, ////, 07, ////, 07, ////, 07, ///, 07, ///, 07,  307, 00,  264, 00,  45, 00,   51, 00, ////, 07, ///, 07, //, 07, ////////////, 07,  90, 00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19190522, 0700,  283, 00, 76408, 00,  671, 00, 75738, 00, 7595, 00, ////, 07, ////, 07, ////, 07, ///, 07, ///, 07,  311, 00,  265, 00,  90, 00,   62, 00, ////, 07, ///, 07, //, 07, ////////////, 07,  90, 00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19190523, 0700,  275, 00, 76454, 00,  660, 00, 75794, 00, 7600, 00, ////, 07, ////, 07, ////, 07, ///, 07, ///, 07,  309, 00,  251, 00,  45, 00,   51, 00, ////, 07, ///, 07, //, 07, ////////////, 07,  90, 00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19190524, 0700,  278, 00, 76436, 00,  665, 00, 75771, 00, 7597, 00, ////, 07, ////, 07, ////, 07, ///, 07, ///, 07,  310, 00,  259, 00, 135, 00,   62, 00, ////, 07, ///, 07, //, 07, ////////////, 07,  90, 00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19190525, 0700,  278, 00, 76429, 00,  665, 00, 75763, 00, 7597, 00, ////, 07, ////, 07, ////, 07, ///, 07, ///, 07,  311, 00,  260, 00,  90, 00,   62, 00, ////, 07, ///, 07, //, 07, ////////////, 07,  90, 00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19190526, 0700,  278, 00, 76396, 00,  665, 00, 75715, 00, 7592, 00, ////, 07, ////, 07, ////, 07, ///, 07, ///, 07,  311, 00,  259, 00,  45, 00,   51, 00, ////, 07, ///, 07, //, 07, ////////////, 07,  90, 00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19190527, 0700,  278, 00, 76403, 00,  665, 00, 75738, 00, 7595, 00, ////, 07, ////, 07, ////, 07, ///, 07, ///, 07,  308, 00,  261, 00, 135, 00,   62, 00, ////, 07, ///, 07, //, 07, ////////////, 07,  90, 00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19190528, 0700,  278, 00, 76500, 00,  665, 00, 75834, 00, 7605, 00, ////, 07, ////, 07, ////, 07, ///, 07, ///, 07,  304, 00,  259, 00, 135, 00,   41, 00, ////, 07, ///, 07, //, 07, ////////////, 07, 135, 00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19190529, 0700,  278, 00, 76502, 00,  665, 00, 75837, 00, 7605, 00, ////, 07, ////, 07, ////, 07, ///, 07, ///, 07,  308, 00,  262, 00, 135, 00,   51, 00, ////, 07, ///, 07, //, 07, ////////////, 07,  90, 00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19190530, 0700,  281, 00, 76406, 00,  668, 00, 75738, 00, 7595, 00, ////, 07, ////, 07, ////, 07, ///, 07, ///, 07,  304, 00,  264, 00,  90, 00,   62, 00, ////, 07, ///, 07, //, 07, ////////////, 07,  90, 00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19190531, 0700,  281, 00, 76342, 00,  668, 00, 75674, 00, 7587, 00, ////, 07, ////, 07, ////, 07, ///, 07, ///, 07,  309, 00,  262, 00,  90, 00,   51, 00, ////, 07, ///, 07, //, 07, ////////////, 07,  90, 00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19190601, 0700,  278, 00, 76154, 00,  660, 00, 75494, 00, 7569, 00, ////, 07, ////, 07, ////, 07, ///, 07, ///, 07, ////, 07,  260, 00,  90, 00,   41, 00, ////, 07, ///, 07, //, 07, ////////////, 07,  90, 00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19190602, 0700,  283, 00, 76309, 00,  671, 00, 75639, 00, 7584, 00, ////, 07, ////, 07, ////, 07, ///, 07, ///, 07, ////, 07,  269, 00,  90, 00,   62, 00, ////, 07, ///, 07, //, 07, ////////////, 07,  90, 00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19190603, 0700,  281, 00, 76406, 00,  668, 00, 75738, 00, 7595, 00, ////, 07, ////, 07, ////, 07, ///, 07, ///, 07, ////, 07,  268, 00, 135, 00,   77, 00, ////, 07, ///, 07, //, 07, ////////////, 07, 135, 00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19190604, 0700,  278, 00, 76505, 00,  665, 00, 75839, 00, 7605, 00, ////, 07, ////, 07, ////, 07, ///, 07, ///, 07, ////, 07,  261, 00,  90, 00,   62, 00, ////, 07, ///, 07, //, 07, ////////////, 07,  90, 00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19190605, 0700,  283, 00, 76479, 00,  671, 00, 75809, 00, 7602, 00, ////, 07, ////, 07, ////, 07, ///, 07, ///, 07, ////, 07,  261, 00,  45, 00,   62, 00, ////, 07, ///, 07, //, 07, ////////////, 07,  90, 00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19190606, 0700,  278, 00, 76424, 00,  665, 00, 75758, 00, 7597, 00, ////, 07, ////, 07, ////, 07, ///, 07, ///, 07, ////, 07,  253, 00,  90, 00,   51, 00, ////, 07, ///, 07, //, 07, ////////////, 07,  90, 00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19190607, 0700,  278, 00, 76505, 00,  665, 00, 75839, 00, 7605, 00, ////, 07, ////, 07, ////, 07, ///, 07, ///, 07, ////, 07,  260, 00,  90, 00,   51, 00, ////, 07, ///, 07, //, 07, ////////////, 07,  90, 00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19190608, 0700,  278, 00, 76576, 00,  665, 00, 75910, 00, 7612, 00, ////, 07, ////, 07, ////, 07, ///, 07, ///, 07, ////, 07,  262, 00,  90, 00,   62, 00, ////, 07, ///, 07, //, 07, ////////////, 07,  90, 00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19190609, 0700,  275, 00, 76553, 00,  660, 00, 75893, 00, 7610, 00, ////, 07, ////, 07, ////, 07, ///, 07, ///, 07, ////, 07,  252, 00, 135, 00,   62, 00, ////, 07, ///, 07, //, 07, ////////////, 07, 135, 00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19190610, 0700,  275, 00, 76403, 00,  660, 00, 75743, 00, 7595, 00, ////, 07, ////, 07, ////, 07, ///, 07, ///, 07, ////, 07,  256, 00,  90, 00,   62, 00, ////, 07, ///, 07, //, 07, ////////////, 07,  90, 00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19190611, 0700,  278, 00, 76411, 00,  665, 00, 75745, 00, 7595, 00, ////, 07, ////, 07, ////, 07, ///, 07, ///, 07, ////, 07,  258, 00,  90, 00,   41, 00, ////, 07, ///, 07, //, 07, ////////////, 07,  90, 00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19190612, 0700,  278, 00, 76375, 00,  665, 00, 75710, 00, 7592, 00, ////, 07, ////, 07, ////, 07, ///, 07, ///, 07, ////, 07,  256, 00,  90, 00,   51, 00, ////, 07, ///, 07, //, 07, ////////////, 07,  90, 00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19190613, 0700,  278, 00, 76462, 00,  665, 00, 75796, 00, 7600, 00, ////, 07, ////, 07, ////, 07, ///, 07, ///, 07, ////, 07,  260, 00,  90, 00,   51, 00, ////, 07, ///, 07, //, 07, ////////////, 07,  90, 00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19190614, 0700,  278, 00, 76347, 00,  665, 00, 75682, 00, 7590, 00, ////, 07, ////, 07, ////, 07, ///, 07, ///, 07, ////, 07,  258, 00,  90, 00,   51, 00, ////, 07, ///, 07, //, 07, ////////////, 07,  90, 00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19190615, 0700,  278, 00, 76302, 00,  665, 00, 75636, 00, 7584, 00, ////, 07, ////, 07, ////, 07, ///, 07, ///, 07, ////, 07,  259, 00,  90, 00,   62, 00, ////, 07, ///, 07, //, 07, ////////////, 07,  90, 00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19190616, 0700,  281, 00, 76398, 00,  668, 00, 75730, 00, 7595, 00, ////, 07, ////, 07, ////, 07, ///, 07, ///, 07, ////, 07,  263, 00,  90, 00,   62, 00, ////, 07, ///, 07, //, 07, ////////////, 07,  90, 00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19190617, 0700,  278, 00, 76436, 00,  665, 00, 75768, 00, 7597, 00, ////, 07, ////, 07, ////, 07, ///, 07, ///, 07, ////, 07,  258, 00, 135, 00,   51, 00, ////, 07, ///, 07, //, 07, ////////////, 07,  90, 00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19190618, 0700,  278, 00, 76464, 00,  665, 00, 75799, 00, 7600, 00, ////, 07, ////, 07, ////, 07, ///, 07, ///, 07, ////, 07,  258, 00,  90, 00,   62, 00, ////, 07, ///, 07, //, 07, ////////////, 07,  90, 00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19190619, 0700,  275, 00, 76505, 00,  660, 00, 75844, 00, 7605, 00, ////, 07, ////, 07, ////, 07, ///, 07, ///, 07, ////, 07,  256, 00,  90, 00,   51, 00, ////, 07, ///, 07, //, 07, ////////////, 07,  90, 00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19190620, 0700,  278, 00, 76535, 00,  665, 00, 75870, 00, 7607, 00, ////, 07, ////, 07, ////, 07, ///, 07, ///, 07, ////, 07,  257, 00,  90, 00,   46, 00, ////, 07, ///, 07, //, 07, ////////////, 07,  90, 00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19190621, 0700,  278, 00, 76439, 00,  665, 00, 75773, 00, 7597, 00, ////, 07, ////, 07, ////, 07, ///, 07, ///, 07, ////, 07,  258, 00,  90, 00,   51, 00, ////, 07, ///, 07, //, 07, ////////////, 07,  90, 00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19190622, 0700,  278, 00, 76505, 00,  665, 00, 75839, 00, 7605, 00, ////, 07, ////, 07, ////, 07, ///, 07, ///, 07, ////, 07,  260, 00,  90, 00,   77, 00, ////, 07, ///, 07, //, 07, ////////////, 07,  90, 00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19190623, 0700,  275, 00, 76459, 00,  660, 00, 75799, 00, 7600, 00, ////, 07, ////, 07, ////, 07, ///, 07, ///, 07, ////, 07,  259, 00,  90, 00,   77, 00, ////, 07, ///, 07, //, 07, ////////////, 07,  90, 00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19190624, 0700,  272, 00, 76403, 00,  658, 00, 75745, 00, 7595, 00, ////, 07, ////, 07, ////, 07, ///, 07, ///, 07, ////, 07,  253, 00,  90, 00,   62, 00, ////, 07, ///, 07, //, 07, ////////////, 07,  90, 00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19190625, 0700,  269, 00, 76406, 00,  655, 00, 75750, 00, 7595, 00, ////, 07, ////, 07, ////, 07, ///, 07, ///, 07, ////, 07,  254, 00,  90, 00,   72, 00, ////, 07, ///, 07, //, 07, ////////////, 07,  90, 00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19190626, 0700,  272, 00, 76411, 00,  658, 00, 75753, 00, 7595, 00, ////, 07, ////, 07, ////, 07, ///, 07, ///, 07, ////, 07,  252, 00,  90, 00,   51, 00, ////, 07, ///, 07, //, 07, ////////////, 07,  90, 00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19190627, 0700,  272, 00, 76352, 00,  658, 00, 75695, 00, 7590, 00, ////, 07, ////, 07, ////, 07, ///, 07, ///, 07, ////, 07,  258, 00,  90, 00,   62, 00, ////, 07, ///, 07, //, 07, ////////////, 07,  90, 00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19190628, 0700,  269, 00, 76352, 00,  655, 00, 75697, 00, 7590, 00, ////, 07, ////, 07, ////, 07, ///, 07, ///, 07, ////, 07,  253, 00,  90, 00,   51, 00, ////, 07, ///, 07, //, 07, ////////////, 07,  90, 00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19190629, 0700,  272, 00, 76500, 00,  658, 00, 75842, 00, 7605, 00, ////, 07, ////, 07, ////, 07, ///, 07, ///, 07, ////, 07,  256, 00, 135, 00,   62, 00, ////, 07, ///, 07, //, 07, ////////////, 07,  90, 00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19190630, 0700,  275, 00, 76535, 00,  660, 00, 75875, 00, 7607, 00, ////, 07, ////, 07, ////, 07, ///, 07, ///, 07, ////, 07,  252, 00,  90, 00,   62, 00, ////, 07, ///, 07, //, 07, ////////////, 07,  90, 00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19190701, 0700,  275, 00, 76474, 00,  660, 00, 75814, 00, 7602, 00, ////, 07, ////, 07, ////, 07, ///, 07, ///, 07, ////, 07,  256, 00,  90, 00,   51, 00, ////, 07, ///, 07, //, 07, ////////////, 07,  90, 00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19190702, 0700,  272, 00, 76434, 00,  658, 00, 75776, 00, 7597, 00, ////, 07, ////, 07, ////, 07, ///, 07, ///, 07, ////, 07,  252, 00,  90, 00,   46, 00, ////, 07, ///, 07, //, 07, ////////////, 07,  90, 00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19190703, 0700,  278, 00, 76479, 00,  665, 00, 75814, 00, 7602, 00, ////, 07, ////, 07, ////, 07, ///, 07, ///, 07, ////, 07,  252, 00,  90, 00,   41, 00, ////, 07, ///, 07, //, 07, ////////////, 07,  90, 00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19190704, 0700,  272, 00, 76479, 00,  658, 00, 75822, 00, 7602, 00, ////, 07, ////, 07, ////, 07, ///, 07, ///, 07, ////, 07,  254, 00,  90, 00,   51, 00, ////, 07, ///, 07, //, 07, ////////////, 07,  90, 00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19190705, 0700,  272, 00, 76408, 00,  660, 00, 75748, 00, 7595, 00, ////, 07, ////, 07, ////, 07, ///, 07, ///, 07, ////, 07,  253, 00,  90, 00,   51, 00, ////, 07, ///, 07, //, 07, ////////////, 07,  90, 00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19190706, 0700,  269, 00, 76342, 00,  655, 00, 75687, 00, 7590, 00, ////, 07, ////, 07, ////, 07, ///, 07, ///, 07, ////, 07,  251, 00,  90, 00,   62, 00, ////, 07, ///, 07, //, 07, ////////////, 07,  90, 00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19190707, 0700,  272, 00, 76431, 00,  658, 00, 75773, 00, 7597, 00, ////, 07, ////, 07, ////, 07, ///, 07, ///, 07, ////, 07,  255, 00,  90, 00,   51, 00, ////, 07, ///, 07, //, 07, ////////////, 07,  90, 00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19190708, 0700,  275, 00, 76551, 00,  660, 00, 75890, 00, 7610, 00, ////, 07, ////, 07, ////, 07, ///, 07, ///, 07, ////, 07,  253, 00,  90, 00,   51, 00, ////, 07, ///, 07, //, 07, ////////////, 07,  90, 00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19190709, 0700,  275, 00, 76606, 00,  660, 00, 75946, 00, 7615, 00, ////, 07, ////, 07, ////, 07, ///, 07, ///, 07, ////, 07,  252, 00,  90, 00,   26, 00, ////, 07, ///, 07, //, 07, ////////////, 07,  90, 00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19190710, 0700,  275, 00, 76459, 00,  660, 00, 75799, 00, 7600, 00, ////, 07, ////, 07, ////, 07, ///, 07, ///, 07, ////, 07,  256, 00,  90, 00,   51, 00, ////, 07, ///, 07, //, 07, ////////////, 07,  90, 00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19190711, 0700,  278, 00, 76525, 00,  665, 00, 75860, 00, 7607, 00, ////, 07, ////, 07, ////, 07, ///, 07, ///, 07, ////, 07,  260, 00,  90, 00,   51, 00, ////, 07, ///, 07, //, 07, ////////////, 07,  90, 00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19190712, 0700,  278, 00, 76566, 00,  665, 00, 75900, 00, 7610, 00, ////, 07, ////, 07, ////, 07, ///, 07, ///, 07, ////, 07,  257, 00,  90, 00,   41, 00, ////, 07, ///, 07, //, 07, ////////////, 07,  90, 00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19190713, 0700,  275, 00, 76566, 00,  660, 00, 75905, 00, 7610, 00, ////, 07, ////, 07, ////, 07, ///, 07, ///, 07, ////, 07,  256, 00,  90, 00,   46, 00, ////, 07, ///, 07, //, 07, ////////////, 07,  90, 00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19190714, 0700,  275, 00, 76459, 00,  660, 00, 75799, 00, 7600, 00, ////, 07, ////, 07, ////, 07, ///, 07, ///, 07, ////, 07,  253, 00, 135, 00,   41, 00, ////, 07, ///, 07, //, 07, ////////////, 07,  90, 00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19190715, 0700,  275, 00, 76406, 00,  660, 00, 75745, 00, 7595, 00, ////, 07, ////, 07, ////, 07, ///, 07, ///, 07, ////, 07,  253, 00,  90, 00,   31, 00, ////, 07, ///, 07, //, 07, ////////////, 07,  90, 00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19190716, 0700,  278, 00, 76426, 00,  665, 00, 75761, 00, 7597, 00, ////, 07, ////, 07, ////, 07, ///, 07, ///, 07, ////, 07,  251, 00,  90, 00,   46, 00, ////, 07, ///, 07, //, 07, ////////////, 07,  90, 00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19190717, 0700,  275, 00, 76487, 00,  660, 00, 75827, 00, 7602, 00, ////, 07, ////, 07, ////, 07, ///, 07, ///, 07, ////, 07,  254, 00,  90, 00,   41, 00, ////, 07, ///, 07, //, 07, ////////////, 07,  90, 00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19190718, 0700,  275, 00, 76487, 00,  660, 00, 75827, 00, 7602, 00, ////, 07, ////, 07, ////, 07, ///, 07, ///, 07, ////, 07,  249, 00,  90, 00,   41, 00, ////, 07, ///, 07, //, 07, ////////////, 07,  90, 00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19190719, 0700,  272, 00, 76512, 00,  658, 00, 75855, 00, 7605, 00, ////, 07, ////, 07, ////, 07, ///, 07, ///, 07, ////, 07,  252, 00, 135, 00,   31, 00, ////, 07, ///, 07, //, 07, ////////////, 07,  90, 00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19190720, 0700,  278, 00, 76355, 00,  665, 00, 75689, 00, 7590, 00, ////, 07, ////, 07, ////, 07, ///, 07, ///, 07, ////, 07,  256, 00,  90, 00,   41, 00, ////, 07, ///, 07, //, 07, ////////////, 07,  90, 00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19190721, 0700,  275, 00, 76261, 00,  660, 00, 75601, 00, 7579, 00, ////, 07, ////, 07, ////, 07, ///, 07, ///, 07, ////, 07,  256, 00, 135, 00,   26, 00, ////, 07, ///, 07, //, 07, ////////////, 07,  90, 00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19190722, 0700,  275, 00, 76408, 00,  660, 00, 75748, 00, 7595, 00, ////, 07, ////, 07, ////, 07, ///, 07, ///, 07, ////, 07,  254, 00, 135, 00,   41, 00, ////, 07, ///, 07, //, 07, ////////////, 07,  90, 00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19190723, 0700,  278, 00, 76347, 00,  665, 00, 75682, 00, 7590, 00, ////, 07, ////, 07, ////, 07, ///, 07, ///, 07, ////, 07,  258, 00,  90, 00,   41, 00, ////, 07, ///, 07, //, 07, ////////////, 07,  90, 00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19190724, 0700,  275, 00, 76398, 00,  660, 00, 75738, 00, 7595, 00, ////, 07, ////, 07, ////, 07, ///, 07, ///, 07, ////, 07,  250, 00,  90, 00,   51, 00, ////, 07, ///, 07, //, 07, ////////////, 07,  90, 00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19190725, 0700,  278, 00, 76360, 00,  665, 00, 75695, 00, 7590, 00, ////, 07, ////, 07, ////, 07, ///, 07, ///, 07, ////, 07,  259, 00,  90, 00,   41, 00, ////, 07, ///, 07, //, 07, ////////////, 07,  90, 00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19190726, 0700,  278, 00, 76363, 00,  665, 00, 75697, 00, 7590, 00, ////, 07, ////, 07, ////, 07, ///, 07, ///, 07, ////, 07,  262, 00, 135, 00,   41, 00, ////, 07, ///, 07, //, 07, ////////////, 07,  90, 00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19190727, 0700,  281, 00, 76444, 00,  668, 00, 75776, 00, 7597, 00, ////, 07, ////, 07, ////, 07, ///, 07, ///, 07, ////, 07,  263, 00,  90, 00,   41, 00, ////, 07, ///, 07, //, 07, ////////////, 07,  90, 00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19190728, 0700,  278, 00, 76312, 00,  665, 00, 75646, 00, 7584, 00, ////, 07, ////, 07, ////, 07, ///, 07, ///, 07, ////, 07,  256, 00,  45, 00,   31, 00, ////, 07, ///, 07, //, 07, ////////////, 07,  90, 00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19190729, 0700,  281, 00, 76380, 00,  668, 00, 75712, 00, 7592, 00, ////, 07, ////, 07, ////, 07, ///, 07, ///, 07, ////, 07,  253, 00,  90, 00,   31, 00, ////, 07, ///, 07, //, 07, ////////////, 07,  90, 00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19190730, 0700,  281, 00, 76479, 00,  668, 00, 75811, 00, 7602, 00, ////, 07, ////, 07, ////, 07, ///, 07, ///, 07, ////, 07,  260, 00,  90, 00,   51, 00, ////, 07, ///, 07, //, 07, ////////////, 07,  90, 00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19190731, 0700,  283, 00, 76520, 00,  671, 00, 75849, 00, 7605, 00, ////, 07, ////, 07, ////, 07, ///, 07, ///, 07, ////, 07,  267, 00,  45, 00,   51, 00, ////, 07, ///, 07, //, 07, ////////////, 07,  90, 00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19190801, 0700,  283, 00, 76548, 00,  671, 00, 75877, 00, 7607, 00, ////, 07, ////, 07, ////, 07, ///, 07, ///, 07, ////, 07,  256, 00,  90, 00,   41, 00, ////, 07, ///, 07, //, 07, ////////////, 07,  90, 00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19190802, 0700,  283, 00, 76484, 00,  671, 00, 75814, 00, 7602, 00, ////, 07, ////, 07, ////, 07, ///, 07, ///, 07, ////, 07,  268, 00, 135, 00,   41, 00, ////, 07, ///, 07, //, 07, ////////////, 07,  90, 00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19190803, 0700,  283, 00, 76416, 00,  671, 00, 75745, 00, 7595, 00, ////, 07, ////, 07, ////, 07, ///, 07, ///, 07, ////, 07,  263, 00,  90, 00,   31, 00, ////, 07, ///, 07, //, 07, ////////////, 07,  90, 00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19190804, 0700,  281, 00, 76497, 00,  668, 00, 75829, 00, 7602, 00, ////, 07, ////, 07, ////, 07, ///, 07, ///, 07, ////, 07,  246, 00,  90, 00,   41, 00, ////, 07, ///, 07, //, 07, ////////////, 07,  90, 00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19190805, 0700,  281, 00, 76403, 00,  668, 00, 75735, 00, 7595, 00, ////, 07, ////, 07, ////, 07, ///, 07, ///, 07, ////, 07,  261, 00,  90, 00,   51, 00, ////, 07, ///, 07, //, 07, ////////////, 07,  90, 00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19190806, 0700,  278, 00, 76378, 00,  665, 00, 75712, 00, 7592, 00, ////, 07, ////, 07, ////, 07, ///, 07, ///, 07, ////, 07,  261, 00,  90, 00,   31, 00, ////, 07, ///, 07, //, 07, ////////////, 07,  90, 00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19190807, 0700,  281, 00, 76314, 00,  668, 00, 75646, 00, 7584, 00, ////, 07, ////, 07, ////, 07, ///, 07, ///, 07, ////, 07,  262, 00,  90, 00,   26, 00, ////, 07, ///, 07, //, 07, ////////////, 07,  90, 00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19190808, 0700,  281, 00, 76429, 00,  668, 00, 75761, 00, 7597, 00, ////, 07, ////, 07, ////, 07, ///, 07, ///, 07, ////, 07,  260, 00,  90, 00,   26, 00, ////, 07, ///, 07, //, 07, ////////////, 07,  90, 00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19190809, 0700,  283, 00, 76393, 00,  671, 00, 75707, 00, 7592, 00, ////, 07, ////, 07, ////, 07, ///, 07, ///, 07, ////, 07,  246, 00, 135, 00,   77, 00, ////, 07, ///, 07, //, 07, ////////////, 07,  90, 00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19190810, 0700,  283, 00, 76429, 00,  671, 00, 75758, 00, 7597, 00, ////, 07, ////, 07, ////, 07, ///, 07, ///, 07, ////, 07,  253, 00,  90, 00,   26, 00, ////, 07, ///, 07, //, 07, ////////////, 07,  90, 00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19190811, 0700,  283, 00, 76444, 00,  671, 00, 75773, 00, 7597, 00, ////, 07, ////, 07, ////, 07, ///, 07, ///, 07, ////, 07,  257, 00,  90, 00,   41, 00, ////, 07, ///, 07, //, 07, ////////////, 07,  90, 00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19190812, 0700,  283, 00, 76429, 00,  671, 00, 75758, 00, 7597, 00, ////, 07, ////, 07, ////, 07, ///, 07, ///, 07, ////, 07,  257, 00,  90, 00,   51, 00, ////, 07, ///, 07, //, 07, ////////////, 07,  90, 00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19190813, 0700,  283, 00, 76291, 00,  671, 00, 75621, 00, 7582, 00, ////, 07, ////, 07, ////, 07, ///, 07, ///, 07, ////, 07,  257, 00,  90, 00,   51, 00, ////, 07, ///, 07, //, 07, ////////////, 07,  90, 00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19190814, 0700,  281, 00, 76441, 00,  668, 00, 75773, 00, 7597, 00, ////, 07, ////, 07, ////, 07, ///, 07, ///, 07, ////, 07,  247, 00,  90, 00,   62, 00, ////, 07, ///, 07, //, 07, ////////////, 07,  90, 00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19190815, 0700,  283, 00, 76617, 00,  671, 00, 75946, 00, 7615, 00, ////, 07, ////, 07, ////, 07, ///, 07, ///, 07, ////, 07,  263, 00,  90, 00,   41, 00, ////, 07, ///, 07, //, 07, ////////////, 07,  90, 00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19190816, 0700,  283, 00, 76505, 00,  671, 00, 75834, 00, 7605, 00, ////, 07, ////, 07, ////, 07, ///, 07, ///, 07, ////, 07,  268, 00,  90, 00,   41, 00, ////, 07, ///, 07, //, 07, ////////////, 07,  90, 00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19190817, 0700,  278, 00, 76520, 00,  665, 00, 75855, 00, 7605, 00, ////, 07, ////, 07, ////, 07, ///, 07, ///, 07, ////, 07,  229, 00,  90, 00,   31, 00, ////, 07, ///, 07, //, 07, ////////////, 07,  90, 00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19190818, 0700,  278, 00, 76601, 00,  665, 00, 75936, 00, 7615, 00, ////, 07, ////, 07, ////, 07, ///, 07, ///, 07, ////, 07,  242, 00,  90, 00,   41, 00, ////, 07, ///, 07, //, 07, ////////////, 07,  90, 00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19190819, 0700,  283, 00, 76622, 00,  671, 00, 75951, 00, 7615, 00, ////, 07, ////, 07, ////, 07, ///, 07, ///, 07, ////, 07,  259, 00,  90, 00,   51, 00, ////, 07, ///, 07, //, 07, ////////////, 07,  90, 00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19190820, 0700,  283, 00, 76622, 00,  671, 00, 75951, 00, 7615, 00, ////, 07, ////, 07, ////, 07, ///, 07, ///, 07, ////, 07,  260, 00,  90, 00,   31, 00, ////, 07, ///, 07, //, 07, ////////////, 07,  90, 00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19190821, 0700,  283, 00, 76495, 00,  671, 00, 75824, 00, 7602, 00, ////, 07, ////, 07, ////, 07, ///, 07, ///, 07, ////, 07,  256, 00,  90, 00,   31, 00, ////, 07, ///, 07, //, 07, ////////////, 07,  90, 00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19190822, 0700,  281, 00, 76479, 00,  668, 00, 75811, 00, 7602, 00, ////, 07, ////, 07, ////, 07, ///, 07, ///, 07, ////, 07,  249, 00,  90, 00,   15, 00, ////, 07, ///, 07, //, 07, ////////////, 07,  90, 00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19190823, 0700,  283, 00, 76454, 00,  668, 00, 75786, 00, 7600, 00, ////, 07, ////, 07, ////, 07, ///, 07, ///, 07, ////, 07,  253, 00,  45, 00,   31, 00, ////, 07, ///, 07, //, 07, ////////////, 07,  45, 00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19190824, 0700,  281, 00, 76429, 00,  668, 00, 75761, 00, 7597, 00, ////, 07, ////, 07, ////, 07, ///, 07, ///, 07, ////, 07,  249, 00,  90, 00,   41, 00, ////, 07, ///, 07, //, 07, ////////////, 07,  90, 00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19190825, 0700,  278, 00, 76454, 00,  665, 00, 75789, 00, 7600, 00, ////, 07, ////, 07, ////, 07, ///, 07, ///, 07, ////, 07,  257, 00,  90, 00,   41, 00, ////, 07, ///, 07, //, 07, ////////////, 07,  90, 00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19190826, 0700,  281, 00, 76375, 00,  668, 00, 75707, 00, 7592, 00, ////, 07, ////, 07, ////, 07, ///, 07, ///, 07, ////, 07,  248, 00,  90, 00,   15, 00, ////, 07, ///, 07, //, 07, ////////////, 07,  90, 00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19190827, 0700,  281, 00, 76264, 00,  668, 00, 75595, 00, 7579, 00, ////, 07, ////, 07, ////, 07, ///, 07, ///, 07, ////, 07,  259, 00,  90, 00,   21, 00, ////, 07, ///, 07, //, 07, ////////////, 07,  90, 00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19190828, 0700,  283, 00, 76317, 00,  671, 00, 75646, 00, 7584, 00, ////, 07, ////, 07, ////, 07, ///, 07, ///, 07, ////, 07,  260, 00,  90, 00,   26, 00, ////, 07, ///, 07, //, 07, ////////////, 07,  90, 00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19190829, 0700,  283, 00, 76378, 00,  678, 00, 75707, 00, 7592, 00, ////, 07, ////, 07, ////, 07, ///, 07, ///, 07, ////, 07,  251, 00,  90, 00,   46, 00, ////, 07, ///, 07, //, 07, ////////////, 07,  90, 00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19190830, 0700,  281, 00, 76363, 00,  668, 00, 75695, 00, 7590, 00, ////, 07, ////, 07, ////, 07, ///, 07, ///, 07, ////, 07,  262, 00,  90, 00,   26, 00, ////, 07, ///, 07, //, 07, ////////////, 07,  90, 00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19190831, 0700,  275, 00, 76220, 00,  660, 00, 75560, 00, 7577, 00, ////, 07, ////, 07, ////, 07, ///, 07, ///, 07, ////, 07,  241, 00,  90, 00,   26, 00, ////, 07, ///, 07, //, 07, ////////////, 07,  90, 00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19190901, 0700,  281, 00, 76236, 00,  665, 00, 75568, 00, 7577, 00, ////, 07, ////, 07, ////, 07, ///, 07, ///, 07, ////, 07,  242, 00,  90, 00,   41, 00, ////, 07, ///, 07, //, 07, ////////////, 07,  90, 00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19190902, 0700,  283, 00, 76291, 00,  671, 00, 75621, 00, 7582, 00, ////, 07, ////, 07, ////, 07, ///, 07, ///, 07, ////, 07,  249, 00,  90, 00,   31, 00, ////, 07, ///, 07, //, 07, ////////////, 07,  90, 00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19190903, 0700,  281, 00, 76096, 00,  668, 00, 75504, 00, 7572, 00, ////, 07, ////, 07, ////, 07, ///, 07, ///, 07, ////, 07,  260, 00,  90, 00,   21, 00, ////, 07, ///, 07, //, 07, ////////////, 07,  90, 00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19190904, 0700,  283, 00, 76111, 00,  668, 00, 75443, 00, 7564, 00, ////, 07, ////, 07, ////, 07, ///, 07, ///, 07, ////, 07,  257, 00,  90, 00,   46, 00, ////, 07, ///, 07, //, 07, ////////////, 07,  90, 00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19190905, 0700,  283, 00, 76241, 00,  678, 00, 75570, 00, 7577, 00, ////, 07, ////, 07, ////, 07, ///, 07, ///, 07, ////, 07,  259, 00, 135, 00,   41, 00, ////, 07, ///, 07, //, 07, ////////////, 07,  90, 00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19190906, 0700,  286, 00, 76205, 00,  676, 00, 75529, 00, 7574, 00, ////, 07, ////, 07, ////, 07, ///, 07, ///, 07, ////, 07,  259, 00,  90, 00,   26, 00, ////, 07, ///, 07, //, 07, ////////////, 07,  90, 00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19190907, 0700,  289, 00, 76192, 00,  673, 00, 75519, 00, 7572, 00, ////, 07, ////, 07, ////, 07, ///, 07, ///, 07, ////, 07,  266, 00,  90, 00,   46, 00, ////, 07, ///, 07, //, 07, ////////////, 07,  90, 00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19190908, 0700,  283, 00, 76185, 00,  665, 00, 75519, 00, 7572, 00, ////, 07, ////, 07, ////, 07, ///, 07, ///, 07, ////, 07,  262, 00,  45, 00,   41, 00, ////, 07, ///, 07, //, 07, ////////////, 07,  90, 00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19190909, 0700,  283, 00, 76093, 00,  665, 00, 75428, 00, 7564, 00, ////, 07, ////, 07, ////, 07, ///, 07, ///, 07, ////, 07,  260, 00,  90, 00,   41, 00, ////, 07, ///, 07, //, 07, ////////////, 07,  90, 00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19190910, 0700,  286, 00, 76220, 00,  676, 00, 75545, 00, 7574, 00, ////, 07, ////, 07, ////, 07, ///, 07, ///, 07, ////, 07,  268, 00,  90, 00,   31, 00, ////, 07, ///, 07, //, 07, ////////////, 07,  90, 00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19190911, 0700,  286, 00, 76251, 00,  676, 00, 75575, 00, 7577, 00, ////, 07, ////, 07, ////, 07, ///, 07, ///, 07, ////, 07,  263, 00, 135, 00,   26, 00, ////, 07, ///, 07, //, 07, ////////////, 07,  90, 00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19190912, 0700,  286, 00, 76220, 00,  676, 00, 75545, 00, 7574, 00, ////, 07, ////, 07, ////, 07, ///, 07, ///, 07, ////, 07,  259, 00,  90, 00,   10, 00, ////, 07, ///, 07, //, 07, ////////////, 07,  90, 00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19190913, 0700,  286, 00, 76251, 00,  676, 00, 75575, 00, 7577, 00, ////, 07, ////, 07, ////, 07, ///, 07, ///, 07, ////, 07,  263, 00, 135, 00,   26, 00, ////, 07, ///, 07, //, 07, ////////////, 07,  90, 00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19190914, 0700,  283, 00, 76241, 00,  671, 00, 75570, 00, 7577, 00, ////, 07, ////, 07, ////, 07, ///, 07, ///, 07, ////, 07,  260, 00,  90, 00,   15, 00, ////, 07, ///, 07, //, 07, ////////////, 07,  90, 00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19190915, 0700,  286, 00, 76225, 00,  676, 00, 75550, 00, 7574, 00, ////, 07, ////, 07, ////, 07, ///, 07, ///, 07, ////, 07,  270, 00,  90, 00,   31, 00, ////, 07, ///, 07, //, 07, ////////////, 07,  90, 00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19190916, 0700,  303, 00, 76264, 00,  696, 00, 75568, 00, 7577, 00, ////, 07, ////, 07, ////, 07, ///, 07, ///, 07, ////, 07,  240, 00,  90, 00,   41, 00, ////, 07, ///, 07, //, 07, ////////////, 07,  90, 00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19190917, 0700,  281, 00, 76291, 00,  668, 00, 75522, 00, 7572, 00, ////, 07, ////, 07, ////, 07, ///, 07, ///, 07, ////, 07,  247, 00,  90, 00,   46, 00, ////, 07, ///, 07, //, 07, ////////////, 07,  90, 00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19190918, 0700,  283, 00, 76251, 00,  671, 00, 75580, 00, 7579, 00, ////, 07, ////, 07, ////, 07, ///, 07, ///, 07, ////, 07,  262, 00,  90, 00,   62, 00, ////, 07, ///, 07, //, 07, ////////////, 07,  90, 00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19190919, 0700,  283, 00, 76342, 00,  671, 00, 75672, 00, 7587, 00, ////, 07, ////, 07, ////, 07, ///, 07, ///, 07, ////, 07,  261, 00,  90, 00,   31, 00, ////, 07, ///, 07, //, 07, ////////////, 07,  90, 00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19190920, 0700,  286, 00, 76365, 00,  671, 00, 75695, 00, 7590, 00, ////, 07, ////, 07, ////, 07, ///, 07, ///, 07, ////, 07,  267, 00,  90, 00,   41, 00, ////, 07, ///, 07, //, 07, ////////////, 07,  90, 00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19190921, 0700,  283, 00, 76238, 00,  671, 00, 75568, 00, 7577, 00, ////, 07, ////, 07, ////, 07, ///, 07, ///, 07, ////, 07,  263, 00,  90, 00,   26, 00, ////, 07, ///, 07, //, 07, ////////////, 07,  90, 00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19190922, 0700,  283, 00, 76264, 00,  671, 00, 75593, 00, 7579, 00, ////, 07, ////, 07, ////, 07, ///, 07, ///, 07, ////, 07,  257, 00,  90, 00,   21, 00, ////, 07, ///, 07, //, 07, ////////////, 07,  90, 00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19190923, 0700,  283, 00, 76251, 00,  671, 00, 75580, 00, 7579, 00, ////, 07, ////, 07, ////, 07, ///, 07, ///, 07, ////, 07,  260, 00, 135, 00,   62, 00, ////, 07, ///, 07, //, 07, ////////////, 07,  90, 00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19190924, 0700,  289, 00, 76258, 00,  678, 00, 75580, 00, 7579, 00, ////, 07, ////, 07, ////, 07, ///, 07, ///, 07, ////, 07,  266, 00,  90, 00,   46, 00, ////, 07, ///, 07, //, 07, ////////////, 07,  90, 00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19190925, 0700,  289, 00, 76327, 00,  678, 00, 75649, 00, 7584, 00, ////, 07, ////, 07, ////, 07, ///, 07, ///, 07, ////, 07,  260, 00,   0, 00, ////, 07,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19190926, 0700,  289, 00, 76378, 00,  678, 00, 75700, 00, 7590, 00, ////, 07, ////, 07, ////, 07, ///, 07, ///, 07, ////, 07,  253, 00,   0, 00, ////, 07,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19190927, 0700,  289, 00, 76360, 00,  678, 00, 75682, 00, 7590, 00, ////, 07, ////, 07, ////, 07, ///, 07, ///, 07, ////, 07,  262, 00,  90, 00,   36, 00, ////, 07, ///, 07, //, 07, ////////////, 07,  90, 00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19190928, 0700,  289, 00, 76220, 00,  671, 00, 75796, 00, 7574, 00, ////, 07, ////, 07, ////, 07, ///, 07, ///, 07, ////, 07,  267, 00,  90, 00,   46, 00, ////, 07, ///, 07, //, 07, ////////////, 07,  90, 00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19190929, 0700,  283, 00, 76276, 00,  671, 00, 75606, 00, 7582, 00, ////, 07, ////, 07, ////, 07, ///, 07, ///, 07, ////, 07,  261, 00,  90, 00,   41, 00, ////, 07, ///, 07, //, 07, ////////////, 07,  90, 00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19190930, 0700,  283, 00, 76297, 00,  671, 00, 75626, 00, 7582, 00, ////, 07, ////, 07, ////, 07, ///, 07, ///, 07, ////, 07,  262, 00,  90, 00,   21, 00, ////, 07, ///, 07, //, 07, ////////////, 07,  90, 00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19191001, 0700,  283, 00, 76383, 00,  671, 00, 75712, 00, 7592, 00, ////, 07, ////, 07, ////, 07, ///, 07, ///, 07, ////, 07,  258, 00,  90, 00,   46,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19191002, 0700,  286, 00, 76347, 00,  676, 00, 75672, 00, 7587, 00, ////, 07, ////, 07, ////, 07, ///, 07, ///, 07, ////, 07,  267, 00,  90, 00,   41, 00, ////, 07, ///, 07, //, 07, ////////////, 07,  90, 00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19191003, 0700,  286, 00, 76332, 00,  676, 00, 75580, 00, 7587, 00, ////, 07, ////, 07, ////, 07, ///, 07, ///, 07, ////, 07,  267, 00,  90, 00,   41, 00, ////, 07, ///, 07, //, 07, ////////////, 07,  90, 00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19191004, 0700,  289, 00, 76225, 00,  678, 00, 75547, 00, 7574, 00, ////, 07, ////, 07, ////, 07, ///, 07, ///, 07, ////, 07,  264, 00,  90, 00,   31, 00, ////, 07, ///, 07, //, 07, ////////////, 07,  90, 00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19191005, 0700,  289, 00, 76129, 00,  673, 00, 75456, 00, 7567, 00, ////, 07, ////, 07, ////, 07, ///, 07, ///, 07, ////, 07,  266, 00,  90, 00,   31, 00, ////, 07, ///, 07, //, 07, ////////////, 07,  90, 00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19191006, 0700,  289, 00, 76258, 00,  678, 00, 75580, 00, 7579, 00, ////, 07, ////, 07, ////, 07, ///, 07, ///, 07, ////, 07,  259, 00,  90, 00,   36, 00, ////, 07, ///, 07, //, 07, ////////////, 07,  90, 00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19191007, 0700,  286, 00, 76162, 00,  668, 00, 75494, 00, 7569, 00, ////, 07, ////, 07, ////, 07, ///, 07, ///, 07, ////, 07,  264, 00,  90, 00,   41, 00, ////, 07, ///, 07, //, 07, ////////////, 07,  90, 00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19191008, 0700,  286, 00, 76243, 00,  676, 00, 75568, 00, 7577, 00, ////, 07, ////, 07, ////, 07, ///, 07, ///, 07, ////, 07,  264, 00,  90, 00,   36, 00, ////, 07, ///, 07, //, 07, ////////////, 07,  90, 00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19191009, 0700,  283, 00, 76215, 00,  671, 00, 75545, 00, 7574, 00, ////, 07, ////, 07, ////, 07, ///, 07, ///, 07, ////, 07,  262, 00,  45, 00,   31, 00, ////, 07, ///, 07, //, 07, ////////////, 07,  90, 00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19191010, 0700,  289, 00, 76258, 00,  678, 00, 75580, 00, 7579, 00, ////, 07, ////, 07, ////, 07, ///, 07, ///, 07, ////, 07,  266, 00,  90, 00,   21, 00, ////, 07, ///, 07, //, 07, ////////////, 07,  90, 00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19191011, 0700,  286, 00, 76246, 00,  676, 00, 75570, 00, 7577, 00, ////, 07, ////, 07, ////, 07, ///, 07, ///, 07, ////, 07,  257, 00,  90, 00,   15, 00, ////, 07, ///, 07, //, 07, ////////////, 07,  90, 00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19191012, 0700,  272, 00, 76175, 00,  653, 00, 75522, 00, 7572, 00, ////, 07, ////, 07, ////, 07, ///, 07, ///, 07, ////, 07,  241, 00, 135, 00,   26, 00, ////, 07, ///, 07, //, 07, ////////////, 07,  90, 00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19191013, 0700,  278, 00, 76131, 00,  660, 00, 75471, 00, 7567, 00, ////, 07, ////, 07, ////, 07, ///, 07, ///, 07, ////, 07,  250, 00, 135, 00,   21, 00, ////, 07, ///, 07, //, 07, ////////////, 07,  90, 00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19191014, 0700,  283, 00, 76119, 00,  665, 00, 75453, 00, 7567, 00, ////, 07, ////, 07, ////, 07, ///, 07, ///, 07, ////, 07,  232, 00,  45, 00,   21, 00, ////, 07, ///, 07, //, 07, ////////////, 07,  90, 00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19191015, 0700,  283, 00, 76332, 00,  671, 00, 75662, 00, 7587, 00, ////, 07, ////, 07, ////, 07, ///, 07, ///, 07, ////, 07,  259, 00, 135, 00,   41, 00, ////, 07, ///, 07, //, 07, ////////////, 07,  90, 00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19191016, 0700,  286, 00, 76297, 00,  673, 00, 75623, 00, 7582, 00, ////, 07, ////, 07, ////, 07, ///, 07, ///, 07, ////, 07,  259, 00,  90, 00,   36, 00, ////, 07, ///, 07, //, 07, ////////////, 07,  90, 00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19191017, 0700,  289, 00, 76170, 00,  673, 00, 75496, 00, 7569, 00, ////, 07, ////, 07, ////, 07, ///, 07, ///, 07, ////, 07,  268, 00, 135, 00,   41, 00, ////, 07, ///, 07, //, 07, ////////////, 07,  90, 00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19191018, 0700,  289, 00, 76213, 00,  678, 00, 75535, 00, 7574, 00, ////, 07, ////, 07, ////, 07, ///, 07, ///, 07, ////, 07,  264, 00,  90, 00,   41, 00, ////, 07, ///, 07, //, 07, ////////////, 07, 135, 00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19191019, 0700,  286, 00, 76322, 00,  676, 00, 75646, 00, 7584, 00, ////, 07, ////, 07, ////, 07, ///, 07, ///, 07, ////, 07,  263, 00,  90, 00,   31, 00, ////, 07, ///, 07, //, 07, ////////////, 07,  90, 00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19191020, 0700,  286, 00, 76286, 00,  676, 00, 75611, 00, 7582, 00, ////, 07, ////, 07, ////, 07, ///, 07, ///, 07, ////, 07,  265, 00,  90, 00,   31, 00, ////, 07, ///, 07, //, 07, ////////////, 07,  90, 00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19191021, 0700,  286, 00, 76302, 00,  676, 00, 75626, 00, 7582, 00, ////, 07, ////, 07, ////, 07, ///, 07, ///, 07, ////, 07,  265, 00,  90, 00,   51, 00, ////, 07, ///, 07, //, 07, ////////////, 07,  90, 00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19191022, 0700,  289, 00, 76479, 00,  678, 00, 75801, 00, 7600, 00, ////, 07, ////, 07, ////, 07, ///, 07, ///, 07, ////, 07,  268, 00,  90, 00,   31, 00, ////, 07, ///, 07, //, 07, ////////////, 07,  90, 00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19191023, 0700,  289, 00, 76398, 00,  678, 00, 75720, 00, 7592, 00, ////, 07, ////, 07, ////, 07, ///, 07, ///, 07, ////, 07,  268, 00,  90, 00,   41, 00, ////, 07, ///, 07, //, 07, ////////////, 07,  90, 00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19191024, 0700,  283, 00, 76269, 00,  671, 00, 75598, 00, 7579, 00, ////, 07, ////, 07, ////, 07, ///, 07, ///, 07, ////, 07,  246, 00,  90, 00,   41, 00, ////, 07, ///, 07, //, 07, ////////////, 07,  90, 00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19191025, 0700,  283, 00, 76190, 00,  665, 00, 75524, 00, 7572, 00, ////, 07, ////, 07, ////, 07, ///, 07, ///, 07, ////, 07,  260, 00,  90, 00,   26, 00, ////, 07, ///, 07, //, 07, ////////////, 07,  90, 00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19191026, 0700,  283, 00, 76342, 00,  671, 00, 75672, 00, 7587, 00, ////, 07, ////, 07, ////, 07, ///, 07, ///, 07, ////, 07,  248, 00,  90, 00,   15, 00, ////, 07, ///, 07, //, 07, ////////////, 07,  90, 00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19191027, 0700,  278, 00, 76190, 00,  660, 00, 75529, 00, 7574, 00, ////, 07, ////, 07, ////, 07, ///, 07, ///, 07, ////, 07,  240, 00,  90, 00,   15, 00, ////, 07, ///, 07, //, 07, ////////////, 07,  90, 00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19191028, 0700,  283, 00, 76190, 00,  665, 00, 75524, 00, 7572, 00, ////, 07, ////, 07, ////, 07, ///, 07, ///, 07, ////, 07,  238, 00, 135, 00,   41, 00, ////, 07, ///, 07, //, 07, ////////////, 07,  90, 00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19191029, 0700,  286, 00, 76322, 00,  676, 00, 75646, 00, 7584, 00, ////, 07, ////, 07, ////, 07, ///, 07, ///, 07, ////, 07,  234, 00,  90, 00,   41, 00, ////, 07, ///, 07, //, 07, ////////////, 07,  90, 00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19191030, 0700,  286, 00, 76429, 00,  676, 00, 75753, 00, 7595, 00, ////, 07, ////, 07, ////, 07, ///, 07, ///, 07, ////, 07,  263, 00,  90, 00,   46, 00, ////, 07, ///, 07, //, 07, ////////////, 07,  90, 00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19191031, 0700,  283, 00, 76317, 00,  671, 00, 75646, 00, 7584, 00, ////, 07, ////, 07, ////, 07, ///, 07, ///, 07, ////, 07,  254, 00,  90, 00,   21, 00, ////, 07, ///, 07, //, 07, ////////////, 07,  90, 00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19191101, 0700,  283, 00, 76370, 00,  671, 00, 75700, 00, 7590, 00, ////, 07, ////, 07, ////, 07, ///, 07, ///, 07, ////, 07,  252, 00,  90, 00,   31, 00, ////, 07, ///, 07, //, 07, ////////////, 07,  90, 00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19191102, 0700,  281, 00, 76408, 00,  668, 00, 75740, 00, 7595, 00, ////, 07, ////, 07, ////, 07, ///, 07, ///, 07, ////, 07,  256, 00,  90, 00,   31, 00, ////, 07, ///, 07, //, 07, ////////////, 07,  90, 00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19191103, 0700,  283, 00, 76429, 00,  671, 00, 75758, 00, 7597, 00, ////, 07, ////, 07, ////, 07, ///, 07, ///, 07, ////, 07,  234, 00, 135, 00,   41, 00, ////, 07, ///, 07, //, 07, ////////////, 07,  90, 00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19191104, 0700,  283, 00, 76365, 00,  671, 00, 75695, 00, 7590, 00, ////, 07, ////, 07, ////, 07, ///, 07, ///, 07, ////, 07,  258, 00,  90, 00,   46, 00, ////, 07, ///, 07, //, 07, ////////////, 07,  90, 00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19191105, 0700,  283, 00, 76365, 00,  671, 00, 75695, 00, 7590, 00, ////, 07, ////, 07, ////, 07, ///, 07, ///, 07, ////, 07,  264, 00,  90, 00,   51, 00, ////, 07, ///, 07, //, 07, ////////////, 07,  90, 00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19191106, 0700,  283, 00, 76352, 00,  671, 00, 75682, 00, 7590, 00, ////, 07, ////, 07, ////, 07, ///, 07, ///, 07, ////, 07,  256, 00,  90, 00,   31, 00, ////, 07, ///, 07, //, 07, ////////////, 07,  90, 00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19191107, 0700,  281, 00, 76238, 00,  668, 00, 75570, 00, 7577, 00, ////, 07, ////, 07, ////, 07, ///, 07, ///, 07, ////, 07,  256, 00,  90, 00,   26, 00, ////, 07, ///, 07, //, 07, ////////////, 07,  90, 00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19191108, 0700,  281, 00, 76261, 00,  668, 00, 75593, 00, 7579, 00, ////, 07, ////, 07, ////, 07, ///, 07, ///, 07, ////, 07,  256, 00,  45, 00,   26, 00, ////, 07, ///, 07, //, 07, ////////////, 07,  90, 00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19191109, 0700,  278, 00, 76238, 00,  665, 00, 75573, 00, 7577, 00, ////, 07, ////, 07, ////, 07, ///, 07, ///, 07, ////, 07,  253, 00,  90, 00,   26, 00, ////, 07, ///, 07, //, 07, ////////////, 07,  90, 00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19191110, 0700,  283, 00, 76230, 00,  671, 00, 75560, 00, 7577, 00, ////, 07, ////, 07, ////, 07, ///, 07, ///, 07, ////, 07,  252, 00,  90, 00,   26, 00, ////, 07, ///, 07, //, 07, ////////////, 07,  90, 00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19191111, 0700,  278, 00, 76215, 00,  665, 00, 75550, 00, 7574, 00, ////, 07, ////, 07, ////, 07, ///, 07, ///, 07, ////, 07,  257, 00,  90, 00,   15, 00, ////, 07, ///, 07, //, 07, ////////////, 07,  90, 00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19191112, 0700,  269, 00, 76159, 00,  663, 00, 75496, 00, 7569, 00, ////, 07, ////, 07, ////, 07, ///, 07, ///, 07, ////, 07,  239, 00,  45, 00,   36, 00, ////, 07, ///, 07, //, 07, ////////////, 07,  90, 00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19191113, 0700,  272, 00, 76119, 00,  653, 00, 75466, 00, 7567, 00, ////, 07, ////, 07, ////, 07, ///, 07, ///, 07, ////, 07,  234, 00,  90, 00,   15, 00, ////, 07, ///, 07, //, 07, ////////////, 07,  90, 00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19191114, 0700,  269, 00, 76180, 00,  648, 00, 75532, 00, 7574, 00, ////, 07, ////, 07, ////, 07, ///, 07, ///, 07, ////, 07,  252, 00,  90, 00,   26, 00, ////, 07, ///, 07, //, 07, ////////////, 07,  90, 00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19191115, 0700,  272, 00, 76383, 00,  658, 00, 75725, 00, 7592, 00, ////, 07, ////, 07, ////, 07, ///, 07, ///, 07, ////, 07,  246, 00,  90, 00,   21, 00, ////, 07, ///, 07, //, 07, ////////////, 07,  90, 00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19191116, 0700,  272, 00, 76302, 00,  658, 00, 75644, 00, 7584, 00, ////, 07, ////, 07, ////, 07, ///, 07, ///, 07, ////, 07,  251, 00,  90, 00,   41, 00, ////, 07, ///, 07, //, 07, ////////////, 07,  90, 00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19191117, 0700,  278, 00, 76241, 00,  665, 00, 75575, 00, 7577, 00, ////, 07, ////, 07, ////, 07, ///, 07, ///, 07, ////, 07,  257, 00,  90, 00,   36, 00, ////, 07, ///, 07, //, 07, ////////////, 07,  90, 00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19191118, 0700,  275, 00, 76180, 00,  655, 00, 75524, 00, 7572, 00, ////, 07, ////, 07, ////, 07, ///, 07, ///, 07, ////, 07,  256, 00,  90, 00,   10, 00, ////, 07, ///, 07, //, 07, ////////////, 07,  90, 00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19191119, 0700,  278, 00, 76246, 00,  665, 00, 75580, 00, 7579, 00, ////, 07, ////, 07, ////, 07, ///, 07, ///, 07, ////, 07,  253, 00,  90, 00,   10, 00, ////, 07, ///, 07, //, 07, ////////////, 07,  90, 00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19191120, 0700,  281, 00, 76365, 00,  668, 00, 75697, 00, 7590, 00, ////, 07, ////, 07, ////, 07, ///, 07, ///, 07, ////, 07,  264, 00,  90, 00,   41, 00, ////, 07, ///, 07, //, 07, ////////////, 07,  90, 00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19191121, 0700,  281, 00, 76365, 00,  668, 00, 75697, 00, 7590, 00, ////, 07, ////, 07, ////, 07, ///, 07, ///, 07, ////, 07,  250, 00,  90, 00,   36, 00, ////, 07, ///, 07, //, 07, ////////////, 07,  90, 00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19191122, 0700,  278, 00, 76297, 00,  665, 00, 75631, 00, 7584, 00, ////, 07, ////, 07, ////, 07, ///, 07, ///, 07, ////, 07,  260, 00,  45, 00,   10, 00, ////, 07, ///, 07, //, 07, ////////////, 07,  45, 00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19191123, 0700,  272, 00, 76256, 00,  686, 00, 75570, 00, 7577, 00, ////, 07, ////, 07, ////, 07, ///, 07, ///, 07, ////, 07,  237, 00,  90, 00,   10, 00, ////, 07, ///, 07, //, 07, ////////////, 07,  90, 00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19191124, 0700,  272, 00, 76225, 00,  658, 00, 75568, 00, 7577, 00, ////, 07, ////, 07, ////, 07, ///, 07, ///, 07, ////, 07,  253, 00,  90, 00,   21, 00, ////, 07, ///, 07, //, 07, ////////////, 07,  90, 00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19191125, 0700,  278, 00, 76317, 00,  665, 00, 75651, 00, 7584, 00, ////, 07, ////, 07, ////, 07, ///, 07, ///, 07, ////, 07,  261, 00,  90, 00,   41, 00, ////, 07, ///, 07, //, 07, ////////////, 07,  90, 00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19191126, 0700,  275, 00, 76309, 00,  660, 00, 75649, 00, 7584, 00, ////, 07, ////, 07, ////, 07, ///, 07, ///, 07, ////, 07,  241, 00,  90, 00,   26, 00, ////, 07, ///, 07, //, 07, ////////////, 07,  90, 00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19191127, 0700,  267, 00, 76098, 00,  645, 00, 75453, 00, 7567, 00, ////, 07, ////, 07, ////, 07, ///, 07, ///, 07, ////, 07,  234, 00,  90, 00,   26, 00, ////, 07, ///, 07, //, 07, ////////////, 07,  90, 00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19191128, 0700,  289, 00, 76068, 00,  673, 00, 75395, 00, 7559, 00, ////, 07, ////, 07, ////, 07, ///, 07, ///, 07, ////, 07,  221, 00,  90, 00,   36, 00, ////, 07, ///, 07, //, 07, ////////////, 07,  90, 00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19191129, 0700,  272, 00, 76050, 00,  653, 00, 75397, 00, 7559, 00, ////, 07, ////, 07, ////, 07, ///, 07, ///, 07, ////, 07,  224, 00,  90, 00,   15, 00, ////, 07, ///, 07, //, 07, ////////////, 07,  90, 00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19191130, 0700,  272, 00, 76050, 00,  653, 00, 75321, 00, 7559, 00, ////, 07, ////, 07, ////, 07, ///, 07, ///, 07, ////, 07,  234, 00,  90, 00,   41, 00, ////, 07, ///, 07, //, 07, ////////////, 07,  90, 00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19191201, 0700,  275, 00, 76335, 00,  660, 00, 75674, 00, 7587, 00, ////, 07, ////, 07, ////, 07, ///, 07, ///, 07,  267, 00,  245, 00,  90, 00,   31, 00, ////, 07, ///, 07, //, 07, ////////////, 07,  90, 00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19191202, 0700,  275, 00, 76352, 00,  660, 00, 75692, 00, 7590, 00, ////, 07, ////, 07, ////, 07, ///, 07, ///, 07,  304, 00,  254, 00,  90, 00,   31, 00, ////, 07, ///, 07, //, 07, ////////////, 07,  90, 00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19191203, 0700,  272, 00, 76294, 00,  658, 00, 75636, 00, 7584, 00, ////, 07, ////, 07, ////, 07, ///, 07, ///, 07,  300, 00,  243, 00,  90, 00,   31, 00, ////, 07, ///, 07, //, 07, ////////////, 07,  90, 00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19191204, 0700,  272, 00, 76355, 00,  658, 00, 75697, 00, 7590, 00, ////, 07, ////, 07, ////, 07, ///, 07, ///, 07,  299, 00,  253, 00,  45, 00,   41, 00, ////, 07, ///, 07, //, 07, ////////////, 07,  90, 00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19191205, 0700,  269, 00, 76434, 00,  655, 00, 75778, 00, 7597, 00, ////, 07, ////, 07, ////, 07, ///, 07, ///, 07,  295, 00,  249, 00,  90, 00,   41, 00, ////, 07, ///, 07, //, 07, ////////////, 07,  90, 00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19191206, 0700,  272, 00, 76436, 00,  658, 00, 75778, 00, 7597, 00, ////, 07, ////, 07, ////, 07, ///, 07, ///, 07,  296, 00,  253, 00,  45, 00,   62, 00, ////, 07, ///, 07, //, 07, ////////////, 07,  90, 00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19191207, 0700,  267, 00, 76342, 00,  650, 00, 75692, 00, 7590, 00, ////, 07, ////, 07, ////, 07, ///, 07, ///, 07,  279, 00,  235, 00,  90, 00,   46, 00, ////, 07, ///, 07, //, 07, ////////////, 07,  90, 00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19191208, 0700,  269, 00, 76408, 00,  655, 00, 75753, 00, 7595, 00, ////, 07, ////, 07, ////, 07, ///, 07, ///, 07,  294, 00,  253, 00,  90, 00,   41, 00, ////, 07, ///, 07, //, 07, ////////////, 07,  90, 00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19191209, 0700,  269, 00, 76459, 00,  655, 00, 75804, 00, 7600, 00, ////, 07, ////, 07, ////, 07, ///, 07, ///, 07,  297, 00,  247, 00,  90, 00,   41, 00, ////, 07, ///, 07, //, 07, ////////////, 07,  90, 00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19191210, 0700,  261, 00, 76383, 00,  645, 00, 75738, 00, 7595, 00, ////, 07, ////, 07, ////, 07, ///, 07, ///, 07,  289, 00,  225, 00,  90, 00,   10, 00, ////, 07, ///, 07, //, 07, ////////////, 07,  90, 00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19191211, 0700,  253, 00, 76246, 00,  635, 00, 75611, 00, 7582, 00, ////, 07, ////, 07, ////, 07, ///, 07, ///, 07,  278, 00,  224, 00,  90, 00,   10, 00, ////, 07, ///, 07, //, 07, ////////////, 07,  90, 00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19191212, 0700,  261, 00, 76319, 00,  645, 00, 75674, 00, 7587, 00, ////, 07, ////, 07, ////, 07, ///, 07, ///, 07,  279, 00,  237, 00,  90, 00,   26, 00, ////, 07, ///, 07, //, 07, ////////////, 07,  90, 00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19191213, 0700,  269, 00, 76454, 00,  655, 00, 75799, 00, 7600, 00, ////, 07, ////, 07, ////, 07, ///, 07, ///, 07,  296, 00,  253, 00,  90, 00,   41, 00, ////, 07, ///, 07, //, 07, ////////////, 07,  90, 00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19191214, 0700,  267, 00, 76505, 00,  650, 00, 75855, 00, 7605, 00, ////, 07, ////, 07, ////, 07, ///, 07, ///, 07,  298, 00,  233, 00,  90, 00,   41, 00, ////, 07, ///, 07, //, 07, ////////////, 07,  90, 00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19191215, 0700,  272, 00, 76477, 00,  658, 00, 75819, 00, 7602, 00, ////, 07, ////, 07, ////, 07, ///, 07, ///, 07,  294, 00,  254, 00,  90, 00,   41, 00, ////, 07, ///, 07, //, 07, ////////////, 07,  90, 00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19191216, 0700,  269, 00, 76500, 00,  655, 00, 75844, 00, 7605, 00, ////, 07, ////, 07, ////, 07, ///, 07, ///, 07,  295, 00,  251, 00,  90, 00,   36, 00, ////, 07, ///, 07, //, 07, ////////////, 07,  90, 00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19191217, 0700,  267, 00, 76523, 00,  650, 00, 75872, 00, 7607, 00, ////, 07, ////, 07, ////, 07, ///, 07, ///, 07,  294, 00,  244, 00, 135, 00,   26, 00, ////, 07, ///, 07, //, 07, ////////////, 07,  90, 00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19191218, 0700,  269, 00, 76525, 00,  655, 00, 75870, 00, 7607, 00, ////, 07, ////, 07, ////, 07, ///, 07, ///, 07,  295, 00,  246, 00,  90, 00,   36, 00, ////, 07, ///, 07, //, 07, ////////////, 07,  90, 00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19191219, 0700,  267, 00, 76505, 00,  650, 00, 75855, 00, 7605, 00, ////, 07, ////, 07, ////, 07, ///, 07, ///, 07,  297, 00,  246, 00,  45, 00,   26, 00, ////, 07, ///, 07, //, 07, ////////////, 07,  90, 00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19191220, 0700,  272, 00, 76500, 00,  658, 00, 75842, 00, 7605, 00, ////, 07, ////, 07, ////, 07, ///, 07, ///, 07,  300, 00,  246, 00,  90, 00,   31, 00, ////, 07, ///, 07, //, 07, ////////////, 07,  90, 00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19191221, 0700,  269, 00, 76502, 00,  655, 00, 75847, 00, 7605, 00, ////, 07, ////, 07, ////, 07, ///, 07, ///, 07,  294, 00,  241, 00,  90, 00,   21, 00, ////, 07, ///, 07, //, 07, ////////////, 07,  90, 00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19191222, 0700,  264, 00, 76426, 00,  648, 00, 75778, 00, 7597, 00, ////, 07, ////, 07, ////, 07, ///, 07, ///, 07,  294, 00,  227, 00,  90, 00,   41, 00, ////, 07, ///, 07, //, 07, ////////////, 07,  90, 00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19191223, 0700,  267, 00, 76454, 00,  650, 00, 75804, 00, 7600, 00, ////, 07, ////, 07, ////, 07, ///, 07, ///, 07,  284, 00,  234, 00,  90, 00,   26, 00, ////, 07, ///, 07, //, 07, ////////////, 07,  90, 00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19191224, 0700,  267, 00, 76446, 00,  650, 00, 75796, 00, 7600, 00, ////, 07, ////, 07, ////, 07, ///, 07, ///, 07,  287, 00,  242, 00,  90, 00,   26, 00, ////, 07, ///, 07, //, 07, ////////////, 07,  90, 00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19191225, 0700,  267, 00, 76551, 00,  650, 00, 75900, 00, 7610, 00, ////, 07, ////, 07, ////, 07, ///, 07, ///, 07,  286, 00,  239, 00,  90, 00,   26, 00, ////, 07, ///, 07, //, 07, ////////////, 07,  90, 00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19191226, 0700,  267, 00, 76533, 00,  650, 00, 75883, 00, 7610, 00, ////, 07, ////, 07, ////, 07, ///, 07, ///, 07,  284, 00,  234, 00, 135, 00,   26, 00, ////, 07, ///, 07, //, 07, ////////////, 07, 135, 00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19191227, 0700,  269, 00, 76500, 00,  655, 00, 75844, 00, 7605, 00, ////, 07, ////, 07, ////, 07, ///, 07, ///, 07,  284, 00,  245, 00, 135, 00,   31, 00, ////, 07, ///, 07, //, 07, ////////////, 07,  90, 00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19191228, 0700,  269, 00, 76561, 00,  655, 00, 75905, 00, 7610, 00, ////, 07, ////, 07, ////, 07, ///, 07, ///, 07,  294, 00,  249, 00,  90, 00,   46, 00, ////, 07, ///, 07, //, 07, ////////////, 07,  90, 00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19191229, 0700,  272, 00, 76634, 00,  658, 00, 75976, 00, 7617, 00, ////, 07, ////, 07, ////, 07, ///, 07, ///, 07,  294, 00,  247, 00,  90, 00,   51, 00, ////, 07, ///, 07, //, 07, ////////////, 07,  90, 00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19191230, 0700,  269, 00, 76632, 00,  655, 00, 75976, 00, 7617, 00, ////, 07, ////, 07, ////, 07, ///, 07, ///, 07,  299, 00,  244, 00,  90, 00,   26, 00, ////, 07, ///, 07, //, 07, ////////////, 07,  90, 00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19191231, 0700,  269, 00, 76525, 00,  655, 00, 75870, 00, 7607, 00, ////, 07, ////, 07, ////, 07, ///, 07, ///, 07,  298, 00,  264, 00,  45, 00,   26, 00, ////, 07, ///, 07, //, 07, ////////////, 07,  90,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2016-02-10T09:25:05Z</dcterms:modified>
</cp:coreProperties>
</file>